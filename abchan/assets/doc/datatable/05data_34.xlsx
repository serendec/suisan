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9E25D3D5-E5AC-41D7-8FFF-4DB2ABC41427}" xr6:coauthVersionLast="47" xr6:coauthVersionMax="47" xr10:uidLastSave="{00000000-0000-0000-0000-000000000000}"/>
  <bookViews>
    <workbookView xWindow="5430" yWindow="345" windowWidth="20715" windowHeight="14880" tabRatio="854" xr2:uid="{0C80E8A3-1111-476B-8022-94ED253B6B5E}"/>
  </bookViews>
  <sheets>
    <sheet name="表3-1" sheetId="1" r:id="rId1"/>
    <sheet name="表3-2" sheetId="17" r:id="rId2"/>
    <sheet name="表4-1" sheetId="3" r:id="rId3"/>
    <sheet name="補足表2-1" sheetId="4" r:id="rId4"/>
    <sheet name="補足表4-1" sheetId="5" r:id="rId5"/>
    <sheet name="補足表4-2" sheetId="2" r:id="rId6"/>
    <sheet name="補足表4-3" sheetId="7" r:id="rId7"/>
    <sheet name="補足表5-1" sheetId="8" r:id="rId8"/>
    <sheet name="補足表6-1" sheetId="9" r:id="rId9"/>
    <sheet name="補足表6-2" sheetId="10" r:id="rId10"/>
    <sheet name="補足表6-3" sheetId="11" r:id="rId11"/>
    <sheet name="補足表6-4" sheetId="12" r:id="rId12"/>
    <sheet name="補足表6-5" sheetId="13" r:id="rId13"/>
    <sheet name="補足表7-1" sheetId="14" r:id="rId14"/>
    <sheet name="補足表7-2" sheetId="15" r:id="rId15"/>
    <sheet name="補足表7-3" sheetId="16" r:id="rId16"/>
    <sheet name="補足表9-1" sheetId="18" r:id="rId17"/>
    <sheet name="補足表9-2" sheetId="19" r:id="rId18"/>
    <sheet name="補足表9-3" sheetId="20" r:id="rId19"/>
    <sheet name="補足表9-4" sheetId="21" r:id="rId20"/>
  </sheets>
  <definedNames>
    <definedName name="OLE_LINK1" localSheetId="12">'補足表6-5'!$A$5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<sst xmlns="http://schemas.openxmlformats.org/spreadsheetml/2006/main" count="460" uniqueCount="246">
  <si>
    <t>2023年度（R5年度）マダラ本州太平洋北部系群の資源評価のデータセット</t>
    <phoneticPr fontId="2"/>
  </si>
  <si>
    <t>表3-1.　漁業種類別の漁獲量の推移（漁期年集計：トン）</t>
    <rPh sb="0" eb="1">
      <t>ヒョウ</t>
    </rPh>
    <phoneticPr fontId="2"/>
  </si>
  <si>
    <t>沖底</t>
    <rPh sb="0" eb="1">
      <t>オキ</t>
    </rPh>
    <rPh sb="1" eb="2">
      <t>ソコ</t>
    </rPh>
    <phoneticPr fontId="8"/>
  </si>
  <si>
    <t>小底</t>
  </si>
  <si>
    <t>刺網</t>
  </si>
  <si>
    <t>延縄</t>
  </si>
  <si>
    <t>定置</t>
  </si>
  <si>
    <t>その他</t>
  </si>
  <si>
    <t>計</t>
    <rPh sb="0" eb="1">
      <t>ケイ</t>
    </rPh>
    <phoneticPr fontId="8"/>
  </si>
  <si>
    <t>各県水試調べによる。</t>
    <rPh sb="0" eb="1">
      <t>カク</t>
    </rPh>
    <rPh sb="1" eb="4">
      <t>ケンスイシ</t>
    </rPh>
    <rPh sb="4" eb="5">
      <t>シラ</t>
    </rPh>
    <phoneticPr fontId="8"/>
  </si>
  <si>
    <t>漁期年は4月～翌年3月。</t>
    <rPh sb="0" eb="2">
      <t>ギョキ</t>
    </rPh>
    <rPh sb="2" eb="3">
      <t>ネン</t>
    </rPh>
    <rPh sb="5" eb="6">
      <t>ガツ</t>
    </rPh>
    <rPh sb="7" eb="9">
      <t>ヨクネン</t>
    </rPh>
    <rPh sb="10" eb="11">
      <t>ガツ</t>
    </rPh>
    <phoneticPr fontId="8"/>
  </si>
  <si>
    <r>
      <rPr>
        <sz val="14"/>
        <rFont val="ＭＳ 明朝"/>
        <family val="1"/>
        <charset val="128"/>
      </rPr>
      <t>表</t>
    </r>
    <r>
      <rPr>
        <sz val="14"/>
        <rFont val="Times New Roman"/>
        <family val="1"/>
      </rPr>
      <t>3-2.</t>
    </r>
    <r>
      <rPr>
        <sz val="14"/>
        <rFont val="Yu Gothic"/>
        <family val="1"/>
        <charset val="128"/>
      </rPr>
      <t>　</t>
    </r>
    <r>
      <rPr>
        <sz val="14"/>
        <rFont val="ＭＳ 明朝"/>
        <family val="1"/>
        <charset val="128"/>
      </rPr>
      <t>県別漁業種類別の漁獲量の推移（漁期年集計：トン）</t>
    </r>
    <rPh sb="0" eb="1">
      <t>ヒョウ</t>
    </rPh>
    <rPh sb="6" eb="8">
      <t>ケンベツ</t>
    </rPh>
    <rPh sb="8" eb="10">
      <t>ギョギョウ</t>
    </rPh>
    <rPh sb="10" eb="13">
      <t>シュルイベツ</t>
    </rPh>
    <rPh sb="14" eb="17">
      <t>ギョカクリョウ</t>
    </rPh>
    <rPh sb="18" eb="20">
      <t>スイイ</t>
    </rPh>
    <rPh sb="21" eb="23">
      <t>ギョキ</t>
    </rPh>
    <rPh sb="23" eb="24">
      <t>ネン</t>
    </rPh>
    <rPh sb="24" eb="26">
      <t>シュウケイ</t>
    </rPh>
    <phoneticPr fontId="8"/>
  </si>
  <si>
    <t>青森</t>
    <rPh sb="0" eb="2">
      <t>アオモリ</t>
    </rPh>
    <phoneticPr fontId="8"/>
  </si>
  <si>
    <t>岩手</t>
    <rPh sb="0" eb="2">
      <t>イワテ</t>
    </rPh>
    <phoneticPr fontId="8"/>
  </si>
  <si>
    <t>宮城</t>
    <rPh sb="0" eb="2">
      <t>ミヤギ</t>
    </rPh>
    <phoneticPr fontId="8"/>
  </si>
  <si>
    <t>福島</t>
    <rPh sb="0" eb="2">
      <t>フクシマ</t>
    </rPh>
    <phoneticPr fontId="8"/>
  </si>
  <si>
    <t>茨城</t>
    <rPh sb="0" eb="2">
      <t>イバラキ</t>
    </rPh>
    <phoneticPr fontId="8"/>
  </si>
  <si>
    <t>各年水試調べ</t>
    <rPh sb="0" eb="2">
      <t>カクネン</t>
    </rPh>
    <rPh sb="2" eb="4">
      <t>スイシ</t>
    </rPh>
    <rPh sb="4" eb="5">
      <t>シラ</t>
    </rPh>
    <phoneticPr fontId="8"/>
  </si>
  <si>
    <t>表4-1.　マダラ本州太平洋北部系群の資源量解析結果</t>
    <rPh sb="0" eb="1">
      <t>ヒョウ</t>
    </rPh>
    <phoneticPr fontId="2"/>
  </si>
  <si>
    <r>
      <rPr>
        <sz val="10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</si>
  <si>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0"/>
        <rFont val="ＭＳ Ｐ明朝"/>
        <family val="1"/>
        <charset val="128"/>
      </rPr>
      <t>漁獲量
（百トン）</t>
    </r>
    <rPh sb="0" eb="3">
      <t>ギョカクリョウ</t>
    </rPh>
    <rPh sb="5" eb="6">
      <t>ヒャク</t>
    </rPh>
    <phoneticPr fontId="1"/>
  </si>
  <si>
    <r>
      <rPr>
        <sz val="10"/>
        <rFont val="ＭＳ Ｐ明朝"/>
        <family val="1"/>
        <charset val="128"/>
      </rPr>
      <t>資源量
（百トン）</t>
    </r>
    <rPh sb="0" eb="3">
      <t>シゲンリョウ</t>
    </rPh>
    <rPh sb="5" eb="6">
      <t>ヒャク</t>
    </rPh>
    <phoneticPr fontId="1"/>
  </si>
  <si>
    <r>
      <rPr>
        <sz val="10"/>
        <rFont val="ＭＳ Ｐ明朝"/>
        <family val="1"/>
        <charset val="128"/>
      </rPr>
      <t>親魚量
（百トン）</t>
    </r>
    <rPh sb="0" eb="3">
      <t>シンギョリョウ</t>
    </rPh>
    <rPh sb="5" eb="6">
      <t>ヒャク</t>
    </rPh>
    <phoneticPr fontId="1"/>
  </si>
  <si>
    <r>
      <rPr>
        <sz val="10"/>
        <rFont val="ＭＳ Ｐ明朝"/>
        <family val="1"/>
        <charset val="128"/>
      </rPr>
      <t>加入量（</t>
    </r>
    <r>
      <rPr>
        <sz val="10"/>
        <rFont val="Times New Roman"/>
        <family val="1"/>
      </rPr>
      <t>1</t>
    </r>
    <r>
      <rPr>
        <sz val="10"/>
        <rFont val="ＭＳ Ｐ明朝"/>
        <family val="1"/>
        <charset val="128"/>
      </rPr>
      <t>歳魚、百万尾）</t>
    </r>
    <rPh sb="0" eb="3">
      <t>カニュウリョウ</t>
    </rPh>
    <rPh sb="5" eb="7">
      <t>サイギョ</t>
    </rPh>
    <rPh sb="8" eb="10">
      <t>ヒャクマン</t>
    </rPh>
    <rPh sb="10" eb="11">
      <t>ビ</t>
    </rPh>
    <phoneticPr fontId="1"/>
  </si>
  <si>
    <r>
      <rPr>
        <sz val="10"/>
        <rFont val="ＭＳ Ｐ明朝"/>
        <family val="1"/>
        <charset val="128"/>
      </rPr>
      <t>漁獲割合
（</t>
    </r>
    <r>
      <rPr>
        <sz val="10"/>
        <rFont val="Times New Roman"/>
        <family val="1"/>
      </rPr>
      <t>%</t>
    </r>
    <r>
      <rPr>
        <sz val="10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1"/>
  </si>
  <si>
    <r>
      <t>F</t>
    </r>
    <r>
      <rPr>
        <sz val="10"/>
        <rFont val="ＭＳ Ｐ明朝"/>
        <family val="1"/>
        <charset val="128"/>
      </rPr>
      <t>単純平均</t>
    </r>
    <rPh sb="1" eb="3">
      <t>タンジュン</t>
    </rPh>
    <rPh sb="3" eb="5">
      <t>ヘイキン</t>
    </rPh>
    <phoneticPr fontId="1"/>
  </si>
  <si>
    <r>
      <rPr>
        <sz val="10"/>
        <rFont val="ＭＳ Ｐ明朝"/>
        <family val="1"/>
        <charset val="128"/>
      </rPr>
      <t>再生産成功率
（尾</t>
    </r>
    <r>
      <rPr>
        <sz val="10"/>
        <rFont val="Times New Roman"/>
        <family val="1"/>
      </rPr>
      <t>/kg</t>
    </r>
    <r>
      <rPr>
        <sz val="10"/>
        <rFont val="ＭＳ Ｐ明朝"/>
        <family val="1"/>
        <charset val="128"/>
      </rPr>
      <t>）</t>
    </r>
    <rPh sb="0" eb="3">
      <t>サイセイサン</t>
    </rPh>
    <rPh sb="3" eb="6">
      <t>セイコウリツ</t>
    </rPh>
    <rPh sb="8" eb="9">
      <t>ビ</t>
    </rPh>
    <phoneticPr fontId="1"/>
  </si>
  <si>
    <t>F/Fmsy</t>
  </si>
  <si>
    <t>%SPR</t>
  </si>
  <si>
    <t>再生産成功率は各漁期年における1歳魚の資源尾数を前年の親魚量で除した値である。</t>
    <rPh sb="0" eb="3">
      <t>サイセイサン</t>
    </rPh>
    <rPh sb="3" eb="6">
      <t>セイコウリツ</t>
    </rPh>
    <rPh sb="7" eb="8">
      <t>カク</t>
    </rPh>
    <rPh sb="8" eb="10">
      <t>ギョキ</t>
    </rPh>
    <rPh sb="10" eb="11">
      <t>ネン</t>
    </rPh>
    <rPh sb="16" eb="18">
      <t>サイギョ</t>
    </rPh>
    <rPh sb="19" eb="21">
      <t>シゲン</t>
    </rPh>
    <rPh sb="21" eb="23">
      <t>ビスウ</t>
    </rPh>
    <rPh sb="24" eb="26">
      <t>ゼンネン</t>
    </rPh>
    <rPh sb="27" eb="30">
      <t>シンギョリョウ</t>
    </rPh>
    <rPh sb="31" eb="32">
      <t>ジョ</t>
    </rPh>
    <rPh sb="34" eb="35">
      <t>アタイ</t>
    </rPh>
    <phoneticPr fontId="1"/>
  </si>
  <si>
    <t>　年齢別漁獲尾数（千尾）</t>
    <rPh sb="1" eb="4">
      <t>ネンレイベツ</t>
    </rPh>
    <rPh sb="4" eb="6">
      <t>ギョカク</t>
    </rPh>
    <rPh sb="6" eb="8">
      <t>ビスウ</t>
    </rPh>
    <rPh sb="9" eb="11">
      <t>センビ</t>
    </rPh>
    <phoneticPr fontId="18"/>
  </si>
  <si>
    <t>年齢</t>
    <rPh sb="0" eb="2">
      <t>ネンレイ</t>
    </rPh>
    <phoneticPr fontId="18"/>
  </si>
  <si>
    <r>
      <t>6</t>
    </r>
    <r>
      <rPr>
        <sz val="11"/>
        <color theme="1"/>
        <rFont val="ＭＳ Ｐ明朝"/>
        <family val="1"/>
        <charset val="128"/>
      </rPr>
      <t>以上</t>
    </r>
    <rPh sb="1" eb="3">
      <t>イジョウ</t>
    </rPh>
    <phoneticPr fontId="18"/>
  </si>
  <si>
    <t>合計</t>
    <rPh sb="0" eb="2">
      <t>ゴウケイ</t>
    </rPh>
    <phoneticPr fontId="18"/>
  </si>
  <si>
    <r>
      <rPr>
        <sz val="12"/>
        <rFont val="ＭＳ 明朝"/>
        <family val="1"/>
        <charset val="128"/>
      </rPr>
      <t>　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1" eb="4">
      <t>ネンレイベツ</t>
    </rPh>
    <rPh sb="4" eb="6">
      <t>ヘイキン</t>
    </rPh>
    <rPh sb="6" eb="8">
      <t>タイジュウ</t>
    </rPh>
    <phoneticPr fontId="8"/>
  </si>
  <si>
    <t>　年齢別成熟割合</t>
    <rPh sb="1" eb="4">
      <t>ネンレイベツ</t>
    </rPh>
    <rPh sb="4" eb="6">
      <t>セイジュク</t>
    </rPh>
    <rPh sb="6" eb="8">
      <t>ワリアイ</t>
    </rPh>
    <phoneticPr fontId="8"/>
  </si>
  <si>
    <r>
      <rPr>
        <sz val="12"/>
        <color theme="1"/>
        <rFont val="ＭＳ 明朝"/>
        <family val="1"/>
        <charset val="128"/>
      </rPr>
      <t>　漁獲死亡係数（</t>
    </r>
    <r>
      <rPr>
        <sz val="12"/>
        <color theme="1"/>
        <rFont val="Times New Roman"/>
        <family val="1"/>
      </rPr>
      <t>F</t>
    </r>
    <r>
      <rPr>
        <sz val="12"/>
        <color theme="1"/>
        <rFont val="ＭＳ 明朝"/>
        <family val="1"/>
        <charset val="128"/>
      </rPr>
      <t>）</t>
    </r>
    <rPh sb="1" eb="3">
      <t>ギョカク</t>
    </rPh>
    <rPh sb="3" eb="5">
      <t>シボウ</t>
    </rPh>
    <rPh sb="5" eb="7">
      <t>ケイスウ</t>
    </rPh>
    <phoneticPr fontId="18"/>
  </si>
  <si>
    <t>平均</t>
    <rPh sb="0" eb="2">
      <t>ヘイキン</t>
    </rPh>
    <phoneticPr fontId="2"/>
  </si>
  <si>
    <r>
      <rPr>
        <sz val="12"/>
        <rFont val="ＭＳ 明朝"/>
        <family val="1"/>
        <charset val="128"/>
      </rPr>
      <t>　チューニング指標値（調査現存量）</t>
    </r>
    <rPh sb="7" eb="10">
      <t>シヒョウチ</t>
    </rPh>
    <rPh sb="11" eb="13">
      <t>チョウサ</t>
    </rPh>
    <rPh sb="13" eb="16">
      <t>ゲンゾンリョウ</t>
    </rPh>
    <phoneticPr fontId="8"/>
  </si>
  <si>
    <r>
      <rPr>
        <sz val="12"/>
        <color theme="1"/>
        <rFont val="ＭＳ 明朝"/>
        <family val="1"/>
        <charset val="128"/>
      </rPr>
      <t>　チューニング</t>
    </r>
    <r>
      <rPr>
        <sz val="12"/>
        <color theme="1"/>
        <rFont val="Times New Roman"/>
        <family val="1"/>
      </rPr>
      <t>VPA</t>
    </r>
    <r>
      <rPr>
        <sz val="12"/>
        <color theme="1"/>
        <rFont val="ＭＳ 明朝"/>
        <family val="1"/>
        <charset val="128"/>
      </rPr>
      <t>によって推定した資源尾数（千尾）</t>
    </r>
    <rPh sb="14" eb="16">
      <t>スイテイ</t>
    </rPh>
    <rPh sb="18" eb="20">
      <t>シゲン</t>
    </rPh>
    <rPh sb="20" eb="22">
      <t>ビスウ</t>
    </rPh>
    <rPh sb="23" eb="25">
      <t>センビ</t>
    </rPh>
    <phoneticPr fontId="18"/>
  </si>
  <si>
    <r>
      <rPr>
        <sz val="12"/>
        <color theme="1"/>
        <rFont val="ＭＳ 明朝"/>
        <family val="1"/>
        <charset val="128"/>
      </rPr>
      <t>　チューニング</t>
    </r>
    <r>
      <rPr>
        <sz val="12"/>
        <color theme="1"/>
        <rFont val="Times New Roman"/>
        <family val="1"/>
      </rPr>
      <t>VPA</t>
    </r>
    <r>
      <rPr>
        <sz val="12"/>
        <color theme="1"/>
        <rFont val="ＭＳ 明朝"/>
        <family val="1"/>
        <charset val="128"/>
      </rPr>
      <t>によって推定した資源量（トン）</t>
    </r>
    <rPh sb="14" eb="16">
      <t>スイテイ</t>
    </rPh>
    <rPh sb="18" eb="20">
      <t>シゲン</t>
    </rPh>
    <rPh sb="20" eb="21">
      <t>リョウ</t>
    </rPh>
    <phoneticPr fontId="18"/>
  </si>
  <si>
    <t>注）資源尾数に各年各年齢の平均体重を乗じたもの。</t>
    <rPh sb="0" eb="1">
      <t>チュウ</t>
    </rPh>
    <rPh sb="2" eb="4">
      <t>シゲン</t>
    </rPh>
    <rPh sb="4" eb="6">
      <t>ビスウ</t>
    </rPh>
    <rPh sb="7" eb="9">
      <t>カクネン</t>
    </rPh>
    <rPh sb="9" eb="12">
      <t>カクネンレイ</t>
    </rPh>
    <rPh sb="13" eb="15">
      <t>ヘイキン</t>
    </rPh>
    <rPh sb="15" eb="17">
      <t>タイジュウ</t>
    </rPh>
    <rPh sb="18" eb="19">
      <t>ジョウ</t>
    </rPh>
    <phoneticPr fontId="8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</si>
  <si>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4-1.</t>
    </r>
    <r>
      <rPr>
        <sz val="11"/>
        <rFont val="Yu Gothic"/>
        <family val="1"/>
        <charset val="128"/>
      </rPr>
      <t>　</t>
    </r>
    <r>
      <rPr>
        <sz val="11"/>
        <rFont val="ＭＳ 明朝"/>
        <family val="1"/>
        <charset val="128"/>
      </rPr>
      <t>最大持続生産量（</t>
    </r>
    <r>
      <rPr>
        <sz val="11"/>
        <rFont val="Times New Roman"/>
        <family val="1"/>
      </rPr>
      <t>MSY</t>
    </r>
    <r>
      <rPr>
        <sz val="11"/>
        <rFont val="ＭＳ 明朝"/>
        <family val="1"/>
        <charset val="128"/>
      </rPr>
      <t>）を実現する水準の推定に用いたパラメータ値（成松ほか</t>
    </r>
    <r>
      <rPr>
        <sz val="11"/>
        <rFont val="Times New Roman"/>
        <family val="1"/>
      </rPr>
      <t>2021</t>
    </r>
    <r>
      <rPr>
        <sz val="11"/>
        <rFont val="ＭＳ 明朝"/>
        <family val="1"/>
        <charset val="128"/>
      </rPr>
      <t>）</t>
    </r>
    <rPh sb="0" eb="3">
      <t>ホソクヒョウ</t>
    </rPh>
    <rPh sb="8" eb="10">
      <t>サイダイ</t>
    </rPh>
    <rPh sb="10" eb="12">
      <t>ジゾク</t>
    </rPh>
    <rPh sb="12" eb="15">
      <t>セイサンリョウ</t>
    </rPh>
    <rPh sb="21" eb="23">
      <t>ジツゲン</t>
    </rPh>
    <rPh sb="25" eb="27">
      <t>スイジュン</t>
    </rPh>
    <rPh sb="28" eb="30">
      <t>スイテイ</t>
    </rPh>
    <rPh sb="31" eb="32">
      <t>モチ</t>
    </rPh>
    <rPh sb="39" eb="40">
      <t>チ</t>
    </rPh>
    <rPh sb="41" eb="43">
      <t>ナリマツ</t>
    </rPh>
    <phoneticPr fontId="8"/>
  </si>
  <si>
    <t>年齢</t>
    <rPh sb="0" eb="2">
      <t>ネンレイ</t>
    </rPh>
    <phoneticPr fontId="8"/>
  </si>
  <si>
    <t>自然死亡係数</t>
    <rPh sb="0" eb="2">
      <t>シゼン</t>
    </rPh>
    <rPh sb="2" eb="4">
      <t>シボウ</t>
    </rPh>
    <rPh sb="4" eb="6">
      <t>ケイスウ</t>
    </rPh>
    <phoneticPr fontId="8"/>
  </si>
  <si>
    <t>成熟割合
（平均値）</t>
    <rPh sb="0" eb="2">
      <t>セイジュク</t>
    </rPh>
    <rPh sb="2" eb="4">
      <t>ワリアイ</t>
    </rPh>
    <rPh sb="6" eb="9">
      <t>ヘイキンチ</t>
    </rPh>
    <phoneticPr fontId="8"/>
  </si>
  <si>
    <r>
      <t>平均体重（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8"/>
  </si>
  <si>
    <r>
      <rPr>
        <sz val="11"/>
        <rFont val="ＭＳ Ｐ明朝"/>
        <family val="1"/>
        <charset val="128"/>
      </rPr>
      <t>選択率
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0" eb="3">
      <t>センタクリツ</t>
    </rPh>
    <rPh sb="5" eb="6">
      <t>チュウ</t>
    </rPh>
    <phoneticPr fontId="8"/>
  </si>
  <si>
    <r>
      <t xml:space="preserve">Fcurrent
</t>
    </r>
    <r>
      <rPr>
        <sz val="11"/>
        <rFont val="ＭＳ Ｐ明朝"/>
        <family val="1"/>
        <charset val="128"/>
      </rPr>
      <t>（注2）</t>
    </r>
    <rPh sb="10" eb="11">
      <t>チュウ</t>
    </rPh>
    <phoneticPr fontId="8"/>
  </si>
  <si>
    <t>6+</t>
    <phoneticPr fontId="8"/>
  </si>
  <si>
    <r>
      <rPr>
        <sz val="10"/>
        <rFont val="ＭＳ Ｐ明朝"/>
        <family val="1"/>
        <charset val="128"/>
      </rPr>
      <t>　　　　　注</t>
    </r>
    <r>
      <rPr>
        <sz val="10"/>
        <rFont val="Times New Roman"/>
        <family val="1"/>
      </rPr>
      <t>1</t>
    </r>
    <r>
      <rPr>
        <sz val="10"/>
        <rFont val="ＭＳ Ｐ明朝"/>
        <family val="1"/>
        <charset val="128"/>
      </rPr>
      <t>：</t>
    </r>
    <r>
      <rPr>
        <sz val="10"/>
        <rFont val="Times New Roman"/>
        <family val="1"/>
      </rPr>
      <t>MSY</t>
    </r>
    <r>
      <rPr>
        <sz val="10"/>
        <rFont val="ＭＳ Ｐ明朝"/>
        <family val="1"/>
        <charset val="128"/>
      </rPr>
      <t>を実現する水準の推定の際に使用した選択率は、令和</t>
    </r>
    <r>
      <rPr>
        <sz val="10"/>
        <rFont val="Times New Roman"/>
        <family val="1"/>
      </rPr>
      <t>2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2021</t>
    </r>
    <r>
      <rPr>
        <sz val="10"/>
        <rFont val="ＭＳ Ｐ明朝"/>
        <family val="1"/>
        <charset val="128"/>
      </rPr>
      <t>）年度での</t>
    </r>
    <r>
      <rPr>
        <sz val="10"/>
        <rFont val="Times New Roman"/>
        <family val="1"/>
      </rPr>
      <t>Fcurrent</t>
    </r>
    <rPh sb="5" eb="6">
      <t>チュウ</t>
    </rPh>
    <rPh sb="12" eb="14">
      <t>ジツゲン</t>
    </rPh>
    <rPh sb="16" eb="18">
      <t>スイジュン</t>
    </rPh>
    <rPh sb="19" eb="21">
      <t>スイテイ</t>
    </rPh>
    <rPh sb="22" eb="23">
      <t>サイ</t>
    </rPh>
    <rPh sb="24" eb="26">
      <t>シヨウ</t>
    </rPh>
    <rPh sb="28" eb="30">
      <t>センタク</t>
    </rPh>
    <rPh sb="30" eb="31">
      <t>リツ</t>
    </rPh>
    <rPh sb="33" eb="35">
      <t>レイワ</t>
    </rPh>
    <rPh sb="42" eb="44">
      <t>ネンド</t>
    </rPh>
    <phoneticPr fontId="8"/>
  </si>
  <si>
    <r>
      <rPr>
        <sz val="10"/>
        <rFont val="ＭＳ Ｐ明朝"/>
        <family val="1"/>
        <charset val="128"/>
      </rPr>
      <t>　　　　　の選択率（</t>
    </r>
    <r>
      <rPr>
        <sz val="10"/>
        <rFont val="Times New Roman"/>
        <family val="1"/>
      </rPr>
      <t>2017</t>
    </r>
    <r>
      <rPr>
        <sz val="10"/>
        <rFont val="ＭＳ Ｐ明朝"/>
        <family val="1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ＭＳ Ｐ明朝"/>
        <family val="1"/>
        <charset val="128"/>
      </rPr>
      <t>年漁期の平均</t>
    </r>
    <r>
      <rPr>
        <sz val="10"/>
        <rFont val="Times New Roman"/>
        <family val="1"/>
      </rPr>
      <t>F</t>
    </r>
    <r>
      <rPr>
        <sz val="10"/>
        <rFont val="ＭＳ Ｐ明朝"/>
        <family val="1"/>
        <charset val="128"/>
      </rPr>
      <t>の選択率）である。</t>
    </r>
    <rPh sb="19" eb="20">
      <t>ネン</t>
    </rPh>
    <rPh sb="20" eb="22">
      <t>ギョキ</t>
    </rPh>
    <rPh sb="23" eb="25">
      <t>ヘイキン</t>
    </rPh>
    <rPh sb="27" eb="30">
      <t>センタクリツ</t>
    </rPh>
    <phoneticPr fontId="8"/>
  </si>
  <si>
    <r>
      <rPr>
        <sz val="10"/>
        <rFont val="ＭＳ Ｐ明朝"/>
        <family val="1"/>
        <charset val="128"/>
      </rPr>
      <t>　　　　　注</t>
    </r>
    <r>
      <rPr>
        <sz val="10"/>
        <rFont val="Times New Roman"/>
        <family val="1"/>
      </rPr>
      <t>2</t>
    </r>
    <r>
      <rPr>
        <sz val="10"/>
        <rFont val="ＭＳ Ｐ明朝"/>
        <family val="1"/>
        <charset val="128"/>
      </rPr>
      <t>：令和</t>
    </r>
    <r>
      <rPr>
        <sz val="10"/>
        <rFont val="Times New Roman"/>
        <family val="1"/>
      </rPr>
      <t>2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2021</t>
    </r>
    <r>
      <rPr>
        <sz val="10"/>
        <rFont val="ＭＳ Ｐ明朝"/>
        <family val="1"/>
        <charset val="128"/>
      </rPr>
      <t>）年度資源評価での</t>
    </r>
    <r>
      <rPr>
        <sz val="10"/>
        <rFont val="Times New Roman"/>
        <family val="1"/>
      </rPr>
      <t>Fcurrent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2017</t>
    </r>
    <r>
      <rPr>
        <sz val="10"/>
        <rFont val="ＭＳ Ｐ明朝"/>
        <family val="1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ＭＳ Ｐ明朝"/>
        <family val="1"/>
        <charset val="128"/>
      </rPr>
      <t>年漁期の平均</t>
    </r>
    <r>
      <rPr>
        <sz val="10"/>
        <rFont val="Times New Roman"/>
        <family val="1"/>
      </rPr>
      <t>F</t>
    </r>
    <r>
      <rPr>
        <sz val="10"/>
        <rFont val="ＭＳ Ｐ明朝"/>
        <family val="1"/>
        <charset val="128"/>
      </rPr>
      <t>値）</t>
    </r>
    <r>
      <rPr>
        <sz val="10"/>
        <rFont val="Yu Gothic"/>
        <family val="1"/>
        <charset val="128"/>
      </rPr>
      <t>。</t>
    </r>
    <rPh sb="5" eb="6">
      <t>チュウ</t>
    </rPh>
    <rPh sb="8" eb="10">
      <t>レイワ</t>
    </rPh>
    <rPh sb="17" eb="19">
      <t>ネンド</t>
    </rPh>
    <rPh sb="19" eb="21">
      <t>シゲン</t>
    </rPh>
    <rPh sb="21" eb="23">
      <t>ヒョウカ</t>
    </rPh>
    <rPh sb="50" eb="51">
      <t>チ</t>
    </rPh>
    <phoneticPr fontId="8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</si>
  <si>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明朝"/>
        <family val="1"/>
        <charset val="128"/>
      </rPr>
      <t>　将来の親魚量が目標・限界管理基準値案を上回る確率</t>
    </r>
    <phoneticPr fontId="2"/>
  </si>
  <si>
    <r>
      <t>a)</t>
    </r>
    <r>
      <rPr>
        <sz val="10.5"/>
        <color rgb="FF000000"/>
        <rFont val="ＭＳ Ｐ明朝"/>
        <family val="1"/>
        <charset val="128"/>
      </rPr>
      <t>目標管理基準値案を上回る確率（</t>
    </r>
    <r>
      <rPr>
        <sz val="10.5"/>
        <color rgb="FF000000"/>
        <rFont val="Times New Roman"/>
        <family val="1"/>
      </rPr>
      <t>%)</t>
    </r>
    <phoneticPr fontId="2"/>
  </si>
  <si>
    <t>β</t>
  </si>
  <si>
    <t>F2019-2021</t>
  </si>
  <si>
    <t>b)限界管理基準値案を上回る確率（%）</t>
    <phoneticPr fontId="2"/>
  </si>
  <si>
    <t>太字は漁獲管理規則に基づく管理開始から10年目となる目標年の値を示す。</t>
  </si>
  <si>
    <t>補足表4-3. 将来の親魚量および漁獲量の平均値の推移。</t>
  </si>
  <si>
    <t>a)親魚量の平均値の推移（千トン）</t>
    <phoneticPr fontId="2"/>
  </si>
  <si>
    <t>b)漁獲量の平均値の推移（千トン）</t>
    <phoneticPr fontId="2"/>
  </si>
  <si>
    <t>太字は漁獲管理規則案に基づく管理開始から10年目となる目標年の値を示す。</t>
  </si>
  <si>
    <r>
      <t>補足表</t>
    </r>
    <r>
      <rPr>
        <sz val="10.5"/>
        <color rgb="FF000000"/>
        <rFont val="Times New Roman"/>
        <family val="1"/>
      </rPr>
      <t>5-1.</t>
    </r>
    <r>
      <rPr>
        <sz val="10.5"/>
        <color rgb="FF000000"/>
        <rFont val="ＭＳ 明朝"/>
        <family val="1"/>
        <charset val="128"/>
      </rPr>
      <t>　将来予測計算に用いたパラメータ</t>
    </r>
  </si>
  <si>
    <r>
      <rPr>
        <sz val="10.5"/>
        <color rgb="FF000000"/>
        <rFont val="ＭＳ 明朝"/>
        <family val="1"/>
        <charset val="128"/>
      </rPr>
      <t>選択率（注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</si>
  <si>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t xml:space="preserve">Fmsy
</t>
    </r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</si>
  <si>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t>F2019-2021</t>
    </r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</si>
  <si>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rPr>
        <sz val="10.5"/>
        <color rgb="FF000000"/>
        <rFont val="ＭＳ 明朝"/>
        <family val="1"/>
        <charset val="128"/>
      </rPr>
      <t>平均体重（</t>
    </r>
    <r>
      <rPr>
        <sz val="10.5"/>
        <color rgb="FF000000"/>
        <rFont val="Times New Roman"/>
        <family val="1"/>
      </rPr>
      <t>g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</si>
  <si>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rPr>
        <sz val="10.5"/>
        <color rgb="FF000000"/>
        <rFont val="ＭＳ 明朝"/>
        <family val="1"/>
        <charset val="128"/>
      </rPr>
      <t>自然死亡係数</t>
    </r>
    <phoneticPr fontId="2"/>
  </si>
  <si>
    <r>
      <rPr>
        <sz val="10.5"/>
        <color rgb="FF000000"/>
        <rFont val="ＭＳ 明朝"/>
        <family val="1"/>
        <charset val="128"/>
      </rPr>
      <t>成熟割合（注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）</t>
    </r>
    <phoneticPr fontId="2"/>
  </si>
  <si>
    <r>
      <t>1</t>
    </r>
    <r>
      <rPr>
        <sz val="10.5"/>
        <color rgb="FF000000"/>
        <rFont val="ＭＳ 明朝"/>
        <family val="1"/>
        <charset val="128"/>
      </rPr>
      <t>歳</t>
    </r>
  </si>
  <si>
    <r>
      <t>2</t>
    </r>
    <r>
      <rPr>
        <sz val="10.5"/>
        <color rgb="FF000000"/>
        <rFont val="ＭＳ 明朝"/>
        <family val="1"/>
        <charset val="128"/>
      </rPr>
      <t>歳</t>
    </r>
  </si>
  <si>
    <r>
      <t>3</t>
    </r>
    <r>
      <rPr>
        <sz val="10.5"/>
        <color rgb="FF000000"/>
        <rFont val="ＭＳ 明朝"/>
        <family val="1"/>
        <charset val="128"/>
      </rPr>
      <t>歳</t>
    </r>
  </si>
  <si>
    <r>
      <t>0.02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0.72</t>
    </r>
  </si>
  <si>
    <r>
      <t>4</t>
    </r>
    <r>
      <rPr>
        <sz val="10.5"/>
        <color rgb="FF000000"/>
        <rFont val="ＭＳ 明朝"/>
        <family val="1"/>
        <charset val="128"/>
      </rPr>
      <t>歳</t>
    </r>
  </si>
  <si>
    <r>
      <t>0.34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0.96</t>
    </r>
  </si>
  <si>
    <r>
      <t>5</t>
    </r>
    <r>
      <rPr>
        <sz val="10.5"/>
        <color rgb="FF000000"/>
        <rFont val="ＭＳ 明朝"/>
        <family val="1"/>
        <charset val="128"/>
      </rPr>
      <t>歳</t>
    </r>
  </si>
  <si>
    <r>
      <t>6</t>
    </r>
    <r>
      <rPr>
        <sz val="10.5"/>
        <color rgb="FF000000"/>
        <rFont val="ＭＳ 明朝"/>
        <family val="1"/>
        <charset val="128"/>
      </rPr>
      <t>歳以上</t>
    </r>
  </si>
  <si>
    <t>注1：　令和2年度研究機関会議でMSYを実現する水準の推定の際に使用した選択率（すなわち、令和2年度資源評価でのFcurrentの選択率）。</t>
    <phoneticPr fontId="2"/>
  </si>
  <si>
    <t>注2：　令和2年度研究機関会議で推定されたFmsy（すなわち、令和2年度資源評価でのFcurrentにFmsy/Fcurrentを掛けたもの）。</t>
  </si>
  <si>
    <t>注3：　上記の選択率の下で、今回の資源評価で推定された2019～2021年漁期の年齢別の平均Fと同じ漁獲圧を与えるF値を%SPR換算して算出した。このF値は2023年漁期の漁獲量の仮定に使用した。</t>
    <phoneticPr fontId="2"/>
  </si>
  <si>
    <t>注4：　将来予測における3、4歳の成熟割合（Maa）はそれぞれ以下の式による。なお、Nはそれぞれの年齢における資源尾数である。</t>
    <phoneticPr fontId="2"/>
  </si>
  <si>
    <r>
      <t>3歳：Maa=-5.24*10</t>
    </r>
    <r>
      <rPr>
        <vertAlign val="superscript"/>
        <sz val="11"/>
        <color theme="1"/>
        <rFont val="游ゴシック"/>
        <family val="3"/>
        <charset val="128"/>
        <scheme val="minor"/>
      </rPr>
      <t>(-8)</t>
    </r>
    <r>
      <rPr>
        <sz val="11"/>
        <color theme="1"/>
        <rFont val="游ゴシック"/>
        <family val="2"/>
        <charset val="128"/>
        <scheme val="minor"/>
      </rPr>
      <t>Nage</t>
    </r>
    <r>
      <rPr>
        <vertAlign val="subscript"/>
        <sz val="11"/>
        <color theme="1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2"/>
        <charset val="128"/>
        <scheme val="minor"/>
      </rPr>
      <t>+0.48　(0.72≥Maa≥0.02)</t>
    </r>
    <phoneticPr fontId="2"/>
  </si>
  <si>
    <r>
      <t>4歳：Maa=-5.67*10</t>
    </r>
    <r>
      <rPr>
        <vertAlign val="superscript"/>
        <sz val="11"/>
        <color theme="1"/>
        <rFont val="游ゴシック"/>
        <family val="3"/>
        <charset val="128"/>
        <scheme val="minor"/>
      </rPr>
      <t>(-8)</t>
    </r>
    <r>
      <rPr>
        <sz val="11"/>
        <color theme="1"/>
        <rFont val="游ゴシック"/>
        <family val="2"/>
        <charset val="128"/>
        <scheme val="minor"/>
      </rPr>
      <t>Nage4+0.87　(0.96≥Maa≥0.34)</t>
    </r>
    <phoneticPr fontId="2"/>
  </si>
  <si>
    <t>補足表6-1.　再生産関係式のパラメータ</t>
  </si>
  <si>
    <r>
      <rPr>
        <sz val="11"/>
        <color theme="1"/>
        <rFont val="ＭＳ 明朝"/>
        <family val="1"/>
        <charset val="128"/>
      </rPr>
      <t>再生産関係式</t>
    </r>
  </si>
  <si>
    <r>
      <rPr>
        <sz val="11"/>
        <color theme="1"/>
        <rFont val="ＭＳ 明朝"/>
        <family val="1"/>
        <charset val="128"/>
      </rPr>
      <t>最適化法</t>
    </r>
  </si>
  <si>
    <r>
      <rPr>
        <sz val="11"/>
        <color theme="1"/>
        <rFont val="ＭＳ 明朝"/>
        <family val="1"/>
        <charset val="128"/>
      </rPr>
      <t>自己相関</t>
    </r>
  </si>
  <si>
    <t>a</t>
  </si>
  <si>
    <t>b</t>
  </si>
  <si>
    <t>S.D.</t>
  </si>
  <si>
    <t>ρ</t>
  </si>
  <si>
    <r>
      <rPr>
        <sz val="11"/>
        <color theme="1"/>
        <rFont val="ＭＳ 明朝"/>
        <family val="1"/>
        <charset val="128"/>
      </rPr>
      <t>リッカー型</t>
    </r>
  </si>
  <si>
    <r>
      <rPr>
        <sz val="11"/>
        <color theme="1"/>
        <rFont val="ＭＳ 明朝"/>
        <family val="1"/>
        <charset val="128"/>
      </rPr>
      <t>最小二乗法</t>
    </r>
  </si>
  <si>
    <r>
      <rPr>
        <sz val="11"/>
        <color theme="1"/>
        <rFont val="ＭＳ 明朝"/>
        <family val="1"/>
        <charset val="128"/>
      </rPr>
      <t>有</t>
    </r>
  </si>
  <si>
    <r>
      <t>1.15 × 10</t>
    </r>
    <r>
      <rPr>
        <vertAlign val="superscript"/>
        <sz val="11"/>
        <color theme="1"/>
        <rFont val="Times New Roman"/>
        <family val="1"/>
      </rPr>
      <t>-4</t>
    </r>
    <phoneticPr fontId="2"/>
  </si>
  <si>
    <r>
      <t>補足表</t>
    </r>
    <r>
      <rPr>
        <sz val="10.5"/>
        <color rgb="FF000000"/>
        <rFont val="Times New Roman"/>
        <family val="1"/>
      </rPr>
      <t>6-2.</t>
    </r>
    <r>
      <rPr>
        <sz val="10.5"/>
        <color rgb="FF000000"/>
        <rFont val="ＭＳ 明朝"/>
        <family val="1"/>
        <charset val="128"/>
      </rPr>
      <t>　管理基準値案と</t>
    </r>
    <r>
      <rPr>
        <sz val="10.5"/>
        <color rgb="FF000000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</si>
  <si>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</si>
  <si>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</si>
  <si>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</si>
  <si>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</si>
  <si>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>10.9</t>
    </r>
    <r>
      <rPr>
        <sz val="10.5"/>
        <color rgb="FF000000"/>
        <rFont val="ＭＳ Ｐ明朝"/>
        <family val="1"/>
        <charset val="128"/>
      </rPr>
      <t>千トン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</si>
  <si>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  <phoneticPr fontId="2"/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</si>
  <si>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</si>
  <si>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3.2</t>
    </r>
    <r>
      <rPr>
        <sz val="10.5"/>
        <color rgb="FF000000"/>
        <rFont val="ＭＳ Ｐ明朝"/>
        <family val="1"/>
        <charset val="128"/>
      </rPr>
      <t>千トン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</si>
  <si>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  <phoneticPr fontId="2"/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</si>
  <si>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</si>
  <si>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r>
      <t>0.4</t>
    </r>
    <r>
      <rPr>
        <sz val="10.5"/>
        <color rgb="FF000000"/>
        <rFont val="ＭＳ Ｐ明朝"/>
        <family val="1"/>
        <charset val="128"/>
      </rPr>
      <t>千トン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</si>
  <si>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</si>
  <si>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  <phoneticPr fontId="2"/>
  </si>
  <si>
    <t>Fmsy</t>
  </si>
  <si>
    <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を実現する漁獲圧（漁獲係数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Ｐ明朝"/>
        <family val="1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</si>
  <si>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2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3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Ｐ明朝"/>
        <family val="1"/>
        <charset val="128"/>
      </rPr>
      <t>歳、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歳以上）</t>
    </r>
  </si>
  <si>
    <r>
      <t>=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0.23, 0.75, 0.69, 0.95, 1.42, 1.42</t>
    </r>
    <r>
      <rPr>
        <sz val="10.5"/>
        <color rgb="FF000000"/>
        <rFont val="ＭＳ Ｐ明朝"/>
        <family val="1"/>
        <charset val="128"/>
      </rPr>
      <t>）</t>
    </r>
  </si>
  <si>
    <r>
      <t>%SPR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Ｐ明朝"/>
        <family val="1"/>
        <charset val="128"/>
      </rPr>
      <t>）</t>
    </r>
  </si>
  <si>
    <r>
      <t>Fmsy</t>
    </r>
    <r>
      <rPr>
        <sz val="10.5"/>
        <color rgb="FF000000"/>
        <rFont val="ＭＳ Ｐ明朝"/>
        <family val="1"/>
        <charset val="128"/>
      </rPr>
      <t>に対応する</t>
    </r>
    <r>
      <rPr>
        <sz val="10.5"/>
        <color rgb="FF000000"/>
        <rFont val="Times New Roman"/>
        <family val="1"/>
      </rPr>
      <t>%SPR</t>
    </r>
  </si>
  <si>
    <t>MSY</t>
  </si>
  <si>
    <r>
      <t>20.2</t>
    </r>
    <r>
      <rPr>
        <sz val="10.5"/>
        <color rgb="FF000000"/>
        <rFont val="ＭＳ Ｐ明朝"/>
        <family val="1"/>
        <charset val="128"/>
      </rPr>
      <t>千トン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</si>
  <si>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</si>
  <si>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rgb="FF000000"/>
        <rFont val="Times New Roman"/>
        <family val="1"/>
      </rPr>
      <t>6-3.</t>
    </r>
    <r>
      <rPr>
        <sz val="10.5"/>
        <color rgb="FF000000"/>
        <rFont val="ＭＳ 明朝"/>
        <family val="1"/>
        <charset val="128"/>
      </rPr>
      <t>　最新年の親魚量と漁獲圧</t>
    </r>
  </si>
  <si>
    <t>SB2022</t>
  </si>
  <si>
    <r>
      <t>9.9</t>
    </r>
    <r>
      <rPr>
        <sz val="10.5"/>
        <color rgb="FF000000"/>
        <rFont val="ＭＳ Ｐ明朝"/>
        <family val="1"/>
        <charset val="128"/>
      </rPr>
      <t>千トン</t>
    </r>
  </si>
  <si>
    <r>
      <t>2022</t>
    </r>
    <r>
      <rPr>
        <sz val="10.5"/>
        <color rgb="FF000000"/>
        <rFont val="ＭＳ Ｐ明朝"/>
        <family val="1"/>
        <charset val="128"/>
      </rPr>
      <t>年漁期の親魚量</t>
    </r>
  </si>
  <si>
    <t>F2022</t>
  </si>
  <si>
    <r>
      <t>2022</t>
    </r>
    <r>
      <rPr>
        <sz val="10.5"/>
        <color rgb="FF000000"/>
        <rFont val="ＭＳ Ｐ明朝"/>
        <family val="1"/>
        <charset val="128"/>
      </rPr>
      <t>年漁期の漁獲圧（漁獲係数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Ｐ明朝"/>
        <family val="1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</si>
  <si>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2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3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4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5</t>
    </r>
    <r>
      <rPr>
        <sz val="10.5"/>
        <color rgb="FF000000"/>
        <rFont val="ＭＳ Ｐ明朝"/>
        <family val="1"/>
        <charset val="128"/>
      </rPr>
      <t>歳</t>
    </r>
    <r>
      <rPr>
        <sz val="10.5"/>
        <color rgb="FF000000"/>
        <rFont val="Times New Roman"/>
        <family val="1"/>
      </rPr>
      <t>, 6</t>
    </r>
    <r>
      <rPr>
        <sz val="10.5"/>
        <color rgb="FF000000"/>
        <rFont val="ＭＳ Ｐ明朝"/>
        <family val="1"/>
        <charset val="128"/>
      </rPr>
      <t>歳以上）</t>
    </r>
  </si>
  <si>
    <r>
      <t>=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0.51, 0.45, 0.40, 0.57, 0.91, 0.91</t>
    </r>
    <r>
      <rPr>
        <sz val="10.5"/>
        <color rgb="FF000000"/>
        <rFont val="ＭＳ Ｐ明朝"/>
        <family val="1"/>
        <charset val="128"/>
      </rPr>
      <t>）</t>
    </r>
  </si>
  <si>
    <t>U2022</t>
  </si>
  <si>
    <r>
      <t>2022</t>
    </r>
    <r>
      <rPr>
        <sz val="10.5"/>
        <color rgb="FF000000"/>
        <rFont val="ＭＳ Ｐ明朝"/>
        <family val="1"/>
        <charset val="128"/>
      </rPr>
      <t>年漁期の漁獲割合</t>
    </r>
  </si>
  <si>
    <r>
      <t>%SPR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F2022</t>
    </r>
    <r>
      <rPr>
        <sz val="10.5"/>
        <color rgb="FF000000"/>
        <rFont val="ＭＳ Ｐ明朝"/>
        <family val="1"/>
        <charset val="128"/>
      </rPr>
      <t>）</t>
    </r>
  </si>
  <si>
    <r>
      <t>2022</t>
    </r>
    <r>
      <rPr>
        <sz val="10.5"/>
        <color rgb="FF000000"/>
        <rFont val="ＭＳ Ｐ明朝"/>
        <family val="1"/>
        <charset val="128"/>
      </rPr>
      <t>年漁期の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</si>
  <si>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F2019-2021</t>
    </r>
    <r>
      <rPr>
        <sz val="10.5"/>
        <color rgb="FF000000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</si>
  <si>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2019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年漁期）の漁獲圧に対応する</t>
    </r>
    <r>
      <rPr>
        <sz val="10.5"/>
        <color rgb="FF000000"/>
        <rFont val="Times New Roman"/>
        <family val="1"/>
      </rPr>
      <t>%SPR*</t>
    </r>
  </si>
  <si>
    <t>管理基準値案との比較</t>
  </si>
  <si>
    <t>SB2022/ SBmsy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</si>
  <si>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年漁期の親魚量の比</t>
    </r>
  </si>
  <si>
    <t xml:space="preserve"> (SBtarget)</t>
  </si>
  <si>
    <t>F2022/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</si>
  <si>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年漁期の漁獲圧の比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</si>
  <si>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</si>
  <si>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rgb="FF000000"/>
        <rFont val="ＭＳ Ｐ明朝"/>
        <family val="1"/>
        <charset val="128"/>
      </rPr>
      <t>を実現する水準を下回る</t>
    </r>
  </si>
  <si>
    <t>漁獲圧の水準</t>
  </si>
  <si>
    <t>親魚量の動向</t>
  </si>
  <si>
    <t>増加</t>
  </si>
  <si>
    <r>
      <t>* 2022</t>
    </r>
    <r>
      <rPr>
        <sz val="11"/>
        <color theme="1"/>
        <rFont val="游明朝"/>
        <family val="1"/>
        <charset val="128"/>
      </rPr>
      <t>年漁期の選択率の下で</t>
    </r>
    <r>
      <rPr>
        <sz val="11"/>
        <color theme="1"/>
        <rFont val="Times New Roman"/>
        <family val="1"/>
      </rPr>
      <t>Fmsy</t>
    </r>
    <r>
      <rPr>
        <sz val="11"/>
        <color theme="1"/>
        <rFont val="游明朝"/>
        <family val="1"/>
        <charset val="128"/>
      </rPr>
      <t>の漁獲圧を与える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游明朝"/>
        <family val="1"/>
        <charset val="128"/>
      </rPr>
      <t>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游明朝"/>
        <family val="1"/>
        <charset val="128"/>
      </rPr>
      <t>換算して算出し求めた比率。</t>
    </r>
    <phoneticPr fontId="2"/>
  </si>
  <si>
    <r>
      <t>補足表</t>
    </r>
    <r>
      <rPr>
        <sz val="10.5"/>
        <color rgb="FF000000"/>
        <rFont val="Times New Roman"/>
        <family val="1"/>
      </rPr>
      <t>6-4.</t>
    </r>
    <r>
      <rPr>
        <sz val="10.5"/>
        <color rgb="FF000000"/>
        <rFont val="ＭＳ 明朝"/>
        <family val="1"/>
        <charset val="128"/>
      </rPr>
      <t>　予測漁獲量と予測親魚量</t>
    </r>
  </si>
  <si>
    <r>
      <t>2024</t>
    </r>
    <r>
      <rPr>
        <sz val="10.5"/>
        <color rgb="FF000000"/>
        <rFont val="ＭＳ Ｐ明朝"/>
        <family val="1"/>
        <charset val="128"/>
      </rPr>
      <t>年漁期の親魚量（予測平均値）：</t>
    </r>
    <r>
      <rPr>
        <sz val="10.5"/>
        <color rgb="FF000000"/>
        <rFont val="Times New Roman"/>
        <family val="1"/>
      </rPr>
      <t>4.8</t>
    </r>
    <r>
      <rPr>
        <sz val="10.5"/>
        <color rgb="FF000000"/>
        <rFont val="ＭＳ Ｐ明朝"/>
        <family val="1"/>
        <charset val="128"/>
      </rPr>
      <t>千トン</t>
    </r>
  </si>
  <si>
    <r>
      <t>2024</t>
    </r>
    <r>
      <rPr>
        <sz val="10.5"/>
        <color rgb="FF000000"/>
        <rFont val="ＭＳ Ｐ明朝"/>
        <family val="1"/>
        <charset val="128"/>
      </rPr>
      <t>年漁期の</t>
    </r>
  </si>
  <si>
    <t>現状の漁獲圧に</t>
  </si>
  <si>
    <t>漁獲量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</si>
  <si>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</si>
  <si>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</si>
  <si>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（千トン）</t>
  </si>
  <si>
    <r>
      <t>（</t>
    </r>
    <r>
      <rPr>
        <sz val="10.5"/>
        <color rgb="FF000000"/>
        <rFont val="Times New Roman"/>
        <family val="1"/>
      </rPr>
      <t>F/F2019-2021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</si>
  <si>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</si>
  <si>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β=0.9</t>
  </si>
  <si>
    <t>β=0.8</t>
  </si>
  <si>
    <t>β=0.75</t>
  </si>
  <si>
    <t>β=0.7</t>
  </si>
  <si>
    <t>β=0.6</t>
  </si>
  <si>
    <t>β=0.5</t>
  </si>
  <si>
    <r>
      <t>補足表</t>
    </r>
    <r>
      <rPr>
        <sz val="10.5"/>
        <color rgb="FF000000"/>
        <rFont val="Times New Roman"/>
        <family val="1"/>
      </rPr>
      <t>6-5.</t>
    </r>
    <r>
      <rPr>
        <sz val="10.5"/>
        <color rgb="FF000000"/>
        <rFont val="ＭＳ 明朝"/>
        <family val="1"/>
        <charset val="128"/>
      </rPr>
      <t xml:space="preserve"> 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を用いた将来予測結果</t>
    </r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</si>
  <si>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</si>
  <si>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r>
      <t>2034</t>
    </r>
    <r>
      <rPr>
        <sz val="10.5"/>
        <color rgb="FF000000"/>
        <rFont val="ＭＳ Ｐ明朝"/>
        <family val="1"/>
        <charset val="128"/>
      </rPr>
      <t>年漁期</t>
    </r>
  </si>
  <si>
    <r>
      <t>2034</t>
    </r>
    <r>
      <rPr>
        <sz val="10.5"/>
        <color rgb="FF000000"/>
        <rFont val="ＭＳ Ｐ明朝"/>
        <family val="1"/>
        <charset val="128"/>
      </rPr>
      <t>年漁期に親魚量が以下の</t>
    </r>
  </si>
  <si>
    <t>の平均親魚量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</si>
  <si>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</si>
  <si>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</si>
  <si>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SBlimit</t>
  </si>
  <si>
    <t>SBban</t>
  </si>
  <si>
    <t>案</t>
  </si>
  <si>
    <t>2.7 – 12.8</t>
  </si>
  <si>
    <t>3.3 – 15.5</t>
  </si>
  <si>
    <t>4.1 – 18.8</t>
  </si>
  <si>
    <t>4.6 – 20.7</t>
  </si>
  <si>
    <t>5.2 – 22.8</t>
  </si>
  <si>
    <t>6.5 – 27.5</t>
  </si>
  <si>
    <t>7.9 – 32.6</t>
  </si>
  <si>
    <t>3.0 – 15.2</t>
  </si>
  <si>
    <r>
      <t>補足表</t>
    </r>
    <r>
      <rPr>
        <sz val="10.5"/>
        <color rgb="FF000000"/>
        <rFont val="Times New Roman"/>
        <family val="1"/>
      </rPr>
      <t>6-5.</t>
    </r>
    <r>
      <rPr>
        <sz val="10.5"/>
        <color rgb="FF000000"/>
        <rFont val="ＭＳ 明朝"/>
        <family val="1"/>
        <charset val="128"/>
      </rPr>
      <t>　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を用いた将来予測結果（つづき）</t>
    </r>
  </si>
  <si>
    <t>考慮している不確実性：加入量</t>
  </si>
  <si>
    <r>
      <t>2024</t>
    </r>
    <r>
      <rPr>
        <sz val="10.5"/>
        <color rgb="FF000000"/>
        <rFont val="ＭＳ Ｐ明朝"/>
        <family val="1"/>
        <charset val="128"/>
      </rPr>
      <t>年以降に親魚量が管理基準値案を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以上の確率で上回る年（漁期年）</t>
    </r>
  </si>
  <si>
    <r>
      <t>2054</t>
    </r>
    <r>
      <rPr>
        <sz val="10.5"/>
        <color rgb="FF000000"/>
        <rFont val="ＭＳ Ｐ明朝"/>
        <family val="1"/>
        <charset val="128"/>
      </rPr>
      <t>年以降</t>
    </r>
  </si>
  <si>
    <r>
      <t>2024</t>
    </r>
    <r>
      <rPr>
        <sz val="10.5"/>
        <color rgb="FF000000"/>
        <rFont val="ＭＳ Ｐ明朝"/>
        <family val="1"/>
        <charset val="128"/>
      </rPr>
      <t>年</t>
    </r>
  </si>
  <si>
    <r>
      <t>2044</t>
    </r>
    <r>
      <rPr>
        <sz val="10.5"/>
        <color rgb="FF000000"/>
        <rFont val="ＭＳ Ｐ明朝"/>
        <family val="1"/>
        <charset val="128"/>
      </rPr>
      <t>年</t>
    </r>
  </si>
  <si>
    <r>
      <t>2033</t>
    </r>
    <r>
      <rPr>
        <sz val="10.5"/>
        <color rgb="FF000000"/>
        <rFont val="ＭＳ Ｐ明朝"/>
        <family val="1"/>
        <charset val="128"/>
      </rPr>
      <t>年</t>
    </r>
  </si>
  <si>
    <r>
      <t>2032</t>
    </r>
    <r>
      <rPr>
        <sz val="10.5"/>
        <color rgb="FF000000"/>
        <rFont val="ＭＳ Ｐ明朝"/>
        <family val="1"/>
        <charset val="128"/>
      </rPr>
      <t>年</t>
    </r>
  </si>
  <si>
    <r>
      <t>2031</t>
    </r>
    <r>
      <rPr>
        <sz val="10.5"/>
        <color rgb="FF000000"/>
        <rFont val="ＭＳ Ｐ明朝"/>
        <family val="1"/>
        <charset val="128"/>
      </rPr>
      <t>年</t>
    </r>
  </si>
  <si>
    <r>
      <t>2027</t>
    </r>
    <r>
      <rPr>
        <sz val="10.5"/>
        <color rgb="FF000000"/>
        <rFont val="ＭＳ Ｐ明朝"/>
        <family val="1"/>
        <charset val="128"/>
      </rPr>
      <t>年</t>
    </r>
  </si>
  <si>
    <r>
      <rPr>
        <sz val="19"/>
        <color theme="1"/>
        <rFont val="ＭＳ Ｐ明朝"/>
        <family val="1"/>
        <charset val="128"/>
      </rPr>
      <t>補足表</t>
    </r>
    <r>
      <rPr>
        <sz val="19"/>
        <color theme="1"/>
        <rFont val="Times New Roman"/>
        <family val="1"/>
      </rPr>
      <t>7-1.</t>
    </r>
    <r>
      <rPr>
        <sz val="19"/>
        <color theme="1"/>
        <rFont val="ＭＳ Ｐ明朝"/>
        <family val="1"/>
        <charset val="128"/>
      </rPr>
      <t>　トロール調査から推定した年齢別現存尾数（千尾）</t>
    </r>
    <rPh sb="0" eb="2">
      <t>ホソク</t>
    </rPh>
    <rPh sb="2" eb="3">
      <t>ヒョウ</t>
    </rPh>
    <rPh sb="11" eb="13">
      <t>チョウサ</t>
    </rPh>
    <rPh sb="15" eb="17">
      <t>スイテイ</t>
    </rPh>
    <rPh sb="19" eb="22">
      <t>ネンレイベツ</t>
    </rPh>
    <rPh sb="22" eb="24">
      <t>ゲンソン</t>
    </rPh>
    <rPh sb="24" eb="25">
      <t>オ</t>
    </rPh>
    <rPh sb="25" eb="26">
      <t>スウ</t>
    </rPh>
    <rPh sb="27" eb="29">
      <t>センビ</t>
    </rPh>
    <phoneticPr fontId="18"/>
  </si>
  <si>
    <r>
      <rPr>
        <sz val="12"/>
        <color theme="1" tint="4.9989318521683403E-2"/>
        <rFont val="ＭＳ Ｐ明朝"/>
        <family val="1"/>
        <charset val="128"/>
      </rPr>
      <t>年齢</t>
    </r>
    <rPh sb="0" eb="2">
      <t>ネンレイ</t>
    </rPh>
    <phoneticPr fontId="18"/>
  </si>
  <si>
    <r>
      <t>6</t>
    </r>
    <r>
      <rPr>
        <sz val="12"/>
        <color theme="1" tint="4.9989318521683403E-2"/>
        <rFont val="ＭＳ Ｐ明朝"/>
        <family val="1"/>
        <charset val="128"/>
      </rPr>
      <t>以上</t>
    </r>
    <r>
      <rPr>
        <sz val="12"/>
        <color theme="1" tint="4.9989318521683403E-2"/>
        <rFont val="ＭＳ 明朝"/>
        <family val="1"/>
        <charset val="128"/>
      </rPr>
      <t/>
    </r>
    <rPh sb="1" eb="3">
      <t>イジョウ</t>
    </rPh>
    <phoneticPr fontId="18"/>
  </si>
  <si>
    <r>
      <rPr>
        <sz val="12"/>
        <color theme="1" tint="4.9989318521683403E-2"/>
        <rFont val="ＭＳ Ｐ明朝"/>
        <family val="1"/>
        <charset val="128"/>
      </rPr>
      <t>合計</t>
    </r>
    <rPh sb="0" eb="2">
      <t>ゴウケイ</t>
    </rPh>
    <phoneticPr fontId="18"/>
  </si>
  <si>
    <r>
      <rPr>
        <sz val="14"/>
        <color theme="1"/>
        <rFont val="ＭＳ 明朝"/>
        <family val="1"/>
        <charset val="128"/>
      </rPr>
      <t>注）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明朝"/>
        <family val="1"/>
        <charset val="128"/>
      </rPr>
      <t>～</t>
    </r>
    <r>
      <rPr>
        <sz val="14"/>
        <color theme="1"/>
        <rFont val="Times New Roman"/>
        <family val="1"/>
      </rPr>
      <t>11</t>
    </r>
    <r>
      <rPr>
        <sz val="14"/>
        <color theme="1"/>
        <rFont val="ＭＳ 明朝"/>
        <family val="1"/>
        <charset val="128"/>
      </rPr>
      <t>月時点の値</t>
    </r>
    <rPh sb="0" eb="1">
      <t>チュウ</t>
    </rPh>
    <rPh sb="7" eb="8">
      <t>ガツ</t>
    </rPh>
    <rPh sb="8" eb="10">
      <t>ジテン</t>
    </rPh>
    <rPh sb="11" eb="12">
      <t>アタイ</t>
    </rPh>
    <phoneticPr fontId="8"/>
  </si>
  <si>
    <r>
      <rPr>
        <sz val="14"/>
        <color theme="1"/>
        <rFont val="ＭＳ 明朝"/>
        <family val="1"/>
        <charset val="128"/>
      </rPr>
      <t>　　トロール調査による面積ー密度法による推定値。</t>
    </r>
    <rPh sb="20" eb="23">
      <t>スイテイチ</t>
    </rPh>
    <phoneticPr fontId="8"/>
  </si>
  <si>
    <r>
      <rPr>
        <sz val="14"/>
        <color theme="1"/>
        <rFont val="ＭＳ 明朝"/>
        <family val="1"/>
        <charset val="128"/>
      </rPr>
      <t>　　採集効率（</t>
    </r>
    <r>
      <rPr>
        <sz val="14"/>
        <color theme="1"/>
        <rFont val="Times New Roman"/>
        <family val="1"/>
      </rPr>
      <t>Q</t>
    </r>
    <r>
      <rPr>
        <sz val="14"/>
        <color theme="1"/>
        <rFont val="ＭＳ 明朝"/>
        <family val="1"/>
        <charset val="128"/>
      </rPr>
      <t>）は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</rPr>
      <t>歳魚</t>
    </r>
    <r>
      <rPr>
        <sz val="14"/>
        <color theme="1"/>
        <rFont val="Times New Roman"/>
        <family val="1"/>
      </rPr>
      <t>0.54</t>
    </r>
    <r>
      <rPr>
        <sz val="14"/>
        <color theme="1"/>
        <rFont val="ＭＳ 明朝"/>
        <family val="1"/>
        <charset val="128"/>
      </rPr>
      <t>、</t>
    </r>
    <r>
      <rPr>
        <sz val="14"/>
        <color theme="1"/>
        <rFont val="Times New Roman"/>
        <family val="1"/>
      </rPr>
      <t>2</t>
    </r>
    <r>
      <rPr>
        <sz val="14"/>
        <color theme="1"/>
        <rFont val="ＭＳ 明朝"/>
        <family val="1"/>
        <charset val="128"/>
      </rPr>
      <t>歳魚以上</t>
    </r>
    <r>
      <rPr>
        <sz val="14"/>
        <color theme="1"/>
        <rFont val="Times New Roman"/>
        <family val="1"/>
      </rPr>
      <t>0.12</t>
    </r>
    <r>
      <rPr>
        <sz val="14"/>
        <color theme="1"/>
        <rFont val="ＭＳ 明朝"/>
        <family val="1"/>
        <charset val="128"/>
      </rPr>
      <t>を使用</t>
    </r>
    <r>
      <rPr>
        <sz val="14"/>
        <color theme="1"/>
        <rFont val="Yu Gothic"/>
        <family val="1"/>
        <charset val="128"/>
      </rPr>
      <t>。</t>
    </r>
    <rPh sb="11" eb="12">
      <t>サイ</t>
    </rPh>
    <rPh sb="19" eb="20">
      <t>サイ</t>
    </rPh>
    <rPh sb="21" eb="23">
      <t>イジョウ</t>
    </rPh>
    <rPh sb="28" eb="30">
      <t>シヨウ</t>
    </rPh>
    <phoneticPr fontId="8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</si>
  <si>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7-2.</t>
    </r>
    <r>
      <rPr>
        <sz val="16"/>
        <color theme="1"/>
        <rFont val="ＭＳ 明朝"/>
        <family val="1"/>
        <charset val="128"/>
      </rPr>
      <t>　トロール調査から推定した年齢別現存量（トン）</t>
    </r>
    <rPh sb="0" eb="2">
      <t>ホソク</t>
    </rPh>
    <rPh sb="2" eb="3">
      <t>ヒョウ</t>
    </rPh>
    <rPh sb="12" eb="14">
      <t>チョウサ</t>
    </rPh>
    <rPh sb="16" eb="18">
      <t>スイテイ</t>
    </rPh>
    <rPh sb="20" eb="23">
      <t>ネンレイベツ</t>
    </rPh>
    <rPh sb="23" eb="25">
      <t>ゲンゾン</t>
    </rPh>
    <rPh sb="25" eb="26">
      <t>リョウ</t>
    </rPh>
    <phoneticPr fontId="6"/>
  </si>
  <si>
    <r>
      <rPr>
        <sz val="12"/>
        <color theme="1" tint="4.9989318521683403E-2"/>
        <rFont val="ＭＳ Ｐ明朝"/>
        <family val="1"/>
        <charset val="128"/>
      </rPr>
      <t>年齢</t>
    </r>
    <rPh sb="0" eb="2">
      <t>ネンレイ</t>
    </rPh>
    <phoneticPr fontId="6"/>
  </si>
  <si>
    <r>
      <t>6</t>
    </r>
    <r>
      <rPr>
        <sz val="12"/>
        <color theme="1" tint="4.9989318521683403E-2"/>
        <rFont val="ＭＳ Ｐ明朝"/>
        <family val="1"/>
        <charset val="128"/>
      </rPr>
      <t>以上</t>
    </r>
    <r>
      <rPr>
        <sz val="12"/>
        <color theme="1" tint="4.9989318521683403E-2"/>
        <rFont val="ＭＳ 明朝"/>
        <family val="1"/>
        <charset val="128"/>
      </rPr>
      <t/>
    </r>
    <rPh sb="1" eb="3">
      <t>イジョウ</t>
    </rPh>
    <phoneticPr fontId="6"/>
  </si>
  <si>
    <r>
      <rPr>
        <sz val="12"/>
        <color theme="1" tint="4.9989318521683403E-2"/>
        <rFont val="ＭＳ Ｐ明朝"/>
        <family val="1"/>
        <charset val="128"/>
      </rPr>
      <t>計</t>
    </r>
    <rPh sb="0" eb="1">
      <t>ケイ</t>
    </rPh>
    <phoneticPr fontId="6"/>
  </si>
  <si>
    <r>
      <rPr>
        <sz val="14"/>
        <color theme="1" tint="4.9989318521683403E-2"/>
        <rFont val="ＭＳ Ｐ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</t>
    </r>
    <r>
      <rPr>
        <sz val="14"/>
        <color theme="1" tint="4.9989318521683403E-2"/>
        <rFont val="ＭＳ Ｐ明朝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11</t>
    </r>
    <r>
      <rPr>
        <sz val="14"/>
        <color theme="1" tint="4.9989318521683403E-2"/>
        <rFont val="ＭＳ Ｐ明朝"/>
        <family val="1"/>
        <charset val="128"/>
      </rPr>
      <t>月時点の値</t>
    </r>
    <rPh sb="0" eb="1">
      <t>チュウ</t>
    </rPh>
    <rPh sb="7" eb="8">
      <t>ガツ</t>
    </rPh>
    <rPh sb="8" eb="10">
      <t>ジテン</t>
    </rPh>
    <rPh sb="11" eb="12">
      <t>アタイ</t>
    </rPh>
    <phoneticPr fontId="4"/>
  </si>
  <si>
    <r>
      <rPr>
        <sz val="14"/>
        <color theme="1" tint="4.9989318521683403E-2"/>
        <rFont val="ＭＳ Ｐ明朝"/>
        <family val="1"/>
        <charset val="128"/>
      </rPr>
      <t>　　トロール調査による面積ー密度法による推定値。</t>
    </r>
    <rPh sb="20" eb="23">
      <t>スイテイチ</t>
    </rPh>
    <phoneticPr fontId="4"/>
  </si>
  <si>
    <r>
      <rPr>
        <sz val="11"/>
        <rFont val="ＭＳ Ｐ明朝"/>
        <family val="1"/>
        <charset val="128"/>
      </rPr>
      <t>年</t>
    </r>
    <rPh sb="0" eb="1">
      <t>ネン</t>
    </rPh>
    <phoneticPr fontId="4"/>
  </si>
  <si>
    <r>
      <rPr>
        <sz val="11"/>
        <rFont val="ＭＳ Ｐ明朝"/>
        <family val="1"/>
        <charset val="128"/>
      </rPr>
      <t>調査地点数</t>
    </r>
    <rPh sb="0" eb="2">
      <t>チョウサ</t>
    </rPh>
    <rPh sb="2" eb="4">
      <t>チテン</t>
    </rPh>
    <rPh sb="4" eb="5">
      <t>スウ</t>
    </rPh>
    <phoneticPr fontId="4"/>
  </si>
  <si>
    <r>
      <rPr>
        <sz val="11"/>
        <rFont val="ＭＳ Ｐ明朝"/>
        <family val="1"/>
        <charset val="128"/>
      </rPr>
      <t>現存尾数（千尾）</t>
    </r>
    <rPh sb="0" eb="2">
      <t>ゲンゾン</t>
    </rPh>
    <rPh sb="2" eb="3">
      <t>オ</t>
    </rPh>
    <rPh sb="3" eb="4">
      <t>カズ</t>
    </rPh>
    <rPh sb="5" eb="7">
      <t>センビ</t>
    </rPh>
    <phoneticPr fontId="4"/>
  </si>
  <si>
    <r>
      <rPr>
        <sz val="11"/>
        <rFont val="ＭＳ Ｐ明朝"/>
        <family val="1"/>
        <charset val="128"/>
      </rPr>
      <t>現存尾数の</t>
    </r>
    <r>
      <rPr>
        <sz val="11"/>
        <rFont val="Times New Roman"/>
        <family val="1"/>
      </rPr>
      <t>CV</t>
    </r>
    <rPh sb="0" eb="2">
      <t>ゲンゾン</t>
    </rPh>
    <rPh sb="2" eb="3">
      <t>オ</t>
    </rPh>
    <rPh sb="3" eb="4">
      <t>カズ</t>
    </rPh>
    <phoneticPr fontId="4"/>
  </si>
  <si>
    <r>
      <rPr>
        <sz val="11"/>
        <rFont val="ＭＳ Ｐ明朝"/>
        <family val="1"/>
        <charset val="128"/>
      </rPr>
      <t>現存尾数の</t>
    </r>
    <r>
      <rPr>
        <sz val="11"/>
        <rFont val="Times New Roman"/>
        <family val="1"/>
      </rPr>
      <t>SE</t>
    </r>
    <r>
      <rPr>
        <sz val="11"/>
        <rFont val="ＭＳ Ｐ明朝"/>
        <family val="1"/>
        <charset val="128"/>
      </rPr>
      <t>（千尾）</t>
    </r>
    <rPh sb="0" eb="2">
      <t>ゲンゾン</t>
    </rPh>
    <rPh sb="2" eb="3">
      <t>オ</t>
    </rPh>
    <rPh sb="3" eb="4">
      <t>カズ</t>
    </rPh>
    <rPh sb="8" eb="10">
      <t>センビ</t>
    </rPh>
    <phoneticPr fontId="4"/>
  </si>
  <si>
    <r>
      <t>95%</t>
    </r>
    <r>
      <rPr>
        <sz val="11"/>
        <rFont val="ＭＳ Ｐ明朝"/>
        <family val="1"/>
        <charset val="128"/>
      </rPr>
      <t>信頼区間（下限、千尾）</t>
    </r>
    <rPh sb="3" eb="5">
      <t>シンライ</t>
    </rPh>
    <rPh sb="5" eb="7">
      <t>クカン</t>
    </rPh>
    <rPh sb="8" eb="10">
      <t>カゲン</t>
    </rPh>
    <rPh sb="11" eb="13">
      <t>センビ</t>
    </rPh>
    <phoneticPr fontId="4"/>
  </si>
  <si>
    <r>
      <t>95%</t>
    </r>
    <r>
      <rPr>
        <sz val="11"/>
        <rFont val="ＭＳ Ｐ明朝"/>
        <family val="1"/>
        <charset val="128"/>
      </rPr>
      <t>信頼区間（上限、千尾）</t>
    </r>
    <rPh sb="3" eb="5">
      <t>シンライ</t>
    </rPh>
    <rPh sb="5" eb="7">
      <t>クカン</t>
    </rPh>
    <rPh sb="8" eb="10">
      <t>ジョウゲン</t>
    </rPh>
    <rPh sb="11" eb="13">
      <t>センビ</t>
    </rPh>
    <phoneticPr fontId="4"/>
  </si>
  <si>
    <r>
      <rPr>
        <sz val="10"/>
        <rFont val="ＭＳ Ｐ明朝"/>
        <family val="1"/>
        <charset val="128"/>
      </rPr>
      <t>注）</t>
    </r>
    <r>
      <rPr>
        <sz val="10"/>
        <rFont val="Times New Roman"/>
        <family val="1"/>
      </rPr>
      <t>CV</t>
    </r>
    <r>
      <rPr>
        <sz val="10"/>
        <rFont val="ＭＳ Ｐ明朝"/>
        <family val="1"/>
        <charset val="128"/>
      </rPr>
      <t>、信頼区間は各年齢に分けて求めた資源尾数、</t>
    </r>
    <r>
      <rPr>
        <sz val="10"/>
        <rFont val="Times New Roman"/>
        <family val="1"/>
      </rPr>
      <t>SE</t>
    </r>
    <r>
      <rPr>
        <sz val="10"/>
        <rFont val="ＭＳ Ｐ明朝"/>
        <family val="1"/>
        <charset val="128"/>
      </rPr>
      <t>から求めたものである。</t>
    </r>
    <rPh sb="0" eb="1">
      <t>チュウ</t>
    </rPh>
    <rPh sb="5" eb="7">
      <t>シンライ</t>
    </rPh>
    <rPh sb="7" eb="9">
      <t>クカン</t>
    </rPh>
    <rPh sb="10" eb="13">
      <t>カクネンレイ</t>
    </rPh>
    <rPh sb="14" eb="15">
      <t>ワ</t>
    </rPh>
    <rPh sb="17" eb="18">
      <t>モト</t>
    </rPh>
    <rPh sb="20" eb="22">
      <t>シゲン</t>
    </rPh>
    <rPh sb="22" eb="23">
      <t>オ</t>
    </rPh>
    <rPh sb="23" eb="24">
      <t>カズ</t>
    </rPh>
    <rPh sb="29" eb="30">
      <t>モト</t>
    </rPh>
    <phoneticPr fontId="4"/>
  </si>
  <si>
    <t>月別漁獲量</t>
  </si>
  <si>
    <t>平均漁獲量</t>
    <rPh sb="0" eb="2">
      <t>ヘイキン</t>
    </rPh>
    <rPh sb="2" eb="5">
      <t>ギョカクリョウ</t>
    </rPh>
    <phoneticPr fontId="2"/>
  </si>
  <si>
    <t>平均漁獲量割合</t>
    <rPh sb="0" eb="2">
      <t>ヘイキン</t>
    </rPh>
    <rPh sb="2" eb="5">
      <t>ギョカクリョウ</t>
    </rPh>
    <rPh sb="5" eb="7">
      <t>ワリアイ</t>
    </rPh>
    <phoneticPr fontId="2"/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</si>
  <si>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2"/>
  </si>
  <si>
    <r>
      <rPr>
        <sz val="12"/>
        <color theme="1"/>
        <rFont val="Yu Gothic"/>
        <family val="1"/>
        <charset val="128"/>
      </rPr>
      <t>　　　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明朝"/>
        <family val="1"/>
        <charset val="128"/>
      </rPr>
      <t>年漁期</t>
    </r>
    <rPh sb="7" eb="8">
      <t>ネン</t>
    </rPh>
    <rPh sb="8" eb="10">
      <t>ギョキ</t>
    </rPh>
    <phoneticPr fontId="2"/>
  </si>
  <si>
    <r>
      <rPr>
        <sz val="12"/>
        <color theme="1"/>
        <rFont val="ＭＳ 明朝"/>
        <family val="1"/>
        <charset val="128"/>
      </rPr>
      <t>平均漁獲量</t>
    </r>
    <rPh sb="0" eb="2">
      <t>ヘイキン</t>
    </rPh>
    <rPh sb="2" eb="4">
      <t>ギョカク</t>
    </rPh>
    <rPh sb="4" eb="5">
      <t>リョウ</t>
    </rPh>
    <phoneticPr fontId="2"/>
  </si>
  <si>
    <r>
      <rPr>
        <sz val="12"/>
        <color theme="1"/>
        <rFont val="ＭＳ 明朝"/>
        <family val="1"/>
        <charset val="128"/>
      </rPr>
      <t>月別平均漁獲量（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明朝"/>
        <family val="1"/>
        <charset val="128"/>
      </rPr>
      <t>年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1"/>
        <charset val="128"/>
      </rPr>
      <t>月～</t>
    </r>
    <r>
      <rPr>
        <sz val="12"/>
        <color theme="1"/>
        <rFont val="Times New Roman"/>
        <family val="1"/>
      </rPr>
      <t>2025</t>
    </r>
    <r>
      <rPr>
        <sz val="12"/>
        <color theme="1"/>
        <rFont val="ＭＳ 明朝"/>
        <family val="1"/>
        <charset val="128"/>
      </rPr>
      <t>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月）</t>
    </r>
    <rPh sb="0" eb="2">
      <t>ツキベツ</t>
    </rPh>
    <rPh sb="2" eb="7">
      <t>ヘイキンギョカクリョウ</t>
    </rPh>
    <rPh sb="12" eb="13">
      <t>ネン</t>
    </rPh>
    <rPh sb="14" eb="15">
      <t>ガツ</t>
    </rPh>
    <rPh sb="20" eb="21">
      <t>ネン</t>
    </rPh>
    <rPh sb="22" eb="23">
      <t>ガツ</t>
    </rPh>
    <phoneticPr fontId="2"/>
  </si>
  <si>
    <r>
      <rPr>
        <sz val="12"/>
        <color theme="1"/>
        <rFont val="ＭＳ 明朝"/>
        <family val="1"/>
        <charset val="128"/>
      </rPr>
      <t>漁期年計（千トン）</t>
    </r>
    <rPh sb="0" eb="2">
      <t>ギョキ</t>
    </rPh>
    <rPh sb="2" eb="3">
      <t>ネン</t>
    </rPh>
    <rPh sb="3" eb="4">
      <t>ケイ</t>
    </rPh>
    <rPh sb="5" eb="6">
      <t>セン</t>
    </rPh>
    <phoneticPr fontId="2"/>
  </si>
  <si>
    <r>
      <t>4</t>
    </r>
    <r>
      <rPr>
        <sz val="12"/>
        <color theme="1"/>
        <rFont val="ＭＳ 明朝"/>
        <family val="1"/>
        <charset val="128"/>
      </rPr>
      <t>月</t>
    </r>
    <rPh sb="1" eb="2">
      <t>ガツ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</si>
  <si>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</si>
  <si>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</si>
  <si>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</si>
  <si>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</si>
  <si>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</si>
  <si>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</si>
  <si>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</si>
  <si>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</si>
  <si>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</si>
  <si>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</si>
  <si>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</si>
  <si>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β=1.00</t>
  </si>
  <si>
    <t>β=0.80</t>
  </si>
  <si>
    <t>β=0.70</t>
  </si>
  <si>
    <t>β=0.60</t>
  </si>
  <si>
    <r>
      <rPr>
        <sz val="12"/>
        <color theme="1"/>
        <rFont val="ＭＳ 明朝"/>
        <family val="1"/>
        <charset val="128"/>
      </rPr>
      <t>月別漁獲量割合（過去</t>
    </r>
    <r>
      <rPr>
        <sz val="12"/>
        <color theme="1"/>
        <rFont val="Times New Roman"/>
        <family val="1"/>
      </rPr>
      <t>5</t>
    </r>
    <r>
      <rPr>
        <sz val="12"/>
        <color theme="1"/>
        <rFont val="ＭＳ 明朝"/>
        <family val="1"/>
        <charset val="128"/>
      </rPr>
      <t>年平均）</t>
    </r>
    <rPh sb="0" eb="2">
      <t>ツキベツ</t>
    </rPh>
    <rPh sb="2" eb="5">
      <t>ギョカクリョウ</t>
    </rPh>
    <rPh sb="5" eb="7">
      <t>ワリアイ</t>
    </rPh>
    <rPh sb="8" eb="10">
      <t>カコ</t>
    </rPh>
    <rPh sb="11" eb="12">
      <t>ネン</t>
    </rPh>
    <rPh sb="12" eb="14">
      <t>ヘイキン</t>
    </rPh>
    <phoneticPr fontId="2"/>
  </si>
  <si>
    <r>
      <rPr>
        <sz val="12"/>
        <color theme="1"/>
        <rFont val="Yu Gothic"/>
        <family val="1"/>
        <charset val="128"/>
      </rPr>
      <t>　　　</t>
    </r>
    <r>
      <rPr>
        <sz val="12"/>
        <color theme="1"/>
        <rFont val="Times New Roman"/>
        <family val="1"/>
      </rPr>
      <t>2025</t>
    </r>
    <r>
      <rPr>
        <sz val="12"/>
        <color theme="1"/>
        <rFont val="ＭＳ 明朝"/>
        <family val="1"/>
        <charset val="128"/>
      </rPr>
      <t>年漁期</t>
    </r>
    <rPh sb="7" eb="8">
      <t>ネン</t>
    </rPh>
    <rPh sb="8" eb="10">
      <t>ギョキ</t>
    </rPh>
    <phoneticPr fontId="2"/>
  </si>
  <si>
    <r>
      <rPr>
        <sz val="12"/>
        <color theme="1"/>
        <rFont val="ＭＳ 明朝"/>
        <family val="1"/>
        <charset val="128"/>
      </rPr>
      <t>月別平均漁獲量（</t>
    </r>
    <r>
      <rPr>
        <sz val="12"/>
        <color theme="1"/>
        <rFont val="Times New Roman"/>
        <family val="1"/>
      </rPr>
      <t>2025</t>
    </r>
    <r>
      <rPr>
        <sz val="12"/>
        <color theme="1"/>
        <rFont val="ＭＳ 明朝"/>
        <family val="1"/>
        <charset val="128"/>
      </rPr>
      <t>年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1"/>
        <charset val="128"/>
      </rPr>
      <t>月～</t>
    </r>
    <r>
      <rPr>
        <sz val="12"/>
        <color theme="1"/>
        <rFont val="Times New Roman"/>
        <family val="1"/>
      </rPr>
      <t>2026</t>
    </r>
    <r>
      <rPr>
        <sz val="12"/>
        <color theme="1"/>
        <rFont val="ＭＳ 明朝"/>
        <family val="1"/>
        <charset val="128"/>
      </rPr>
      <t>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月）</t>
    </r>
    <rPh sb="0" eb="2">
      <t>ツキベツ</t>
    </rPh>
    <rPh sb="2" eb="7">
      <t>ヘイキンギョカクリョウ</t>
    </rPh>
    <rPh sb="12" eb="13">
      <t>ネン</t>
    </rPh>
    <rPh sb="14" eb="15">
      <t>ガツ</t>
    </rPh>
    <rPh sb="20" eb="21">
      <t>ネン</t>
    </rPh>
    <rPh sb="22" eb="23">
      <t>ガツ</t>
    </rPh>
    <phoneticPr fontId="2"/>
  </si>
  <si>
    <r>
      <t>補足表</t>
    </r>
    <r>
      <rPr>
        <sz val="10.5"/>
        <color rgb="FF000000"/>
        <rFont val="Times New Roman"/>
        <family val="1"/>
      </rPr>
      <t>9-3.</t>
    </r>
    <r>
      <rPr>
        <sz val="10.5"/>
        <color rgb="FF000000"/>
        <rFont val="ＭＳ 明朝"/>
        <family val="1"/>
        <charset val="128"/>
      </rPr>
      <t>　直近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年（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年漁期）の月別漁獲量（トン）</t>
    </r>
    <phoneticPr fontId="2"/>
  </si>
  <si>
    <r>
      <rPr>
        <sz val="11"/>
        <color theme="1"/>
        <rFont val="ＭＳ 明朝"/>
        <family val="1"/>
        <charset val="128"/>
      </rPr>
      <t>月別漁獲量</t>
    </r>
    <rPh sb="0" eb="2">
      <t>ツキベツ</t>
    </rPh>
    <rPh sb="2" eb="5">
      <t>ギョカクリョウ</t>
    </rPh>
    <phoneticPr fontId="2"/>
  </si>
  <si>
    <r>
      <rPr>
        <sz val="12"/>
        <color theme="1"/>
        <rFont val="ＭＳ 明朝"/>
        <family val="1"/>
        <charset val="128"/>
      </rPr>
      <t>月別漁獲量割合（過去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年平均）</t>
    </r>
    <rPh sb="0" eb="2">
      <t>ツキベツ</t>
    </rPh>
    <rPh sb="2" eb="5">
      <t>ギョカクリョウ</t>
    </rPh>
    <rPh sb="5" eb="7">
      <t>ワリアイ</t>
    </rPh>
    <rPh sb="8" eb="10">
      <t>カコ</t>
    </rPh>
    <rPh sb="11" eb="12">
      <t>ネン</t>
    </rPh>
    <rPh sb="12" eb="14">
      <t>ヘイキン</t>
    </rPh>
    <phoneticPr fontId="2"/>
  </si>
  <si>
    <r>
      <t>補足表</t>
    </r>
    <r>
      <rPr>
        <sz val="10.5"/>
        <color rgb="FF000000"/>
        <rFont val="Times New Roman"/>
        <family val="1"/>
      </rPr>
      <t>9-1.</t>
    </r>
    <r>
      <rPr>
        <sz val="10.5"/>
        <color rgb="FF000000"/>
        <rFont val="ＭＳ 明朝"/>
        <family val="1"/>
        <charset val="128"/>
      </rPr>
      <t>　直近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年間（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年漁期）の月別漁獲量（トン）</t>
    </r>
    <rPh sb="12" eb="13">
      <t>カン</t>
    </rPh>
    <rPh sb="24" eb="26">
      <t>ギョキ</t>
    </rPh>
    <phoneticPr fontId="2"/>
  </si>
  <si>
    <r>
      <rPr>
        <sz val="10.5"/>
        <color rgb="FF000000"/>
        <rFont val="ＭＳ 明朝"/>
        <family val="1"/>
        <charset val="128"/>
      </rPr>
      <t>補足表</t>
    </r>
    <r>
      <rPr>
        <sz val="10.5"/>
        <color rgb="FF000000"/>
        <rFont val="Times New Roman"/>
        <family val="1"/>
      </rPr>
      <t>9-2.</t>
    </r>
    <r>
      <rPr>
        <sz val="10.5"/>
        <color rgb="FF000000"/>
        <rFont val="ＭＳ 明朝"/>
        <family val="1"/>
        <charset val="128"/>
      </rPr>
      <t>　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に基づく月別漁獲量の平均値（直近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年間の平均使用）</t>
    </r>
    <rPh sb="26" eb="28">
      <t>チョッキン</t>
    </rPh>
    <rPh sb="30" eb="31">
      <t>カン</t>
    </rPh>
    <phoneticPr fontId="2"/>
  </si>
  <si>
    <t>補足表9-4.　異なるβに基づく月別漁獲量の平均値（直近3年間の平均使用）</t>
    <rPh sb="26" eb="28">
      <t>チョッキン</t>
    </rPh>
    <rPh sb="30" eb="31">
      <t>カン</t>
    </rPh>
    <phoneticPr fontId="2"/>
  </si>
  <si>
    <r>
      <rPr>
        <sz val="16"/>
        <rFont val="ＭＳ 明朝"/>
        <family val="1"/>
        <charset val="128"/>
      </rPr>
      <t>補足表</t>
    </r>
    <r>
      <rPr>
        <sz val="16"/>
        <rFont val="Times New Roman"/>
        <family val="1"/>
      </rPr>
      <t>2-1.</t>
    </r>
    <r>
      <rPr>
        <sz val="16"/>
        <rFont val="ＭＳ 明朝"/>
        <family val="1"/>
        <charset val="128"/>
      </rPr>
      <t>　コホート解析に用いたデータ</t>
    </r>
    <rPh sb="0" eb="3">
      <t>ホソクヒョウ</t>
    </rPh>
    <rPh sb="12" eb="14">
      <t>カイセキ</t>
    </rPh>
    <rPh sb="15" eb="16">
      <t>モチ</t>
    </rPh>
    <phoneticPr fontId="8"/>
  </si>
  <si>
    <t xml:space="preserve">                   </t>
    <phoneticPr fontId="2"/>
  </si>
  <si>
    <r>
      <rPr>
        <sz val="13.5"/>
        <rFont val="ＭＳ 明朝"/>
        <family val="1"/>
        <charset val="128"/>
      </rPr>
      <t>補足表</t>
    </r>
    <r>
      <rPr>
        <sz val="13.5"/>
        <rFont val="Times New Roman"/>
        <family val="1"/>
      </rPr>
      <t>7-3.</t>
    </r>
    <r>
      <rPr>
        <sz val="13.5"/>
        <rFont val="ＭＳ 明朝"/>
        <family val="1"/>
        <charset val="128"/>
      </rPr>
      <t>　トロール調査により得られたマダラの資源尾数および変動係数（</t>
    </r>
    <r>
      <rPr>
        <sz val="13.5"/>
        <rFont val="Times New Roman"/>
        <family val="1"/>
      </rPr>
      <t>CV</t>
    </r>
    <r>
      <rPr>
        <sz val="13.5"/>
        <rFont val="ＭＳ 明朝"/>
        <family val="1"/>
        <charset val="128"/>
      </rPr>
      <t>）、</t>
    </r>
    <r>
      <rPr>
        <sz val="13.5"/>
        <rFont val="ＭＳ Ｐ明朝"/>
        <family val="1"/>
        <charset val="128"/>
      </rPr>
      <t xml:space="preserve"> 信頼区間の年変化</t>
    </r>
    <rPh sb="0" eb="2">
      <t>ホソク</t>
    </rPh>
    <rPh sb="2" eb="3">
      <t>ヒョウ</t>
    </rPh>
    <rPh sb="12" eb="14">
      <t>チョウサ</t>
    </rPh>
    <rPh sb="17" eb="18">
      <t>エ</t>
    </rPh>
    <rPh sb="25" eb="27">
      <t>シゲン</t>
    </rPh>
    <rPh sb="27" eb="29">
      <t>ビスウ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</si>
</sst>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¥&quot;#,##0;&quot;¥&quot;\-#,##0"/>
    <numFmt numFmtId="176" formatCode="0_ "/>
    <numFmt numFmtId="177" formatCode="#,##0_);[Red]\(#,##0\)"/>
    <numFmt numFmtId="178" formatCode="0_);[Red]\(0\)"/>
    <numFmt numFmtId="179" formatCode="#,##0_ "/>
    <numFmt numFmtId="180" formatCode="#,##0.00_ "/>
    <numFmt numFmtId="181" formatCode="0.00_);[Red]\(0.00\)"/>
    <numFmt numFmtId="182" formatCode="0.0_);[Red]\(0.0\)"/>
    <numFmt numFmtId="183" formatCode="0.0_ "/>
    <numFmt numFmtId="184" formatCode="0.00_ "/>
    <numFmt numFmtId="185" formatCode="0.000_);[Red]\(0.000\)"/>
    <numFmt numFmtId="186" formatCode="0.0%"/>
    <numFmt numFmtId="187" formatCode="#,##0.000_ "/>
    <numFmt numFmtId="188" formatCode="0.000_ "/>
    <numFmt numFmtId="189" formatCode="0.0"/>
  </numFmts>
  <fonts count="89"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游明朝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6"/>
      <name val="Osaka"/>
      <family val="3"/>
      <charset val="128"/>
    </font>
    <font>
      <sz val="16"/>
      <name val="ＭＳ 明朝"/>
      <family val="1"/>
      <charset val="128"/>
    </font>
    <font>
      <sz val="10"/>
      <name val="ＭＳ 明朝"/>
      <family val="1"/>
      <charset val="128"/>
    </font>
    <font>
      <sz val="10"/>
      <color indexed="8"/>
      <name val="Times New Roman"/>
      <family val="1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9"/>
      <color theme="1"/>
      <name val="ＭＳ Ｐゴシック"/>
      <family val="3"/>
      <charset val="128"/>
    </font>
    <font>
      <sz val="12"/>
      <color theme="1"/>
      <name val="Osaka"/>
      <family val="3"/>
      <charset val="128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28"/>
    </font>
    <font>
      <sz val="16"/>
      <name val="Times New Roman"/>
      <family val="1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Yu Gothic"/>
      <family val="1"/>
      <charset val="128"/>
    </font>
    <font>
      <sz val="10"/>
      <name val="Times New Roman"/>
      <family val="1"/>
      <charset val="128"/>
    </font>
    <font>
      <sz val="11"/>
      <name val="Times New Roman"/>
      <family val="1"/>
      <charset val="128"/>
    </font>
    <font>
      <sz val="10.5"/>
      <color theme="1"/>
      <name val="ＭＳ 明朝"/>
      <family val="1"/>
      <charset val="128"/>
    </font>
    <font>
      <b/>
      <sz val="11"/>
      <color theme="1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theme="1"/>
      <name val="游明朝"/>
      <family val="1"/>
      <charset val="128"/>
    </font>
    <font>
      <sz val="10.5"/>
      <color rgb="FF000000"/>
      <name val="ＭＳ ゴシック"/>
      <family val="3"/>
      <charset val="128"/>
    </font>
    <font>
      <sz val="11"/>
      <color theme="1"/>
      <name val="游明朝"/>
      <family val="1"/>
      <charset val="128"/>
    </font>
    <font>
      <sz val="19"/>
      <color theme="1"/>
      <name val="Times New Roman"/>
      <family val="1"/>
    </font>
    <font>
      <sz val="19"/>
      <color theme="1"/>
      <name val="ＭＳ Ｐ明朝"/>
      <family val="1"/>
      <charset val="128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2"/>
      <color theme="1" tint="4.9989318521683403E-2"/>
      <name val="ＭＳ Ｐ明朝"/>
      <family val="1"/>
      <charset val="128"/>
    </font>
    <font>
      <sz val="12"/>
      <color theme="1" tint="4.9989318521683403E-2"/>
      <name val="ＭＳ 明朝"/>
      <family val="1"/>
      <charset val="128"/>
    </font>
    <font>
      <sz val="14"/>
      <color theme="1" tint="4.9989318521683403E-2"/>
      <name val="Times New Roman"/>
      <family val="1"/>
    </font>
    <font>
      <sz val="14"/>
      <color theme="1" tint="4.9989318521683403E-2"/>
      <name val="ＭＳ Ｐ明朝"/>
      <family val="1"/>
      <charset val="128"/>
    </font>
    <font>
      <sz val="11"/>
      <color theme="1" tint="4.9989318521683403E-2"/>
      <name val="Times New Roman"/>
      <family val="1"/>
    </font>
    <font>
      <sz val="16"/>
      <color theme="1"/>
      <name val="ＭＳ 明朝"/>
      <family val="1"/>
      <charset val="128"/>
    </font>
    <font>
      <sz val="16"/>
      <color theme="1"/>
      <name val="Times New Roman"/>
      <family val="1"/>
    </font>
    <font>
      <sz val="16"/>
      <color theme="1"/>
      <name val="Times New Roman"/>
      <family val="1"/>
      <charset val="128"/>
    </font>
    <font>
      <sz val="11"/>
      <color rgb="FFFF0000"/>
      <name val="Times New Roman"/>
      <family val="1"/>
    </font>
    <font>
      <sz val="10"/>
      <color theme="1" tint="4.9989318521683403E-2"/>
      <name val="Times New Roman"/>
      <family val="1"/>
    </font>
    <font>
      <sz val="16"/>
      <name val="Times New Roman"/>
      <family val="1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vertAlign val="superscript"/>
      <sz val="11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4"/>
      <name val="Times New Roman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4"/>
      <name val="Yu Gothic"/>
      <family val="1"/>
      <charset val="128"/>
    </font>
    <font>
      <sz val="9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4"/>
      <color theme="1"/>
      <name val="Times New Roman"/>
      <family val="1"/>
    </font>
    <font>
      <sz val="14"/>
      <color theme="1"/>
      <name val="ＭＳ 明朝"/>
      <family val="1"/>
      <charset val="128"/>
    </font>
    <font>
      <sz val="13.5"/>
      <name val="ＭＳ 明朝"/>
      <family val="1"/>
      <charset val="128"/>
    </font>
    <font>
      <sz val="13.5"/>
      <name val="Times New Roman"/>
      <family val="1"/>
    </font>
    <font>
      <sz val="12"/>
      <color theme="1"/>
      <name val="Yu Gothic"/>
      <family val="1"/>
      <charset val="128"/>
    </font>
    <font>
      <sz val="11"/>
      <color theme="1" tint="4.9989318521683403E-2"/>
      <name val="ＭＳ Ｐ明朝"/>
      <family val="1"/>
      <charset val="128"/>
    </font>
    <font>
      <sz val="10"/>
      <name val="Yu Gothic"/>
      <family val="1"/>
      <charset val="128"/>
    </font>
    <font>
      <vertAlign val="subscript"/>
      <sz val="11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2"/>
      <charset val="128"/>
      <scheme val="minor"/>
    </font>
    <font>
      <sz val="14"/>
      <color theme="1"/>
      <name val="Yu Gothic"/>
      <family val="1"/>
      <charset val="128"/>
    </font>
    <font>
      <sz val="14"/>
      <color theme="1"/>
      <name val="Times New Roman"/>
      <family val="1"/>
      <charset val="128"/>
    </font>
    <font>
      <sz val="14"/>
      <color theme="1" tint="4.9989318521683403E-2"/>
      <name val="Times New Roman"/>
      <family val="1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b/>
      <sz val="16"/>
      <color rgb="FF0070C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9" tint="-0.249977111117893"/>
      <name val="游ゴシック"/>
      <family val="3"/>
      <charset val="128"/>
      <scheme val="minor"/>
    </font>
    <font>
      <b/>
      <sz val="11"/>
      <color rgb="FFFF0000"/>
      <name val="ＭＳ Ｐ明朝"/>
      <family val="1"/>
      <charset val="128"/>
    </font>
    <font>
      <sz val="10.5"/>
      <color rgb="FF000000"/>
      <name val="Times New Roman"/>
      <family val="1"/>
      <charset val="128"/>
    </font>
    <font>
      <sz val="13.5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38" fontId="58" fillId="0" borderId="0" applyFont="0" applyFill="0" applyBorder="0" applyAlignment="0" applyProtection="0">
      <alignment vertical="center"/>
    </xf>
  </cellStyleXfs>
  <cellXfs count="37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2" borderId="1" xfId="0" applyFont="1" applyFill="1" applyBorder="1" applyAlignment="1"/>
    <xf numFmtId="176" fontId="7" fillId="2" borderId="1" xfId="0" applyNumberFormat="1" applyFont="1" applyFill="1" applyBorder="1" applyAlignment="1">
      <alignment horizontal="right"/>
    </xf>
    <xf numFmtId="0" fontId="6" fillId="2" borderId="0" xfId="0" applyFont="1" applyFill="1" applyAlignment="1"/>
    <xf numFmtId="177" fontId="7" fillId="2" borderId="0" xfId="0" applyNumberFormat="1" applyFont="1" applyFill="1" applyAlignment="1"/>
    <xf numFmtId="177" fontId="7" fillId="2" borderId="1" xfId="0" applyNumberFormat="1" applyFont="1" applyFill="1" applyBorder="1" applyAlignment="1"/>
    <xf numFmtId="178" fontId="7" fillId="2" borderId="1" xfId="0" applyNumberFormat="1" applyFont="1" applyFill="1" applyBorder="1" applyAlignment="1">
      <alignment horizontal="right"/>
    </xf>
    <xf numFmtId="177" fontId="7" fillId="2" borderId="0" xfId="1" applyNumberFormat="1" applyFont="1" applyFill="1" applyProtection="1">
      <protection locked="0"/>
    </xf>
    <xf numFmtId="177" fontId="7" fillId="2" borderId="0" xfId="1" applyNumberFormat="1" applyFont="1" applyFill="1"/>
    <xf numFmtId="176" fontId="11" fillId="2" borderId="1" xfId="0" applyNumberFormat="1" applyFont="1" applyFill="1" applyBorder="1" applyAlignment="1">
      <alignment horizontal="right"/>
    </xf>
    <xf numFmtId="179" fontId="7" fillId="2" borderId="0" xfId="0" applyNumberFormat="1" applyFont="1" applyFill="1" applyAlignment="1"/>
    <xf numFmtId="177" fontId="11" fillId="2" borderId="0" xfId="0" applyNumberFormat="1" applyFont="1" applyFill="1" applyAlignment="1"/>
    <xf numFmtId="0" fontId="10" fillId="2" borderId="0" xfId="0" applyFont="1" applyFill="1" applyAlignment="1"/>
    <xf numFmtId="0" fontId="13" fillId="2" borderId="0" xfId="0" applyFont="1" applyFill="1" applyAlignment="1"/>
    <xf numFmtId="177" fontId="14" fillId="2" borderId="0" xfId="0" applyNumberFormat="1" applyFont="1" applyFill="1" applyAlignment="1"/>
    <xf numFmtId="177" fontId="13" fillId="2" borderId="0" xfId="0" applyNumberFormat="1" applyFont="1" applyFill="1" applyAlignment="1"/>
    <xf numFmtId="0" fontId="0" fillId="0" borderId="1" xfId="0" applyBorder="1">
      <alignment vertical="center"/>
    </xf>
    <xf numFmtId="178" fontId="0" fillId="0" borderId="0" xfId="0" applyNumberFormat="1">
      <alignment vertical="center"/>
    </xf>
    <xf numFmtId="0" fontId="15" fillId="2" borderId="1" xfId="0" applyFont="1" applyFill="1" applyBorder="1" applyAlignment="1"/>
    <xf numFmtId="0" fontId="16" fillId="2" borderId="0" xfId="0" applyFont="1" applyFill="1" applyAlignment="1"/>
    <xf numFmtId="179" fontId="15" fillId="2" borderId="0" xfId="0" applyNumberFormat="1" applyFont="1" applyFill="1" applyAlignment="1"/>
    <xf numFmtId="178" fontId="15" fillId="2" borderId="0" xfId="0" applyNumberFormat="1" applyFont="1" applyFill="1" applyAlignment="1"/>
    <xf numFmtId="180" fontId="15" fillId="2" borderId="0" xfId="0" applyNumberFormat="1" applyFont="1" applyFill="1" applyAlignment="1"/>
    <xf numFmtId="0" fontId="15" fillId="2" borderId="0" xfId="0" applyFont="1" applyFill="1" applyAlignment="1"/>
    <xf numFmtId="181" fontId="15" fillId="2" borderId="0" xfId="0" applyNumberFormat="1" applyFont="1" applyFill="1" applyAlignment="1"/>
    <xf numFmtId="182" fontId="15" fillId="2" borderId="0" xfId="0" applyNumberFormat="1" applyFont="1" applyFill="1" applyAlignment="1"/>
    <xf numFmtId="183" fontId="15" fillId="2" borderId="0" xfId="0" applyNumberFormat="1" applyFont="1" applyFill="1" applyAlignment="1"/>
    <xf numFmtId="0" fontId="16" fillId="2" borderId="1" xfId="0" applyFont="1" applyFill="1" applyBorder="1" applyAlignment="1"/>
    <xf numFmtId="179" fontId="15" fillId="2" borderId="1" xfId="0" applyNumberFormat="1" applyFont="1" applyFill="1" applyBorder="1" applyAlignment="1"/>
    <xf numFmtId="178" fontId="15" fillId="2" borderId="1" xfId="0" applyNumberFormat="1" applyFont="1" applyFill="1" applyBorder="1" applyAlignment="1"/>
    <xf numFmtId="180" fontId="15" fillId="2" borderId="1" xfId="0" applyNumberFormat="1" applyFont="1" applyFill="1" applyBorder="1" applyAlignment="1"/>
    <xf numFmtId="183" fontId="15" fillId="2" borderId="1" xfId="0" applyNumberFormat="1" applyFont="1" applyFill="1" applyBorder="1" applyAlignment="1"/>
    <xf numFmtId="181" fontId="15" fillId="2" borderId="1" xfId="0" applyNumberFormat="1" applyFont="1" applyFill="1" applyBorder="1" applyAlignment="1"/>
    <xf numFmtId="182" fontId="15" fillId="2" borderId="1" xfId="0" applyNumberFormat="1" applyFont="1" applyFill="1" applyBorder="1" applyAlignment="1"/>
    <xf numFmtId="182" fontId="0" fillId="0" borderId="0" xfId="0" applyNumberFormat="1">
      <alignment vertical="center"/>
    </xf>
    <xf numFmtId="182" fontId="0" fillId="0" borderId="0" xfId="0" applyNumberFormat="1" applyAlignment="1">
      <alignment vertical="center" wrapText="1"/>
    </xf>
    <xf numFmtId="181" fontId="0" fillId="0" borderId="0" xfId="0" applyNumberFormat="1">
      <alignment vertical="center"/>
    </xf>
    <xf numFmtId="0" fontId="0" fillId="2" borderId="0" xfId="0" applyFill="1" applyAlignment="1"/>
    <xf numFmtId="0" fontId="7" fillId="2" borderId="0" xfId="0" applyFont="1" applyFill="1" applyAlignment="1"/>
    <xf numFmtId="179" fontId="29" fillId="2" borderId="0" xfId="0" applyNumberFormat="1" applyFont="1" applyFill="1" applyAlignment="1">
      <alignment horizontal="center"/>
    </xf>
    <xf numFmtId="185" fontId="29" fillId="2" borderId="0" xfId="0" applyNumberFormat="1" applyFont="1" applyFill="1" applyAlignment="1">
      <alignment horizontal="center"/>
    </xf>
    <xf numFmtId="181" fontId="29" fillId="2" borderId="0" xfId="0" applyNumberFormat="1" applyFont="1" applyFill="1" applyAlignment="1">
      <alignment horizontal="center"/>
    </xf>
    <xf numFmtId="179" fontId="29" fillId="2" borderId="1" xfId="0" applyNumberFormat="1" applyFont="1" applyFill="1" applyBorder="1" applyAlignment="1">
      <alignment horizontal="center"/>
    </xf>
    <xf numFmtId="185" fontId="29" fillId="2" borderId="1" xfId="0" applyNumberFormat="1" applyFont="1" applyFill="1" applyBorder="1" applyAlignment="1">
      <alignment horizontal="center"/>
    </xf>
    <xf numFmtId="181" fontId="29" fillId="2" borderId="1" xfId="0" applyNumberFormat="1" applyFont="1" applyFill="1" applyBorder="1" applyAlignment="1">
      <alignment horizontal="center"/>
    </xf>
    <xf numFmtId="0" fontId="32" fillId="2" borderId="0" xfId="0" applyFont="1" applyFill="1" applyAlignment="1">
      <alignment horizontal="left"/>
    </xf>
    <xf numFmtId="0" fontId="32" fillId="2" borderId="0" xfId="0" applyFont="1" applyFill="1" applyAlignment="1"/>
    <xf numFmtId="0" fontId="29" fillId="2" borderId="0" xfId="0" applyFont="1" applyFill="1" applyAlignment="1"/>
    <xf numFmtId="0" fontId="33" fillId="2" borderId="1" xfId="0" applyFont="1" applyFill="1" applyBorder="1" applyAlignment="1"/>
    <xf numFmtId="0" fontId="16" fillId="3" borderId="2" xfId="0" applyFont="1" applyFill="1" applyBorder="1" applyAlignment="1">
      <alignment horizontal="center" vertical="center"/>
    </xf>
    <xf numFmtId="0" fontId="16" fillId="3" borderId="2" xfId="0" applyFont="1" applyFill="1" applyBorder="1">
      <alignment vertical="center"/>
    </xf>
    <xf numFmtId="0" fontId="35" fillId="3" borderId="2" xfId="0" applyFont="1" applyFill="1" applyBorder="1">
      <alignment vertical="center"/>
    </xf>
    <xf numFmtId="0" fontId="16" fillId="0" borderId="2" xfId="0" applyFont="1" applyBorder="1">
      <alignment vertical="center"/>
    </xf>
    <xf numFmtId="0" fontId="35" fillId="0" borderId="2" xfId="0" applyFont="1" applyBorder="1">
      <alignment vertical="center"/>
    </xf>
    <xf numFmtId="0" fontId="16" fillId="3" borderId="2" xfId="0" applyFont="1" applyFill="1" applyBorder="1" applyAlignment="1">
      <alignment horizontal="center" vertical="center" wrapText="1"/>
    </xf>
    <xf numFmtId="183" fontId="16" fillId="0" borderId="2" xfId="0" applyNumberFormat="1" applyFont="1" applyBorder="1">
      <alignment vertical="center"/>
    </xf>
    <xf numFmtId="183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183" fontId="16" fillId="0" borderId="0" xfId="0" applyNumberFormat="1" applyFont="1">
      <alignment vertical="center"/>
    </xf>
    <xf numFmtId="0" fontId="16" fillId="0" borderId="0" xfId="0" applyFont="1">
      <alignment vertical="center"/>
    </xf>
    <xf numFmtId="176" fontId="0" fillId="0" borderId="0" xfId="0" applyNumberFormat="1">
      <alignment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34" fillId="0" borderId="0" xfId="0" applyFont="1" applyAlignment="1">
      <alignment horizontal="left" vertical="center"/>
    </xf>
    <xf numFmtId="186" fontId="4" fillId="0" borderId="8" xfId="0" applyNumberFormat="1" applyFont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justify" vertical="center" wrapText="1"/>
    </xf>
    <xf numFmtId="0" fontId="36" fillId="4" borderId="6" xfId="0" applyFont="1" applyFill="1" applyBorder="1" applyAlignment="1">
      <alignment horizontal="justify" vertical="center" wrapText="1"/>
    </xf>
    <xf numFmtId="9" fontId="4" fillId="0" borderId="8" xfId="0" applyNumberFormat="1" applyFont="1" applyBorder="1" applyAlignment="1">
      <alignment horizontal="center" vertical="center" wrapText="1"/>
    </xf>
    <xf numFmtId="0" fontId="36" fillId="0" borderId="7" xfId="0" applyFont="1" applyBorder="1" applyAlignment="1">
      <alignment horizontal="justify" vertical="center" wrapText="1"/>
    </xf>
    <xf numFmtId="0" fontId="38" fillId="0" borderId="0" xfId="0" applyFont="1" applyAlignment="1">
      <alignment horizontal="justify" vertical="center"/>
    </xf>
    <xf numFmtId="0" fontId="37" fillId="0" borderId="0" xfId="0" applyFont="1" applyAlignment="1">
      <alignment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vertical="center" wrapText="1"/>
    </xf>
    <xf numFmtId="0" fontId="36" fillId="4" borderId="1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0" fillId="4" borderId="19" xfId="0" applyFill="1" applyBorder="1">
      <alignment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9" fontId="4" fillId="4" borderId="10" xfId="0" applyNumberFormat="1" applyFont="1" applyFill="1" applyBorder="1" applyAlignment="1">
      <alignment horizontal="center" vertical="center"/>
    </xf>
    <xf numFmtId="0" fontId="0" fillId="4" borderId="8" xfId="0" applyFill="1" applyBorder="1">
      <alignment vertical="center"/>
    </xf>
    <xf numFmtId="0" fontId="36" fillId="4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2" fillId="2" borderId="0" xfId="0" applyFont="1" applyFill="1" applyAlignment="1"/>
    <xf numFmtId="0" fontId="42" fillId="2" borderId="1" xfId="0" applyFont="1" applyFill="1" applyBorder="1" applyAlignment="1"/>
    <xf numFmtId="0" fontId="43" fillId="2" borderId="1" xfId="0" applyFont="1" applyFill="1" applyBorder="1" applyAlignment="1"/>
    <xf numFmtId="0" fontId="43" fillId="2" borderId="0" xfId="0" applyFont="1" applyFill="1" applyAlignment="1"/>
    <xf numFmtId="178" fontId="44" fillId="2" borderId="22" xfId="0" applyNumberFormat="1" applyFont="1" applyFill="1" applyBorder="1" applyAlignment="1">
      <alignment horizontal="right"/>
    </xf>
    <xf numFmtId="178" fontId="44" fillId="2" borderId="22" xfId="0" applyNumberFormat="1" applyFont="1" applyFill="1" applyBorder="1" applyAlignment="1"/>
    <xf numFmtId="0" fontId="44" fillId="2" borderId="0" xfId="0" applyFont="1" applyFill="1" applyAlignment="1"/>
    <xf numFmtId="177" fontId="44" fillId="2" borderId="0" xfId="0" applyNumberFormat="1" applyFont="1" applyFill="1" applyAlignment="1">
      <alignment horizontal="right"/>
    </xf>
    <xf numFmtId="0" fontId="44" fillId="2" borderId="0" xfId="0" applyFont="1" applyFill="1" applyAlignment="1">
      <alignment horizontal="right"/>
    </xf>
    <xf numFmtId="0" fontId="44" fillId="2" borderId="23" xfId="0" applyFont="1" applyFill="1" applyBorder="1" applyAlignment="1">
      <alignment horizontal="right"/>
    </xf>
    <xf numFmtId="177" fontId="44" fillId="2" borderId="23" xfId="0" applyNumberFormat="1" applyFont="1" applyFill="1" applyBorder="1" applyAlignment="1">
      <alignment horizontal="right"/>
    </xf>
    <xf numFmtId="0" fontId="44" fillId="2" borderId="1" xfId="0" applyFont="1" applyFill="1" applyBorder="1" applyAlignment="1">
      <alignment horizontal="right"/>
    </xf>
    <xf numFmtId="177" fontId="44" fillId="2" borderId="1" xfId="0" applyNumberFormat="1" applyFont="1" applyFill="1" applyBorder="1" applyAlignment="1">
      <alignment horizontal="right"/>
    </xf>
    <xf numFmtId="177" fontId="44" fillId="2" borderId="0" xfId="0" applyNumberFormat="1" applyFont="1" applyFill="1" applyAlignment="1"/>
    <xf numFmtId="177" fontId="44" fillId="2" borderId="23" xfId="0" applyNumberFormat="1" applyFont="1" applyFill="1" applyBorder="1" applyAlignment="1"/>
    <xf numFmtId="0" fontId="47" fillId="2" borderId="0" xfId="0" applyFont="1" applyFill="1">
      <alignment vertical="center"/>
    </xf>
    <xf numFmtId="0" fontId="49" fillId="2" borderId="0" xfId="0" applyFont="1" applyFill="1">
      <alignment vertical="center"/>
    </xf>
    <xf numFmtId="177" fontId="0" fillId="0" borderId="0" xfId="0" applyNumberFormat="1">
      <alignment vertical="center"/>
    </xf>
    <xf numFmtId="0" fontId="44" fillId="2" borderId="24" xfId="0" applyFont="1" applyFill="1" applyBorder="1" applyAlignment="1">
      <alignment horizontal="right"/>
    </xf>
    <xf numFmtId="177" fontId="44" fillId="2" borderId="24" xfId="0" applyNumberFormat="1" applyFont="1" applyFill="1" applyBorder="1" applyAlignment="1">
      <alignment horizontal="right"/>
    </xf>
    <xf numFmtId="0" fontId="54" fillId="2" borderId="0" xfId="0" applyFont="1" applyFill="1" applyAlignment="1"/>
    <xf numFmtId="0" fontId="29" fillId="2" borderId="22" xfId="0" applyFont="1" applyFill="1" applyBorder="1">
      <alignment vertical="center"/>
    </xf>
    <xf numFmtId="176" fontId="29" fillId="2" borderId="22" xfId="0" applyNumberFormat="1" applyFont="1" applyFill="1" applyBorder="1">
      <alignment vertical="center"/>
    </xf>
    <xf numFmtId="0" fontId="29" fillId="2" borderId="0" xfId="0" applyFont="1" applyFill="1">
      <alignment vertical="center"/>
    </xf>
    <xf numFmtId="179" fontId="29" fillId="2" borderId="0" xfId="0" applyNumberFormat="1" applyFont="1" applyFill="1">
      <alignment vertical="center"/>
    </xf>
    <xf numFmtId="187" fontId="29" fillId="2" borderId="0" xfId="0" applyNumberFormat="1" applyFont="1" applyFill="1">
      <alignment vertical="center"/>
    </xf>
    <xf numFmtId="0" fontId="29" fillId="2" borderId="1" xfId="0" applyFont="1" applyFill="1" applyBorder="1">
      <alignment vertical="center"/>
    </xf>
    <xf numFmtId="179" fontId="29" fillId="2" borderId="1" xfId="0" applyNumberFormat="1" applyFont="1" applyFill="1" applyBorder="1">
      <alignment vertical="center"/>
    </xf>
    <xf numFmtId="188" fontId="29" fillId="2" borderId="0" xfId="0" applyNumberFormat="1" applyFont="1" applyFill="1">
      <alignment vertical="center"/>
    </xf>
    <xf numFmtId="179" fontId="16" fillId="2" borderId="0" xfId="0" applyNumberFormat="1" applyFont="1" applyFill="1">
      <alignment vertical="center"/>
    </xf>
    <xf numFmtId="187" fontId="16" fillId="2" borderId="0" xfId="0" applyNumberFormat="1" applyFont="1" applyFill="1">
      <alignment vertical="center"/>
    </xf>
    <xf numFmtId="179" fontId="16" fillId="2" borderId="1" xfId="0" applyNumberFormat="1" applyFont="1" applyFill="1" applyBorder="1">
      <alignment vertical="center"/>
    </xf>
    <xf numFmtId="0" fontId="7" fillId="2" borderId="0" xfId="0" applyFont="1" applyFill="1">
      <alignment vertical="center"/>
    </xf>
    <xf numFmtId="0" fontId="55" fillId="0" borderId="0" xfId="0" applyFont="1" applyAlignment="1"/>
    <xf numFmtId="0" fontId="0" fillId="0" borderId="0" xfId="0" applyAlignment="1"/>
    <xf numFmtId="0" fontId="28" fillId="0" borderId="0" xfId="0" applyFont="1" applyAlignment="1"/>
    <xf numFmtId="0" fontId="9" fillId="0" borderId="0" xfId="0" applyFont="1" applyAlignment="1"/>
    <xf numFmtId="0" fontId="17" fillId="0" borderId="0" xfId="0" applyFont="1">
      <alignment vertical="center"/>
    </xf>
    <xf numFmtId="179" fontId="17" fillId="0" borderId="0" xfId="0" applyNumberFormat="1" applyFont="1">
      <alignment vertical="center"/>
    </xf>
    <xf numFmtId="0" fontId="17" fillId="0" borderId="1" xfId="0" applyFont="1" applyBorder="1">
      <alignment vertical="center"/>
    </xf>
    <xf numFmtId="0" fontId="19" fillId="0" borderId="0" xfId="0" applyFont="1">
      <alignment vertical="center"/>
    </xf>
    <xf numFmtId="0" fontId="16" fillId="0" borderId="0" xfId="0" applyFont="1" applyAlignment="1">
      <alignment horizontal="center"/>
    </xf>
    <xf numFmtId="179" fontId="16" fillId="0" borderId="0" xfId="0" applyNumberFormat="1" applyFont="1" applyAlignment="1"/>
    <xf numFmtId="0" fontId="16" fillId="0" borderId="1" xfId="0" applyFont="1" applyBorder="1" applyAlignment="1">
      <alignment horizontal="center"/>
    </xf>
    <xf numFmtId="179" fontId="16" fillId="0" borderId="1" xfId="0" applyNumberFormat="1" applyFont="1" applyBorder="1" applyAlignment="1"/>
    <xf numFmtId="179" fontId="16" fillId="0" borderId="1" xfId="0" applyNumberFormat="1" applyFont="1" applyBorder="1" applyAlignment="1">
      <alignment horizontal="right"/>
    </xf>
    <xf numFmtId="0" fontId="21" fillId="0" borderId="0" xfId="0" applyFont="1" applyAlignment="1"/>
    <xf numFmtId="0" fontId="16" fillId="0" borderId="0" xfId="0" applyFont="1" applyAlignment="1"/>
    <xf numFmtId="0" fontId="22" fillId="0" borderId="0" xfId="0" applyFont="1" applyAlignment="1"/>
    <xf numFmtId="179" fontId="23" fillId="0" borderId="0" xfId="0" applyNumberFormat="1" applyFont="1" applyAlignment="1"/>
    <xf numFmtId="0" fontId="24" fillId="0" borderId="0" xfId="0" applyFont="1" applyAlignment="1"/>
    <xf numFmtId="0" fontId="15" fillId="0" borderId="1" xfId="0" applyFont="1" applyBorder="1" applyAlignment="1"/>
    <xf numFmtId="179" fontId="7" fillId="0" borderId="0" xfId="0" applyNumberFormat="1" applyFont="1" applyAlignment="1">
      <alignment horizontal="right"/>
    </xf>
    <xf numFmtId="0" fontId="19" fillId="0" borderId="1" xfId="0" applyFont="1" applyBorder="1" applyAlignment="1"/>
    <xf numFmtId="0" fontId="7" fillId="0" borderId="0" xfId="0" applyFont="1" applyAlignment="1"/>
    <xf numFmtId="184" fontId="7" fillId="0" borderId="0" xfId="0" applyNumberFormat="1" applyFont="1" applyAlignment="1"/>
    <xf numFmtId="184" fontId="7" fillId="0" borderId="1" xfId="0" applyNumberFormat="1" applyFont="1" applyBorder="1" applyAlignment="1"/>
    <xf numFmtId="0" fontId="25" fillId="0" borderId="0" xfId="0" applyFont="1" applyAlignment="1"/>
    <xf numFmtId="0" fontId="16" fillId="0" borderId="0" xfId="0" applyFont="1" applyAlignment="1">
      <alignment horizontal="right"/>
    </xf>
    <xf numFmtId="179" fontId="16" fillId="0" borderId="0" xfId="0" applyNumberFormat="1" applyFont="1" applyAlignment="1">
      <alignment horizontal="right"/>
    </xf>
    <xf numFmtId="0" fontId="26" fillId="0" borderId="0" xfId="0" applyFont="1">
      <alignment vertical="center"/>
    </xf>
    <xf numFmtId="0" fontId="26" fillId="0" borderId="1" xfId="0" applyFont="1" applyBorder="1">
      <alignment vertical="center"/>
    </xf>
    <xf numFmtId="177" fontId="26" fillId="0" borderId="0" xfId="0" applyNumberFormat="1" applyFont="1" applyAlignment="1">
      <alignment horizontal="right" vertical="center"/>
    </xf>
    <xf numFmtId="179" fontId="26" fillId="0" borderId="0" xfId="0" applyNumberFormat="1" applyFont="1">
      <alignment vertical="center"/>
    </xf>
    <xf numFmtId="0" fontId="15" fillId="0" borderId="0" xfId="0" applyFont="1">
      <alignment vertical="center"/>
    </xf>
    <xf numFmtId="181" fontId="16" fillId="0" borderId="0" xfId="0" applyNumberFormat="1" applyFont="1" applyAlignment="1"/>
    <xf numFmtId="181" fontId="16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7" fillId="0" borderId="0" xfId="0" applyFont="1">
      <alignment vertical="center"/>
    </xf>
    <xf numFmtId="0" fontId="20" fillId="0" borderId="1" xfId="0" applyFont="1" applyBorder="1" applyAlignment="1">
      <alignment horizontal="right"/>
    </xf>
    <xf numFmtId="0" fontId="27" fillId="0" borderId="1" xfId="0" applyFont="1" applyBorder="1">
      <alignment vertical="center"/>
    </xf>
    <xf numFmtId="177" fontId="16" fillId="0" borderId="0" xfId="0" applyNumberFormat="1" applyFont="1" applyAlignment="1"/>
    <xf numFmtId="0" fontId="20" fillId="0" borderId="0" xfId="0" applyFont="1" applyAlignment="1"/>
    <xf numFmtId="181" fontId="29" fillId="0" borderId="0" xfId="0" applyNumberFormat="1" applyFont="1" applyAlignment="1">
      <alignment horizontal="center"/>
    </xf>
    <xf numFmtId="181" fontId="16" fillId="0" borderId="0" xfId="0" applyNumberFormat="1" applyFont="1">
      <alignment vertical="center"/>
    </xf>
    <xf numFmtId="0" fontId="20" fillId="0" borderId="0" xfId="0" applyFont="1">
      <alignment vertical="center"/>
    </xf>
    <xf numFmtId="183" fontId="20" fillId="0" borderId="0" xfId="0" applyNumberFormat="1" applyFont="1">
      <alignment vertical="center"/>
    </xf>
    <xf numFmtId="0" fontId="4" fillId="0" borderId="25" xfId="0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49" fillId="0" borderId="0" xfId="0" applyFont="1">
      <alignment vertical="center"/>
    </xf>
    <xf numFmtId="0" fontId="49" fillId="0" borderId="0" xfId="0" applyFont="1" applyAlignment="1"/>
    <xf numFmtId="0" fontId="54" fillId="0" borderId="0" xfId="0" applyFont="1" applyAlignment="1"/>
    <xf numFmtId="179" fontId="22" fillId="0" borderId="0" xfId="0" applyNumberFormat="1" applyFont="1" applyAlignment="1"/>
    <xf numFmtId="179" fontId="22" fillId="0" borderId="1" xfId="0" applyNumberFormat="1" applyFont="1" applyBorder="1" applyAlignment="1"/>
    <xf numFmtId="0" fontId="4" fillId="0" borderId="0" xfId="0" applyFont="1" applyAlignment="1">
      <alignment horizontal="center" vertical="center" wrapText="1"/>
    </xf>
    <xf numFmtId="184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8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77" fontId="7" fillId="2" borderId="22" xfId="0" applyNumberFormat="1" applyFont="1" applyFill="1" applyBorder="1" applyAlignment="1"/>
    <xf numFmtId="0" fontId="59" fillId="2" borderId="1" xfId="0" applyFont="1" applyFill="1" applyBorder="1">
      <alignment vertical="center"/>
    </xf>
    <xf numFmtId="0" fontId="63" fillId="2" borderId="1" xfId="0" applyFont="1" applyFill="1" applyBorder="1" applyAlignment="1"/>
    <xf numFmtId="0" fontId="64" fillId="2" borderId="1" xfId="0" applyFont="1" applyFill="1" applyBorder="1" applyAlignment="1"/>
    <xf numFmtId="0" fontId="22" fillId="2" borderId="1" xfId="0" applyFont="1" applyFill="1" applyBorder="1" applyAlignment="1"/>
    <xf numFmtId="176" fontId="22" fillId="2" borderId="1" xfId="0" applyNumberFormat="1" applyFont="1" applyFill="1" applyBorder="1" applyAlignment="1"/>
    <xf numFmtId="178" fontId="22" fillId="2" borderId="1" xfId="0" applyNumberFormat="1" applyFont="1" applyFill="1" applyBorder="1" applyAlignment="1"/>
    <xf numFmtId="178" fontId="65" fillId="2" borderId="0" xfId="0" applyNumberFormat="1" applyFont="1" applyFill="1" applyAlignment="1"/>
    <xf numFmtId="177" fontId="22" fillId="2" borderId="0" xfId="0" applyNumberFormat="1" applyFont="1" applyFill="1" applyAlignment="1"/>
    <xf numFmtId="177" fontId="22" fillId="2" borderId="0" xfId="1" applyNumberFormat="1" applyFont="1" applyFill="1"/>
    <xf numFmtId="178" fontId="65" fillId="2" borderId="1" xfId="0" applyNumberFormat="1" applyFont="1" applyFill="1" applyBorder="1" applyAlignment="1"/>
    <xf numFmtId="177" fontId="22" fillId="2" borderId="1" xfId="0" applyNumberFormat="1" applyFont="1" applyFill="1" applyBorder="1" applyAlignment="1"/>
    <xf numFmtId="177" fontId="22" fillId="2" borderId="1" xfId="1" applyNumberFormat="1" applyFont="1" applyFill="1" applyBorder="1"/>
    <xf numFmtId="178" fontId="64" fillId="2" borderId="0" xfId="0" applyNumberFormat="1" applyFont="1" applyFill="1" applyAlignment="1"/>
    <xf numFmtId="179" fontId="16" fillId="0" borderId="0" xfId="0" applyNumberFormat="1" applyFont="1">
      <alignment vertical="center"/>
    </xf>
    <xf numFmtId="179" fontId="16" fillId="0" borderId="22" xfId="0" applyNumberFormat="1" applyFont="1" applyBorder="1">
      <alignment vertical="center"/>
    </xf>
    <xf numFmtId="181" fontId="22" fillId="0" borderId="0" xfId="0" applyNumberFormat="1" applyFont="1" applyAlignment="1"/>
    <xf numFmtId="181" fontId="22" fillId="0" borderId="1" xfId="0" applyNumberFormat="1" applyFont="1" applyBorder="1" applyAlignment="1"/>
    <xf numFmtId="0" fontId="16" fillId="0" borderId="1" xfId="0" applyFont="1" applyBorder="1">
      <alignment vertical="center"/>
    </xf>
    <xf numFmtId="179" fontId="16" fillId="0" borderId="1" xfId="0" applyNumberFormat="1" applyFont="1" applyBorder="1">
      <alignment vertical="center"/>
    </xf>
    <xf numFmtId="179" fontId="29" fillId="0" borderId="0" xfId="0" applyNumberFormat="1" applyFont="1" applyAlignment="1"/>
    <xf numFmtId="179" fontId="29" fillId="0" borderId="1" xfId="0" applyNumberFormat="1" applyFont="1" applyBorder="1" applyAlignment="1"/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7" fontId="16" fillId="0" borderId="1" xfId="0" applyNumberFormat="1" applyFont="1" applyBorder="1" applyAlignment="1"/>
    <xf numFmtId="177" fontId="16" fillId="0" borderId="1" xfId="0" applyNumberFormat="1" applyFont="1" applyBorder="1" applyAlignment="1">
      <alignment horizontal="right"/>
    </xf>
    <xf numFmtId="177" fontId="16" fillId="0" borderId="22" xfId="0" applyNumberFormat="1" applyFont="1" applyBorder="1" applyAlignment="1"/>
    <xf numFmtId="0" fontId="16" fillId="3" borderId="26" xfId="0" applyFont="1" applyFill="1" applyBorder="1" applyAlignment="1">
      <alignment horizontal="center" vertical="center"/>
    </xf>
    <xf numFmtId="0" fontId="16" fillId="3" borderId="26" xfId="0" applyFont="1" applyFill="1" applyBorder="1">
      <alignment vertical="center"/>
    </xf>
    <xf numFmtId="0" fontId="35" fillId="3" borderId="26" xfId="0" applyFont="1" applyFill="1" applyBorder="1">
      <alignment vertical="center"/>
    </xf>
    <xf numFmtId="0" fontId="16" fillId="3" borderId="2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181" fontId="4" fillId="5" borderId="8" xfId="0" applyNumberFormat="1" applyFont="1" applyFill="1" applyBorder="1" applyAlignment="1">
      <alignment horizontal="right" vertical="center"/>
    </xf>
    <xf numFmtId="0" fontId="67" fillId="2" borderId="0" xfId="0" applyFont="1" applyFill="1">
      <alignment vertical="center"/>
    </xf>
    <xf numFmtId="0" fontId="52" fillId="2" borderId="0" xfId="0" applyFont="1" applyFill="1">
      <alignment vertical="center"/>
    </xf>
    <xf numFmtId="0" fontId="53" fillId="2" borderId="0" xfId="0" applyFont="1" applyFill="1" applyAlignment="1"/>
    <xf numFmtId="0" fontId="53" fillId="2" borderId="1" xfId="0" applyFont="1" applyFill="1" applyBorder="1" applyAlignment="1"/>
    <xf numFmtId="0" fontId="0" fillId="2" borderId="0" xfId="0" applyFill="1">
      <alignment vertical="center"/>
    </xf>
    <xf numFmtId="38" fontId="16" fillId="0" borderId="0" xfId="2" applyFont="1">
      <alignment vertical="center"/>
    </xf>
    <xf numFmtId="0" fontId="16" fillId="0" borderId="23" xfId="0" applyFont="1" applyBorder="1" applyAlignment="1">
      <alignment horizontal="center" vertical="center"/>
    </xf>
    <xf numFmtId="38" fontId="16" fillId="0" borderId="23" xfId="2" applyFont="1" applyBorder="1">
      <alignment vertical="center"/>
    </xf>
    <xf numFmtId="38" fontId="16" fillId="0" borderId="1" xfId="2" applyFont="1" applyBorder="1">
      <alignment vertical="center"/>
    </xf>
    <xf numFmtId="9" fontId="16" fillId="0" borderId="1" xfId="2" applyNumberFormat="1" applyFont="1" applyBorder="1">
      <alignment vertical="center"/>
    </xf>
    <xf numFmtId="38" fontId="0" fillId="0" borderId="0" xfId="0" applyNumberFormat="1">
      <alignment vertical="center"/>
    </xf>
    <xf numFmtId="0" fontId="26" fillId="0" borderId="22" xfId="0" applyFont="1" applyBorder="1">
      <alignment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183" fontId="26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0" fontId="27" fillId="0" borderId="22" xfId="0" applyFont="1" applyBorder="1">
      <alignment vertical="center"/>
    </xf>
    <xf numFmtId="0" fontId="26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2" fontId="26" fillId="0" borderId="23" xfId="0" applyNumberFormat="1" applyFont="1" applyBorder="1" applyAlignment="1">
      <alignment horizontal="center" vertical="center"/>
    </xf>
    <xf numFmtId="182" fontId="15" fillId="0" borderId="0" xfId="0" applyNumberFormat="1" applyFont="1" applyAlignment="1"/>
    <xf numFmtId="189" fontId="0" fillId="0" borderId="0" xfId="0" applyNumberFormat="1">
      <alignment vertical="center"/>
    </xf>
    <xf numFmtId="0" fontId="16" fillId="0" borderId="22" xfId="0" applyFont="1" applyBorder="1">
      <alignment vertical="center"/>
    </xf>
    <xf numFmtId="0" fontId="21" fillId="0" borderId="1" xfId="0" applyFont="1" applyBorder="1" applyAlignment="1">
      <alignment horizontal="right"/>
    </xf>
    <xf numFmtId="0" fontId="29" fillId="0" borderId="0" xfId="0" applyFont="1" applyAlignment="1"/>
    <xf numFmtId="183" fontId="16" fillId="0" borderId="26" xfId="0" applyNumberFormat="1" applyFont="1" applyBorder="1">
      <alignment vertical="center"/>
    </xf>
    <xf numFmtId="183" fontId="35" fillId="0" borderId="26" xfId="0" applyNumberFormat="1" applyFont="1" applyBorder="1">
      <alignment vertical="center"/>
    </xf>
    <xf numFmtId="183" fontId="16" fillId="6" borderId="26" xfId="0" applyNumberFormat="1" applyFont="1" applyFill="1" applyBorder="1">
      <alignment vertical="center"/>
    </xf>
    <xf numFmtId="183" fontId="35" fillId="0" borderId="2" xfId="0" applyNumberFormat="1" applyFont="1" applyBorder="1">
      <alignment vertical="center"/>
    </xf>
    <xf numFmtId="0" fontId="35" fillId="0" borderId="0" xfId="0" applyFont="1">
      <alignment vertical="center"/>
    </xf>
    <xf numFmtId="0" fontId="75" fillId="0" borderId="0" xfId="0" applyFont="1">
      <alignment vertical="center"/>
    </xf>
    <xf numFmtId="178" fontId="16" fillId="0" borderId="0" xfId="0" applyNumberFormat="1" applyFont="1">
      <alignment vertical="center"/>
    </xf>
    <xf numFmtId="0" fontId="36" fillId="0" borderId="10" xfId="0" applyFont="1" applyBorder="1" applyAlignment="1">
      <alignment horizontal="justify" vertical="center" wrapText="1"/>
    </xf>
    <xf numFmtId="182" fontId="4" fillId="5" borderId="7" xfId="0" applyNumberFormat="1" applyFont="1" applyFill="1" applyBorder="1" applyAlignment="1">
      <alignment horizontal="right" vertical="center"/>
    </xf>
    <xf numFmtId="182" fontId="4" fillId="5" borderId="8" xfId="0" applyNumberFormat="1" applyFont="1" applyFill="1" applyBorder="1" applyAlignment="1">
      <alignment horizontal="right" vertical="center"/>
    </xf>
    <xf numFmtId="182" fontId="4" fillId="0" borderId="8" xfId="0" applyNumberFormat="1" applyFont="1" applyBorder="1" applyAlignment="1">
      <alignment horizontal="right" vertical="center"/>
    </xf>
    <xf numFmtId="176" fontId="4" fillId="5" borderId="8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176" fontId="4" fillId="0" borderId="8" xfId="0" applyNumberFormat="1" applyFont="1" applyBorder="1" applyAlignment="1">
      <alignment horizontal="right" vertical="center"/>
    </xf>
    <xf numFmtId="0" fontId="77" fillId="2" borderId="0" xfId="0" applyFont="1" applyFill="1">
      <alignment vertical="center"/>
    </xf>
    <xf numFmtId="0" fontId="72" fillId="0" borderId="0" xfId="0" applyFont="1">
      <alignment vertical="center"/>
    </xf>
    <xf numFmtId="0" fontId="78" fillId="2" borderId="0" xfId="0" applyFont="1" applyFill="1" applyAlignment="1"/>
    <xf numFmtId="0" fontId="47" fillId="2" borderId="0" xfId="0" applyFont="1" applyFill="1" applyAlignment="1"/>
    <xf numFmtId="0" fontId="68" fillId="0" borderId="0" xfId="0" applyFont="1">
      <alignment vertical="center"/>
    </xf>
    <xf numFmtId="0" fontId="26" fillId="0" borderId="27" xfId="0" applyFont="1" applyBorder="1">
      <alignment vertical="center"/>
    </xf>
    <xf numFmtId="0" fontId="79" fillId="0" borderId="0" xfId="0" applyFont="1">
      <alignment vertical="center"/>
    </xf>
    <xf numFmtId="0" fontId="6" fillId="2" borderId="22" xfId="0" applyFont="1" applyFill="1" applyBorder="1" applyAlignment="1"/>
    <xf numFmtId="0" fontId="7" fillId="2" borderId="22" xfId="0" applyFont="1" applyFill="1" applyBorder="1" applyAlignment="1"/>
    <xf numFmtId="177" fontId="7" fillId="2" borderId="29" xfId="1" applyNumberFormat="1" applyFont="1" applyFill="1" applyBorder="1"/>
    <xf numFmtId="0" fontId="10" fillId="2" borderId="22" xfId="0" applyFont="1" applyFill="1" applyBorder="1" applyAlignment="1"/>
    <xf numFmtId="177" fontId="11" fillId="2" borderId="22" xfId="0" applyNumberFormat="1" applyFont="1" applyFill="1" applyBorder="1" applyAlignment="1"/>
    <xf numFmtId="0" fontId="12" fillId="2" borderId="22" xfId="0" applyFont="1" applyFill="1" applyBorder="1" applyAlignment="1"/>
    <xf numFmtId="0" fontId="7" fillId="2" borderId="22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right"/>
    </xf>
    <xf numFmtId="0" fontId="16" fillId="0" borderId="22" xfId="0" applyFont="1" applyBorder="1" applyAlignment="1">
      <alignment horizontal="right"/>
    </xf>
    <xf numFmtId="178" fontId="16" fillId="0" borderId="22" xfId="0" applyNumberFormat="1" applyFont="1" applyBorder="1" applyAlignment="1"/>
    <xf numFmtId="176" fontId="16" fillId="0" borderId="22" xfId="0" applyNumberFormat="1" applyFont="1" applyBorder="1" applyAlignment="1"/>
    <xf numFmtId="181" fontId="16" fillId="0" borderId="22" xfId="0" applyNumberFormat="1" applyFont="1" applyBorder="1" applyAlignment="1">
      <alignment horizontal="right"/>
    </xf>
    <xf numFmtId="177" fontId="16" fillId="0" borderId="22" xfId="0" applyNumberFormat="1" applyFont="1" applyBorder="1" applyAlignment="1">
      <alignment horizontal="right"/>
    </xf>
    <xf numFmtId="0" fontId="20" fillId="2" borderId="22" xfId="0" applyFont="1" applyFill="1" applyBorder="1" applyAlignment="1">
      <alignment horizontal="center" vertical="center"/>
    </xf>
    <xf numFmtId="5" fontId="13" fillId="2" borderId="22" xfId="0" applyNumberFormat="1" applyFont="1" applyFill="1" applyBorder="1" applyAlignment="1">
      <alignment horizontal="center" vertical="center" wrapText="1"/>
    </xf>
    <xf numFmtId="179" fontId="13" fillId="2" borderId="22" xfId="0" applyNumberFormat="1" applyFont="1" applyFill="1" applyBorder="1" applyAlignment="1">
      <alignment horizontal="center" vertical="center" wrapText="1"/>
    </xf>
    <xf numFmtId="179" fontId="33" fillId="2" borderId="22" xfId="0" applyNumberFormat="1" applyFont="1" applyFill="1" applyBorder="1" applyAlignment="1">
      <alignment horizontal="center" vertical="center" wrapText="1"/>
    </xf>
    <xf numFmtId="179" fontId="29" fillId="0" borderId="22" xfId="0" applyNumberFormat="1" applyFont="1" applyBorder="1" applyAlignment="1">
      <alignment horizontal="center" vertical="center" wrapText="1"/>
    </xf>
    <xf numFmtId="178" fontId="16" fillId="3" borderId="26" xfId="0" applyNumberFormat="1" applyFont="1" applyFill="1" applyBorder="1">
      <alignment vertical="center"/>
    </xf>
    <xf numFmtId="178" fontId="16" fillId="3" borderId="26" xfId="0" applyNumberFormat="1" applyFont="1" applyFill="1" applyBorder="1" applyAlignment="1">
      <alignment horizontal="center" vertical="center"/>
    </xf>
    <xf numFmtId="178" fontId="16" fillId="0" borderId="26" xfId="0" applyNumberFormat="1" applyFont="1" applyBorder="1">
      <alignment vertical="center"/>
    </xf>
    <xf numFmtId="177" fontId="16" fillId="0" borderId="26" xfId="0" applyNumberFormat="1" applyFont="1" applyBorder="1" applyAlignment="1">
      <alignment horizontal="center" vertical="center"/>
    </xf>
    <xf numFmtId="178" fontId="16" fillId="0" borderId="26" xfId="0" applyNumberFormat="1" applyFont="1" applyBorder="1" applyAlignment="1">
      <alignment horizontal="center" vertical="center"/>
    </xf>
    <xf numFmtId="181" fontId="16" fillId="0" borderId="26" xfId="0" applyNumberFormat="1" applyFont="1" applyBorder="1" applyAlignment="1">
      <alignment horizontal="center" vertical="center"/>
    </xf>
    <xf numFmtId="183" fontId="16" fillId="0" borderId="28" xfId="0" applyNumberFormat="1" applyFont="1" applyBorder="1">
      <alignment vertical="center"/>
    </xf>
    <xf numFmtId="176" fontId="16" fillId="0" borderId="28" xfId="0" applyNumberFormat="1" applyFont="1" applyBorder="1">
      <alignment vertical="center"/>
    </xf>
    <xf numFmtId="176" fontId="35" fillId="0" borderId="28" xfId="0" applyNumberFormat="1" applyFont="1" applyBorder="1">
      <alignment vertical="center"/>
    </xf>
    <xf numFmtId="182" fontId="16" fillId="0" borderId="26" xfId="0" applyNumberFormat="1" applyFont="1" applyBorder="1">
      <alignment vertical="center"/>
    </xf>
    <xf numFmtId="182" fontId="35" fillId="0" borderId="26" xfId="0" applyNumberFormat="1" applyFont="1" applyBorder="1">
      <alignment vertical="center"/>
    </xf>
    <xf numFmtId="0" fontId="81" fillId="0" borderId="0" xfId="0" applyFont="1">
      <alignment vertical="center"/>
    </xf>
    <xf numFmtId="0" fontId="82" fillId="0" borderId="0" xfId="0" applyFont="1">
      <alignment vertical="center"/>
    </xf>
    <xf numFmtId="0" fontId="83" fillId="0" borderId="0" xfId="0" applyFont="1">
      <alignment vertical="center"/>
    </xf>
    <xf numFmtId="0" fontId="87" fillId="0" borderId="0" xfId="0" applyFont="1">
      <alignment vertical="center"/>
    </xf>
    <xf numFmtId="0" fontId="88" fillId="0" borderId="0" xfId="0" applyFont="1">
      <alignment vertical="center"/>
    </xf>
    <xf numFmtId="178" fontId="80" fillId="0" borderId="0" xfId="0" applyNumberFormat="1" applyFont="1">
      <alignment vertical="center"/>
    </xf>
    <xf numFmtId="189" fontId="16" fillId="3" borderId="26" xfId="0" applyNumberFormat="1" applyFont="1" applyFill="1" applyBorder="1" applyAlignment="1">
      <alignment horizontal="center" vertical="center"/>
    </xf>
    <xf numFmtId="189" fontId="16" fillId="3" borderId="26" xfId="0" applyNumberFormat="1" applyFont="1" applyFill="1" applyBorder="1" applyAlignment="1">
      <alignment horizontal="center" vertical="center" wrapText="1"/>
    </xf>
    <xf numFmtId="189" fontId="16" fillId="3" borderId="2" xfId="0" applyNumberFormat="1" applyFont="1" applyFill="1" applyBorder="1" applyAlignment="1">
      <alignment horizontal="center" vertical="center"/>
    </xf>
    <xf numFmtId="189" fontId="16" fillId="3" borderId="28" xfId="0" applyNumberFormat="1" applyFont="1" applyFill="1" applyBorder="1" applyAlignment="1">
      <alignment horizontal="center" vertical="center" wrapText="1"/>
    </xf>
    <xf numFmtId="183" fontId="83" fillId="0" borderId="0" xfId="0" applyNumberFormat="1" applyFont="1">
      <alignment vertical="center"/>
    </xf>
    <xf numFmtId="0" fontId="84" fillId="0" borderId="0" xfId="0" applyFont="1">
      <alignment vertical="center"/>
    </xf>
    <xf numFmtId="2" fontId="4" fillId="0" borderId="0" xfId="0" applyNumberFormat="1" applyFont="1" applyAlignment="1">
      <alignment horizontal="center" vertical="center" wrapText="1"/>
    </xf>
    <xf numFmtId="176" fontId="29" fillId="0" borderId="22" xfId="0" applyNumberFormat="1" applyFont="1" applyBorder="1">
      <alignment vertical="center"/>
    </xf>
    <xf numFmtId="0" fontId="29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0" fillId="0" borderId="1" xfId="0" applyFont="1" applyBorder="1">
      <alignment vertical="center"/>
    </xf>
    <xf numFmtId="38" fontId="16" fillId="0" borderId="0" xfId="2" applyFont="1" applyFill="1">
      <alignment vertical="center"/>
    </xf>
    <xf numFmtId="9" fontId="16" fillId="0" borderId="0" xfId="2" applyNumberFormat="1" applyFont="1" applyFill="1">
      <alignment vertical="center"/>
    </xf>
    <xf numFmtId="9" fontId="0" fillId="0" borderId="0" xfId="0" applyNumberFormat="1">
      <alignment vertical="center"/>
    </xf>
    <xf numFmtId="0" fontId="85" fillId="0" borderId="0" xfId="0" applyFont="1">
      <alignment vertical="center"/>
    </xf>
    <xf numFmtId="38" fontId="16" fillId="0" borderId="23" xfId="2" applyFont="1" applyFill="1" applyBorder="1">
      <alignment vertical="center"/>
    </xf>
    <xf numFmtId="9" fontId="16" fillId="0" borderId="23" xfId="2" applyNumberFormat="1" applyFont="1" applyFill="1" applyBorder="1">
      <alignment vertical="center"/>
    </xf>
    <xf numFmtId="38" fontId="16" fillId="0" borderId="1" xfId="2" applyFont="1" applyFill="1" applyBorder="1">
      <alignment vertical="center"/>
    </xf>
    <xf numFmtId="9" fontId="16" fillId="0" borderId="1" xfId="2" applyNumberFormat="1" applyFont="1" applyFill="1" applyBorder="1">
      <alignment vertical="center"/>
    </xf>
    <xf numFmtId="0" fontId="86" fillId="0" borderId="0" xfId="0" applyFont="1">
      <alignment vertical="center"/>
    </xf>
    <xf numFmtId="0" fontId="40" fillId="2" borderId="0" xfId="0" applyFont="1" applyFill="1">
      <alignment vertical="center"/>
    </xf>
    <xf numFmtId="178" fontId="66" fillId="2" borderId="0" xfId="0" applyNumberFormat="1" applyFont="1" applyFill="1" applyAlignment="1">
      <alignment wrapText="1"/>
    </xf>
    <xf numFmtId="0" fontId="4" fillId="0" borderId="1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36" fillId="0" borderId="12" xfId="0" applyFont="1" applyBorder="1" applyAlignment="1">
      <alignment horizontal="left" vertical="center" wrapText="1"/>
    </xf>
    <xf numFmtId="0" fontId="36" fillId="0" borderId="13" xfId="0" applyFont="1" applyBorder="1" applyAlignment="1">
      <alignment horizontal="left" vertical="center" wrapText="1"/>
    </xf>
    <xf numFmtId="0" fontId="36" fillId="0" borderId="14" xfId="0" applyFont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36" fillId="0" borderId="16" xfId="0" applyFont="1" applyBorder="1" applyAlignment="1">
      <alignment horizontal="justify" vertical="center" wrapText="1"/>
    </xf>
    <xf numFmtId="0" fontId="36" fillId="0" borderId="6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3" fillId="4" borderId="16" xfId="0" applyFont="1" applyFill="1" applyBorder="1" applyAlignment="1">
      <alignment horizontal="justify" vertical="center" wrapText="1"/>
    </xf>
    <xf numFmtId="0" fontId="3" fillId="4" borderId="17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6" fillId="0" borderId="11" xfId="0" applyFont="1" applyBorder="1" applyAlignment="1">
      <alignment horizontal="justify" vertical="center" wrapText="1"/>
    </xf>
    <xf numFmtId="0" fontId="36" fillId="0" borderId="7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4" fillId="4" borderId="16" xfId="0" applyFont="1" applyFill="1" applyBorder="1" applyAlignment="1">
      <alignment horizontal="justify" vertical="center"/>
    </xf>
    <xf numFmtId="0" fontId="4" fillId="4" borderId="17" xfId="0" applyFont="1" applyFill="1" applyBorder="1" applyAlignment="1">
      <alignment horizontal="justify" vertical="center"/>
    </xf>
    <xf numFmtId="0" fontId="4" fillId="4" borderId="6" xfId="0" applyFont="1" applyFill="1" applyBorder="1" applyAlignment="1">
      <alignment horizontal="justify" vertical="center"/>
    </xf>
    <xf numFmtId="0" fontId="36" fillId="4" borderId="11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18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6" fillId="4" borderId="16" xfId="0" applyFont="1" applyFill="1" applyBorder="1" applyAlignment="1">
      <alignment horizontal="left" vertical="center"/>
    </xf>
    <xf numFmtId="0" fontId="36" fillId="4" borderId="17" xfId="0" applyFont="1" applyFill="1" applyBorder="1" applyAlignment="1">
      <alignment horizontal="left" vertical="center"/>
    </xf>
    <xf numFmtId="0" fontId="36" fillId="4" borderId="6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6" fillId="4" borderId="30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6" fillId="4" borderId="2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_マダラ" xfId="1" xr:uid="{94C7AEB2-55C5-4D23-A25F-353D2DB6E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FFAD-97F6-4221-9FED-8B50CF5A3875}">
  <dimension ref="A1:N41"/>
  <sheetViews>
    <sheetView tabSelected="1" zoomScale="90" zoomScaleNormal="90" workbookViewId="0">
      <selection activeCell="R7" sqref="R7"/>
    </sheetView>
  </sheetViews>
  <sheetFormatPr defaultRowHeight="18.75"/>
  <cols>
    <col min="1" max="1" width="6.125" customWidth="1"/>
    <col min="2" max="14" width="7" customWidth="1"/>
  </cols>
  <sheetData>
    <row r="1" spans="1:14">
      <c r="A1" t="s">
        <v>0</v>
      </c>
    </row>
    <row r="3" spans="1:14" s="1" customFormat="1">
      <c r="A3" s="2" t="s">
        <v>1</v>
      </c>
    </row>
    <row r="4" spans="1:1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>
      <c r="A5" s="3"/>
      <c r="B5" s="4">
        <v>1975</v>
      </c>
      <c r="C5" s="4">
        <v>1976</v>
      </c>
      <c r="D5" s="4">
        <v>1977</v>
      </c>
      <c r="E5" s="4">
        <v>1978</v>
      </c>
      <c r="F5" s="4">
        <v>1979</v>
      </c>
      <c r="G5" s="4">
        <v>1980</v>
      </c>
      <c r="H5" s="4">
        <v>1981</v>
      </c>
      <c r="I5" s="4">
        <v>1982</v>
      </c>
      <c r="J5" s="4">
        <v>1983</v>
      </c>
      <c r="K5" s="4">
        <v>1984</v>
      </c>
      <c r="L5" s="4">
        <v>1985</v>
      </c>
      <c r="M5" s="4">
        <v>1986</v>
      </c>
      <c r="N5" s="4">
        <v>1987</v>
      </c>
    </row>
    <row r="6" spans="1:14">
      <c r="A6" s="5" t="s">
        <v>2</v>
      </c>
      <c r="B6" s="6">
        <v>1337</v>
      </c>
      <c r="C6" s="6">
        <v>2472</v>
      </c>
      <c r="D6" s="6">
        <v>3567</v>
      </c>
      <c r="E6" s="6">
        <v>3431</v>
      </c>
      <c r="F6" s="6">
        <v>2992</v>
      </c>
      <c r="G6" s="6">
        <v>1919</v>
      </c>
      <c r="H6" s="6">
        <v>1855</v>
      </c>
      <c r="I6" s="6">
        <v>1902</v>
      </c>
      <c r="J6" s="6">
        <v>2284</v>
      </c>
      <c r="K6" s="6">
        <v>2202</v>
      </c>
      <c r="L6" s="6">
        <v>4117</v>
      </c>
      <c r="M6" s="6">
        <v>5399</v>
      </c>
      <c r="N6" s="6">
        <v>5371</v>
      </c>
    </row>
    <row r="7" spans="1:14">
      <c r="A7" s="5" t="s">
        <v>3</v>
      </c>
      <c r="B7" s="6">
        <v>574</v>
      </c>
      <c r="C7" s="6">
        <v>583</v>
      </c>
      <c r="D7" s="6">
        <v>1028</v>
      </c>
      <c r="E7" s="6">
        <v>1070</v>
      </c>
      <c r="F7" s="6">
        <v>795</v>
      </c>
      <c r="G7" s="6">
        <v>506</v>
      </c>
      <c r="H7" s="6">
        <v>1166</v>
      </c>
      <c r="I7" s="6">
        <v>3208</v>
      </c>
      <c r="J7" s="6">
        <v>2068</v>
      </c>
      <c r="K7" s="6">
        <v>2054</v>
      </c>
      <c r="L7" s="6">
        <v>2032</v>
      </c>
      <c r="M7" s="6">
        <v>2541</v>
      </c>
      <c r="N7" s="6">
        <v>1793</v>
      </c>
    </row>
    <row r="8" spans="1:14">
      <c r="A8" s="5" t="s">
        <v>4</v>
      </c>
      <c r="B8" s="6">
        <v>546</v>
      </c>
      <c r="C8" s="6">
        <v>511</v>
      </c>
      <c r="D8" s="6">
        <v>498</v>
      </c>
      <c r="E8" s="6">
        <v>478</v>
      </c>
      <c r="F8" s="6">
        <v>351</v>
      </c>
      <c r="G8" s="6">
        <v>388</v>
      </c>
      <c r="H8" s="6">
        <v>329</v>
      </c>
      <c r="I8" s="6">
        <v>373</v>
      </c>
      <c r="J8" s="6">
        <v>453</v>
      </c>
      <c r="K8" s="6">
        <v>702</v>
      </c>
      <c r="L8" s="6">
        <v>635</v>
      </c>
      <c r="M8" s="6">
        <v>1086</v>
      </c>
      <c r="N8" s="6">
        <v>642</v>
      </c>
    </row>
    <row r="9" spans="1:14">
      <c r="A9" s="5" t="s">
        <v>5</v>
      </c>
      <c r="B9" s="6">
        <v>107</v>
      </c>
      <c r="C9" s="6">
        <v>72</v>
      </c>
      <c r="D9" s="6">
        <v>106</v>
      </c>
      <c r="E9" s="6">
        <v>229</v>
      </c>
      <c r="F9" s="6">
        <v>205</v>
      </c>
      <c r="G9" s="6">
        <v>103</v>
      </c>
      <c r="H9" s="6">
        <v>76</v>
      </c>
      <c r="I9" s="6">
        <v>160</v>
      </c>
      <c r="J9" s="6">
        <v>260</v>
      </c>
      <c r="K9" s="6">
        <v>494</v>
      </c>
      <c r="L9" s="6">
        <v>666</v>
      </c>
      <c r="M9" s="6">
        <v>1029</v>
      </c>
      <c r="N9" s="6">
        <v>1358</v>
      </c>
    </row>
    <row r="10" spans="1:14">
      <c r="A10" s="5" t="s">
        <v>6</v>
      </c>
      <c r="B10" s="6">
        <v>230</v>
      </c>
      <c r="C10" s="6">
        <v>1178</v>
      </c>
      <c r="D10" s="6">
        <v>1573</v>
      </c>
      <c r="E10" s="6">
        <v>1160</v>
      </c>
      <c r="F10" s="6">
        <v>645</v>
      </c>
      <c r="G10" s="6">
        <v>709</v>
      </c>
      <c r="H10" s="6">
        <v>1377</v>
      </c>
      <c r="I10" s="6">
        <v>1178</v>
      </c>
      <c r="J10" s="6">
        <v>885</v>
      </c>
      <c r="K10" s="6">
        <v>1579</v>
      </c>
      <c r="L10" s="6">
        <v>1403</v>
      </c>
      <c r="M10" s="6">
        <v>2347</v>
      </c>
      <c r="N10" s="6">
        <v>1935</v>
      </c>
    </row>
    <row r="11" spans="1:14">
      <c r="A11" s="3" t="s">
        <v>7</v>
      </c>
      <c r="B11" s="7">
        <v>7</v>
      </c>
      <c r="C11" s="6">
        <v>70</v>
      </c>
      <c r="D11" s="6">
        <v>138</v>
      </c>
      <c r="E11" s="6">
        <v>56</v>
      </c>
      <c r="F11" s="6">
        <v>26</v>
      </c>
      <c r="G11" s="6">
        <v>15</v>
      </c>
      <c r="H11" s="6">
        <v>17</v>
      </c>
      <c r="I11" s="6">
        <v>37</v>
      </c>
      <c r="J11" s="6">
        <v>76</v>
      </c>
      <c r="K11" s="6">
        <v>156</v>
      </c>
      <c r="L11" s="6">
        <v>266</v>
      </c>
      <c r="M11" s="6">
        <v>317</v>
      </c>
      <c r="N11" s="6">
        <v>330</v>
      </c>
    </row>
    <row r="12" spans="1:14">
      <c r="A12" s="272" t="s">
        <v>8</v>
      </c>
      <c r="B12" s="189">
        <v>2801</v>
      </c>
      <c r="C12" s="189">
        <v>4886</v>
      </c>
      <c r="D12" s="189">
        <v>6909</v>
      </c>
      <c r="E12" s="189">
        <v>6424</v>
      </c>
      <c r="F12" s="189">
        <v>5014</v>
      </c>
      <c r="G12" s="189">
        <v>3641</v>
      </c>
      <c r="H12" s="189">
        <v>4821</v>
      </c>
      <c r="I12" s="189">
        <v>6857</v>
      </c>
      <c r="J12" s="189">
        <v>6026</v>
      </c>
      <c r="K12" s="189">
        <v>7186</v>
      </c>
      <c r="L12" s="189">
        <v>9119</v>
      </c>
      <c r="M12" s="189">
        <v>12719</v>
      </c>
      <c r="N12" s="189">
        <v>11428</v>
      </c>
    </row>
    <row r="13" spans="1:14">
      <c r="A13" s="272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</row>
    <row r="14" spans="1:14">
      <c r="A14" s="3"/>
      <c r="B14" s="4">
        <v>1988</v>
      </c>
      <c r="C14" s="4">
        <v>1989</v>
      </c>
      <c r="D14" s="8">
        <v>1990</v>
      </c>
      <c r="E14" s="8">
        <v>1991</v>
      </c>
      <c r="F14" s="8">
        <v>1992</v>
      </c>
      <c r="G14" s="8">
        <v>1993</v>
      </c>
      <c r="H14" s="8">
        <v>1994</v>
      </c>
      <c r="I14" s="8">
        <v>1995</v>
      </c>
      <c r="J14" s="8">
        <v>1996</v>
      </c>
      <c r="K14" s="8">
        <v>1997</v>
      </c>
      <c r="L14" s="8">
        <v>1998</v>
      </c>
      <c r="M14" s="8">
        <v>1999</v>
      </c>
      <c r="N14" s="8">
        <v>2000</v>
      </c>
    </row>
    <row r="15" spans="1:14">
      <c r="A15" s="5" t="s">
        <v>2</v>
      </c>
      <c r="B15" s="6">
        <v>5860</v>
      </c>
      <c r="C15" s="6">
        <v>5568</v>
      </c>
      <c r="D15" s="6">
        <v>4727</v>
      </c>
      <c r="E15" s="6">
        <v>3160</v>
      </c>
      <c r="F15" s="6">
        <v>2349</v>
      </c>
      <c r="G15" s="6">
        <v>1935</v>
      </c>
      <c r="H15" s="6">
        <v>2013</v>
      </c>
      <c r="I15" s="6">
        <v>3690</v>
      </c>
      <c r="J15" s="6">
        <v>3899</v>
      </c>
      <c r="K15" s="6">
        <v>7413</v>
      </c>
      <c r="L15" s="6">
        <v>16055</v>
      </c>
      <c r="M15" s="274">
        <v>13119</v>
      </c>
      <c r="N15" s="6">
        <v>9716</v>
      </c>
    </row>
    <row r="16" spans="1:14">
      <c r="A16" s="5" t="s">
        <v>3</v>
      </c>
      <c r="B16" s="6">
        <v>1227</v>
      </c>
      <c r="C16" s="6">
        <v>1169</v>
      </c>
      <c r="D16" s="6">
        <v>1630</v>
      </c>
      <c r="E16" s="6">
        <v>735</v>
      </c>
      <c r="F16" s="6">
        <v>318</v>
      </c>
      <c r="G16" s="6">
        <v>189</v>
      </c>
      <c r="H16" s="6">
        <v>278</v>
      </c>
      <c r="I16" s="6">
        <v>1400</v>
      </c>
      <c r="J16" s="6">
        <v>990</v>
      </c>
      <c r="K16" s="6">
        <v>706</v>
      </c>
      <c r="L16" s="6">
        <v>1172</v>
      </c>
      <c r="M16" s="9">
        <v>1347</v>
      </c>
      <c r="N16" s="6">
        <v>1154</v>
      </c>
    </row>
    <row r="17" spans="1:14">
      <c r="A17" s="5" t="s">
        <v>4</v>
      </c>
      <c r="B17" s="6">
        <v>450</v>
      </c>
      <c r="C17" s="6">
        <v>487</v>
      </c>
      <c r="D17" s="6">
        <v>632</v>
      </c>
      <c r="E17" s="6">
        <v>397</v>
      </c>
      <c r="F17" s="6">
        <v>280</v>
      </c>
      <c r="G17" s="6">
        <v>379</v>
      </c>
      <c r="H17" s="6">
        <v>166</v>
      </c>
      <c r="I17" s="6">
        <v>213</v>
      </c>
      <c r="J17" s="6">
        <v>323</v>
      </c>
      <c r="K17" s="6">
        <v>242</v>
      </c>
      <c r="L17" s="6">
        <v>235</v>
      </c>
      <c r="M17" s="9">
        <v>191</v>
      </c>
      <c r="N17" s="6">
        <v>215</v>
      </c>
    </row>
    <row r="18" spans="1:14">
      <c r="A18" s="5" t="s">
        <v>5</v>
      </c>
      <c r="B18" s="6">
        <v>1336</v>
      </c>
      <c r="C18" s="6">
        <v>1285</v>
      </c>
      <c r="D18" s="6">
        <v>1535</v>
      </c>
      <c r="E18" s="6">
        <v>1274</v>
      </c>
      <c r="F18" s="6">
        <v>2546</v>
      </c>
      <c r="G18" s="6">
        <v>762</v>
      </c>
      <c r="H18" s="6">
        <v>546</v>
      </c>
      <c r="I18" s="6">
        <v>639</v>
      </c>
      <c r="J18" s="6">
        <v>1068</v>
      </c>
      <c r="K18" s="6">
        <v>2575</v>
      </c>
      <c r="L18" s="6">
        <v>2397</v>
      </c>
      <c r="M18" s="9">
        <v>1971</v>
      </c>
      <c r="N18" s="6">
        <v>1661</v>
      </c>
    </row>
    <row r="19" spans="1:14">
      <c r="A19" s="5" t="s">
        <v>6</v>
      </c>
      <c r="B19" s="6">
        <v>1522</v>
      </c>
      <c r="C19" s="6">
        <v>2142</v>
      </c>
      <c r="D19" s="6">
        <v>1848</v>
      </c>
      <c r="E19" s="6">
        <v>1548</v>
      </c>
      <c r="F19" s="6">
        <v>857</v>
      </c>
      <c r="G19" s="6">
        <v>447</v>
      </c>
      <c r="H19" s="6">
        <v>462</v>
      </c>
      <c r="I19" s="6">
        <v>29</v>
      </c>
      <c r="J19" s="6">
        <v>193</v>
      </c>
      <c r="K19" s="6">
        <v>43</v>
      </c>
      <c r="L19" s="6">
        <v>51</v>
      </c>
      <c r="M19" s="9">
        <v>59</v>
      </c>
      <c r="N19" s="6">
        <v>36</v>
      </c>
    </row>
    <row r="20" spans="1:14">
      <c r="A20" s="3" t="s">
        <v>7</v>
      </c>
      <c r="B20" s="6">
        <v>497</v>
      </c>
      <c r="C20" s="6">
        <v>1523</v>
      </c>
      <c r="D20" s="6">
        <v>501</v>
      </c>
      <c r="E20" s="6">
        <v>116</v>
      </c>
      <c r="F20" s="6">
        <v>99</v>
      </c>
      <c r="G20" s="6">
        <v>92</v>
      </c>
      <c r="H20" s="7">
        <v>106</v>
      </c>
      <c r="I20" s="7">
        <v>1080</v>
      </c>
      <c r="J20" s="7">
        <v>1154</v>
      </c>
      <c r="K20" s="7">
        <v>2623</v>
      </c>
      <c r="L20" s="7">
        <v>3837</v>
      </c>
      <c r="M20" s="10">
        <v>3357</v>
      </c>
      <c r="N20" s="7">
        <v>1796</v>
      </c>
    </row>
    <row r="21" spans="1:14">
      <c r="A21" s="272" t="s">
        <v>8</v>
      </c>
      <c r="B21" s="189">
        <v>10892</v>
      </c>
      <c r="C21" s="189">
        <v>12174</v>
      </c>
      <c r="D21" s="189">
        <v>10873</v>
      </c>
      <c r="E21" s="189">
        <v>7229</v>
      </c>
      <c r="F21" s="189">
        <v>6447</v>
      </c>
      <c r="G21" s="189">
        <v>3805</v>
      </c>
      <c r="H21" s="189">
        <v>3571</v>
      </c>
      <c r="I21" s="189">
        <v>7051</v>
      </c>
      <c r="J21" s="189">
        <v>7627</v>
      </c>
      <c r="K21" s="189">
        <v>13602</v>
      </c>
      <c r="L21" s="189">
        <v>23747</v>
      </c>
      <c r="M21" s="189">
        <v>20045</v>
      </c>
      <c r="N21" s="189">
        <v>14577</v>
      </c>
    </row>
    <row r="22" spans="1:14">
      <c r="A22" s="272"/>
      <c r="B22" s="273"/>
      <c r="C22" s="273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</row>
    <row r="23" spans="1:14">
      <c r="A23" s="3"/>
      <c r="B23" s="8">
        <v>2001</v>
      </c>
      <c r="C23" s="8">
        <v>2002</v>
      </c>
      <c r="D23" s="8">
        <v>2003</v>
      </c>
      <c r="E23" s="8">
        <v>2004</v>
      </c>
      <c r="F23" s="4">
        <v>2005</v>
      </c>
      <c r="G23" s="11">
        <v>2006</v>
      </c>
      <c r="H23" s="4">
        <v>2007</v>
      </c>
      <c r="I23" s="11">
        <v>2008</v>
      </c>
      <c r="J23" s="11">
        <v>2009</v>
      </c>
      <c r="K23" s="11">
        <v>2010</v>
      </c>
      <c r="L23" s="11">
        <v>2011</v>
      </c>
      <c r="M23" s="11">
        <v>2012</v>
      </c>
      <c r="N23" s="11">
        <v>2013</v>
      </c>
    </row>
    <row r="24" spans="1:14">
      <c r="A24" s="5" t="s">
        <v>2</v>
      </c>
      <c r="B24" s="6">
        <v>7477</v>
      </c>
      <c r="C24" s="6">
        <v>3712</v>
      </c>
      <c r="D24" s="12">
        <v>9109</v>
      </c>
      <c r="E24" s="12">
        <v>19365</v>
      </c>
      <c r="F24" s="13">
        <v>11355</v>
      </c>
      <c r="G24" s="13">
        <v>10976</v>
      </c>
      <c r="H24" s="6">
        <v>12786</v>
      </c>
      <c r="I24" s="6">
        <v>13628</v>
      </c>
      <c r="J24" s="6">
        <v>15070</v>
      </c>
      <c r="K24" s="6">
        <v>18215</v>
      </c>
      <c r="L24" s="6">
        <v>11068</v>
      </c>
      <c r="M24" s="6">
        <v>15552</v>
      </c>
      <c r="N24" s="6">
        <v>20661</v>
      </c>
    </row>
    <row r="25" spans="1:14">
      <c r="A25" s="5" t="s">
        <v>3</v>
      </c>
      <c r="B25" s="6">
        <v>1467</v>
      </c>
      <c r="C25" s="6">
        <v>1088</v>
      </c>
      <c r="D25" s="12">
        <v>1511</v>
      </c>
      <c r="E25" s="12">
        <v>2453</v>
      </c>
      <c r="F25" s="13">
        <v>2773</v>
      </c>
      <c r="G25" s="13">
        <v>2778</v>
      </c>
      <c r="H25" s="6">
        <v>3912</v>
      </c>
      <c r="I25" s="6">
        <v>2353</v>
      </c>
      <c r="J25" s="6">
        <v>1838</v>
      </c>
      <c r="K25" s="6">
        <v>921</v>
      </c>
      <c r="L25" s="6">
        <v>678</v>
      </c>
      <c r="M25" s="6">
        <v>431</v>
      </c>
      <c r="N25" s="6">
        <v>773</v>
      </c>
    </row>
    <row r="26" spans="1:14">
      <c r="A26" s="5" t="s">
        <v>4</v>
      </c>
      <c r="B26" s="6">
        <v>415</v>
      </c>
      <c r="C26" s="6">
        <v>516</v>
      </c>
      <c r="D26" s="12">
        <v>281</v>
      </c>
      <c r="E26" s="12">
        <v>317</v>
      </c>
      <c r="F26" s="13">
        <v>644</v>
      </c>
      <c r="G26" s="13">
        <v>674</v>
      </c>
      <c r="H26" s="6">
        <v>642</v>
      </c>
      <c r="I26" s="6">
        <v>940</v>
      </c>
      <c r="J26" s="6">
        <v>1144</v>
      </c>
      <c r="K26" s="6">
        <v>510</v>
      </c>
      <c r="L26" s="6">
        <v>430</v>
      </c>
      <c r="M26" s="6">
        <v>359</v>
      </c>
      <c r="N26" s="6">
        <v>1027</v>
      </c>
    </row>
    <row r="27" spans="1:14">
      <c r="A27" s="5" t="s">
        <v>5</v>
      </c>
      <c r="B27" s="6">
        <v>981</v>
      </c>
      <c r="C27" s="6">
        <v>610</v>
      </c>
      <c r="D27" s="12">
        <v>909</v>
      </c>
      <c r="E27" s="12">
        <v>1069</v>
      </c>
      <c r="F27" s="13">
        <v>1173</v>
      </c>
      <c r="G27" s="13">
        <v>1619</v>
      </c>
      <c r="H27" s="6">
        <v>1532</v>
      </c>
      <c r="I27" s="6">
        <v>1229</v>
      </c>
      <c r="J27" s="6">
        <v>900</v>
      </c>
      <c r="K27" s="6">
        <v>959</v>
      </c>
      <c r="L27" s="6">
        <v>879</v>
      </c>
      <c r="M27" s="6">
        <v>1849</v>
      </c>
      <c r="N27" s="6">
        <v>2028</v>
      </c>
    </row>
    <row r="28" spans="1:14">
      <c r="A28" s="5" t="s">
        <v>6</v>
      </c>
      <c r="B28" s="6">
        <v>117</v>
      </c>
      <c r="C28" s="6">
        <v>236</v>
      </c>
      <c r="D28" s="12">
        <v>198</v>
      </c>
      <c r="E28" s="12">
        <v>105</v>
      </c>
      <c r="F28" s="13">
        <v>101</v>
      </c>
      <c r="G28" s="13">
        <v>131</v>
      </c>
      <c r="H28" s="6">
        <v>63</v>
      </c>
      <c r="I28" s="6">
        <v>172</v>
      </c>
      <c r="J28" s="6">
        <v>131</v>
      </c>
      <c r="K28" s="6">
        <v>74</v>
      </c>
      <c r="L28" s="6">
        <v>131</v>
      </c>
      <c r="M28" s="6">
        <v>503</v>
      </c>
      <c r="N28" s="6">
        <v>1200</v>
      </c>
    </row>
    <row r="29" spans="1:14">
      <c r="A29" s="3" t="s">
        <v>7</v>
      </c>
      <c r="B29" s="7">
        <v>1928</v>
      </c>
      <c r="C29" s="7">
        <v>1514</v>
      </c>
      <c r="D29" s="12">
        <v>2526</v>
      </c>
      <c r="E29" s="12">
        <v>3061</v>
      </c>
      <c r="F29" s="13">
        <v>4279</v>
      </c>
      <c r="G29" s="13">
        <v>4216</v>
      </c>
      <c r="H29" s="6">
        <v>4435</v>
      </c>
      <c r="I29" s="6">
        <v>2741</v>
      </c>
      <c r="J29" s="6">
        <v>2733</v>
      </c>
      <c r="K29" s="6">
        <v>5166</v>
      </c>
      <c r="L29" s="6">
        <v>2160</v>
      </c>
      <c r="M29" s="6">
        <v>1752</v>
      </c>
      <c r="N29" s="6">
        <v>5179</v>
      </c>
    </row>
    <row r="30" spans="1:14">
      <c r="A30" s="272" t="s">
        <v>8</v>
      </c>
      <c r="B30" s="189">
        <v>12385</v>
      </c>
      <c r="C30" s="189">
        <v>7677</v>
      </c>
      <c r="D30" s="189">
        <v>14535</v>
      </c>
      <c r="E30" s="189">
        <v>26370</v>
      </c>
      <c r="F30" s="276">
        <v>20325</v>
      </c>
      <c r="G30" s="276">
        <v>20395</v>
      </c>
      <c r="H30" s="189">
        <v>23369</v>
      </c>
      <c r="I30" s="189">
        <v>21062</v>
      </c>
      <c r="J30" s="189">
        <v>21817</v>
      </c>
      <c r="K30" s="189">
        <v>25846</v>
      </c>
      <c r="L30" s="189">
        <v>15344</v>
      </c>
      <c r="M30" s="189">
        <v>20447</v>
      </c>
      <c r="N30" s="189">
        <v>30868</v>
      </c>
    </row>
    <row r="31" spans="1:14">
      <c r="A31" s="277"/>
      <c r="B31" s="276"/>
      <c r="C31" s="276"/>
      <c r="D31" s="189"/>
      <c r="E31" s="189"/>
      <c r="F31" s="189"/>
      <c r="G31" s="189"/>
      <c r="H31" s="189"/>
      <c r="I31" s="189"/>
      <c r="J31" s="189"/>
      <c r="K31" s="6"/>
      <c r="L31" s="14"/>
      <c r="M31" s="14"/>
      <c r="N31" s="14"/>
    </row>
    <row r="32" spans="1:14">
      <c r="A32" s="3"/>
      <c r="B32" s="11">
        <v>2014</v>
      </c>
      <c r="C32" s="11">
        <v>2015</v>
      </c>
      <c r="D32" s="11">
        <v>2016</v>
      </c>
      <c r="E32" s="11">
        <v>2017</v>
      </c>
      <c r="F32" s="11">
        <v>2018</v>
      </c>
      <c r="G32" s="11">
        <v>2019</v>
      </c>
      <c r="H32" s="11">
        <v>2020</v>
      </c>
      <c r="I32" s="11">
        <v>2021</v>
      </c>
      <c r="J32" s="11">
        <v>2022</v>
      </c>
      <c r="K32" s="6"/>
      <c r="L32" s="14"/>
      <c r="M32" s="14"/>
      <c r="N32" s="14"/>
    </row>
    <row r="33" spans="1:14">
      <c r="A33" s="5" t="s">
        <v>2</v>
      </c>
      <c r="B33" s="6">
        <v>17963</v>
      </c>
      <c r="C33" s="6">
        <v>13600</v>
      </c>
      <c r="D33" s="6">
        <v>5364</v>
      </c>
      <c r="E33" s="6">
        <v>3887</v>
      </c>
      <c r="F33" s="6">
        <v>6729</v>
      </c>
      <c r="G33" s="6">
        <v>3219</v>
      </c>
      <c r="H33" s="6">
        <v>3953</v>
      </c>
      <c r="I33" s="6">
        <v>3853</v>
      </c>
      <c r="J33" s="6">
        <v>2376</v>
      </c>
      <c r="K33" s="6"/>
      <c r="L33" s="14"/>
      <c r="M33" s="14"/>
      <c r="N33" s="14"/>
    </row>
    <row r="34" spans="1:14">
      <c r="A34" s="5" t="s">
        <v>3</v>
      </c>
      <c r="B34" s="6">
        <v>803</v>
      </c>
      <c r="C34" s="6">
        <v>731</v>
      </c>
      <c r="D34" s="6">
        <v>406</v>
      </c>
      <c r="E34" s="6">
        <v>544</v>
      </c>
      <c r="F34" s="6">
        <v>253</v>
      </c>
      <c r="G34" s="6">
        <v>241</v>
      </c>
      <c r="H34" s="6">
        <v>119</v>
      </c>
      <c r="I34" s="6">
        <v>221</v>
      </c>
      <c r="J34" s="6">
        <v>102</v>
      </c>
      <c r="K34" s="6"/>
      <c r="L34" s="14"/>
      <c r="M34" s="14"/>
      <c r="N34" s="14"/>
    </row>
    <row r="35" spans="1:14">
      <c r="A35" s="5" t="s">
        <v>4</v>
      </c>
      <c r="B35" s="6">
        <v>1089</v>
      </c>
      <c r="C35" s="6">
        <v>658</v>
      </c>
      <c r="D35" s="6">
        <v>320</v>
      </c>
      <c r="E35" s="6">
        <v>351</v>
      </c>
      <c r="F35" s="6">
        <v>500</v>
      </c>
      <c r="G35" s="6">
        <v>304</v>
      </c>
      <c r="H35" s="6">
        <v>384</v>
      </c>
      <c r="I35" s="6">
        <v>502</v>
      </c>
      <c r="J35" s="6">
        <v>580</v>
      </c>
      <c r="K35" s="6"/>
      <c r="L35" s="14"/>
      <c r="M35" s="14"/>
      <c r="N35" s="14"/>
    </row>
    <row r="36" spans="1:14">
      <c r="A36" s="5" t="s">
        <v>5</v>
      </c>
      <c r="B36" s="6">
        <v>2129</v>
      </c>
      <c r="C36" s="6">
        <v>2408</v>
      </c>
      <c r="D36" s="6">
        <v>1643</v>
      </c>
      <c r="E36" s="6">
        <v>1151</v>
      </c>
      <c r="F36" s="6">
        <v>1069</v>
      </c>
      <c r="G36" s="6">
        <v>1024</v>
      </c>
      <c r="H36" s="6">
        <v>853</v>
      </c>
      <c r="I36" s="6">
        <v>703</v>
      </c>
      <c r="J36" s="6">
        <v>454</v>
      </c>
      <c r="K36" s="6"/>
      <c r="L36" s="14"/>
      <c r="M36" s="14"/>
      <c r="N36" s="14"/>
    </row>
    <row r="37" spans="1:14">
      <c r="A37" s="5" t="s">
        <v>6</v>
      </c>
      <c r="B37" s="6">
        <v>657</v>
      </c>
      <c r="C37" s="6">
        <v>569</v>
      </c>
      <c r="D37" s="6">
        <v>407</v>
      </c>
      <c r="E37" s="6">
        <v>294</v>
      </c>
      <c r="F37" s="6">
        <v>580</v>
      </c>
      <c r="G37" s="6">
        <v>840</v>
      </c>
      <c r="H37" s="6">
        <v>910</v>
      </c>
      <c r="I37" s="6">
        <v>1161</v>
      </c>
      <c r="J37" s="6">
        <v>2361</v>
      </c>
      <c r="K37" s="6"/>
      <c r="L37" s="14"/>
      <c r="M37" s="14"/>
      <c r="N37" s="14"/>
    </row>
    <row r="38" spans="1:14">
      <c r="A38" s="3" t="s">
        <v>7</v>
      </c>
      <c r="B38" s="6">
        <v>5449</v>
      </c>
      <c r="C38" s="6">
        <v>4465</v>
      </c>
      <c r="D38" s="6">
        <v>1978</v>
      </c>
      <c r="E38" s="6">
        <v>1255</v>
      </c>
      <c r="F38" s="6">
        <v>1262</v>
      </c>
      <c r="G38" s="6">
        <v>939</v>
      </c>
      <c r="H38" s="6">
        <v>918</v>
      </c>
      <c r="I38" s="6">
        <v>810</v>
      </c>
      <c r="J38" s="6">
        <v>603</v>
      </c>
      <c r="K38" s="6"/>
      <c r="L38" s="14"/>
      <c r="M38" s="14"/>
      <c r="N38" s="14"/>
    </row>
    <row r="39" spans="1:14">
      <c r="A39" s="272" t="s">
        <v>8</v>
      </c>
      <c r="B39" s="189">
        <v>28091</v>
      </c>
      <c r="C39" s="189">
        <v>22431</v>
      </c>
      <c r="D39" s="189">
        <v>10117</v>
      </c>
      <c r="E39" s="189">
        <v>7482</v>
      </c>
      <c r="F39" s="189">
        <v>10393</v>
      </c>
      <c r="G39" s="189">
        <v>6567</v>
      </c>
      <c r="H39" s="189">
        <v>7137</v>
      </c>
      <c r="I39" s="189">
        <v>7250</v>
      </c>
      <c r="J39" s="189">
        <v>6476</v>
      </c>
      <c r="K39" s="6"/>
      <c r="L39" s="14"/>
      <c r="M39" s="14"/>
      <c r="N39" s="14"/>
    </row>
    <row r="40" spans="1:14">
      <c r="A40" s="15" t="s">
        <v>9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5"/>
      <c r="M40" s="15"/>
      <c r="N40" s="15"/>
    </row>
    <row r="41" spans="1:14">
      <c r="A41" s="15" t="s">
        <v>10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9EBB-B94F-4A66-A6AD-E4D14FD11F59}">
  <dimension ref="A1:Y65"/>
  <sheetViews>
    <sheetView zoomScale="80" zoomScaleNormal="80" workbookViewId="0">
      <selection activeCell="F20" sqref="F20"/>
    </sheetView>
  </sheetViews>
  <sheetFormatPr defaultRowHeight="18.75"/>
  <sheetData>
    <row r="1" spans="1:25">
      <c r="A1" t="s">
        <v>0</v>
      </c>
    </row>
    <row r="3" spans="1:25" ht="24">
      <c r="A3" s="190" t="s">
        <v>11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</row>
    <row r="4" spans="1:25">
      <c r="A4" s="192"/>
      <c r="B4" s="192"/>
      <c r="C4" s="193">
        <v>2000</v>
      </c>
      <c r="D4" s="193">
        <v>2001</v>
      </c>
      <c r="E4" s="193">
        <v>2002</v>
      </c>
      <c r="F4" s="193">
        <v>2003</v>
      </c>
      <c r="G4" s="193">
        <v>2004</v>
      </c>
      <c r="H4" s="194">
        <v>2005</v>
      </c>
      <c r="I4" s="193">
        <v>2006</v>
      </c>
      <c r="J4" s="193">
        <v>2007</v>
      </c>
      <c r="K4" s="193">
        <v>2008</v>
      </c>
      <c r="L4" s="193">
        <v>2009</v>
      </c>
      <c r="M4" s="193">
        <v>2010</v>
      </c>
      <c r="N4" s="193">
        <v>2011</v>
      </c>
      <c r="O4" s="193">
        <v>2012</v>
      </c>
      <c r="P4" s="193">
        <v>2013</v>
      </c>
      <c r="Q4" s="193">
        <v>2014</v>
      </c>
      <c r="R4" s="193">
        <v>2015</v>
      </c>
      <c r="S4" s="193">
        <v>2016</v>
      </c>
      <c r="T4" s="193">
        <v>2017</v>
      </c>
      <c r="U4" s="193">
        <v>2018</v>
      </c>
      <c r="V4" s="193">
        <v>2019</v>
      </c>
      <c r="W4" s="195">
        <v>2020</v>
      </c>
      <c r="X4" s="193">
        <v>2021</v>
      </c>
      <c r="Y4" s="193">
        <v>2022</v>
      </c>
    </row>
    <row r="5" spans="1:25">
      <c r="A5" s="196" t="s">
        <v>12</v>
      </c>
      <c r="B5" s="196" t="s">
        <v>2</v>
      </c>
      <c r="C5" s="197">
        <v>1375</v>
      </c>
      <c r="D5" s="197">
        <v>1439</v>
      </c>
      <c r="E5" s="197">
        <v>791</v>
      </c>
      <c r="F5" s="197">
        <v>1228</v>
      </c>
      <c r="G5" s="197">
        <v>1406</v>
      </c>
      <c r="H5" s="197">
        <v>1274</v>
      </c>
      <c r="I5" s="198">
        <v>2210</v>
      </c>
      <c r="J5" s="197">
        <v>2595</v>
      </c>
      <c r="K5" s="197">
        <v>2216</v>
      </c>
      <c r="L5" s="197">
        <v>1636</v>
      </c>
      <c r="M5" s="197">
        <v>2199</v>
      </c>
      <c r="N5" s="197">
        <v>1529</v>
      </c>
      <c r="O5" s="197">
        <v>2318</v>
      </c>
      <c r="P5" s="197">
        <v>3271</v>
      </c>
      <c r="Q5" s="197">
        <v>2275</v>
      </c>
      <c r="R5" s="197">
        <v>3203</v>
      </c>
      <c r="S5" s="197">
        <v>1343</v>
      </c>
      <c r="T5" s="197">
        <v>714</v>
      </c>
      <c r="U5" s="197">
        <v>708</v>
      </c>
      <c r="V5" s="197">
        <v>626</v>
      </c>
      <c r="W5" s="197">
        <v>978</v>
      </c>
      <c r="X5" s="197">
        <v>981</v>
      </c>
      <c r="Y5" s="197">
        <v>729</v>
      </c>
    </row>
    <row r="6" spans="1:25">
      <c r="A6" s="196"/>
      <c r="B6" s="196" t="s">
        <v>3</v>
      </c>
      <c r="C6" s="197">
        <v>424</v>
      </c>
      <c r="D6" s="197">
        <v>521</v>
      </c>
      <c r="E6" s="197">
        <v>581</v>
      </c>
      <c r="F6" s="197">
        <v>439</v>
      </c>
      <c r="G6" s="197">
        <v>614</v>
      </c>
      <c r="H6" s="197">
        <v>480</v>
      </c>
      <c r="I6" s="198">
        <v>915</v>
      </c>
      <c r="J6" s="197">
        <v>1170</v>
      </c>
      <c r="K6" s="197">
        <v>437</v>
      </c>
      <c r="L6" s="197">
        <v>713</v>
      </c>
      <c r="M6" s="197">
        <v>641</v>
      </c>
      <c r="N6" s="197">
        <v>414</v>
      </c>
      <c r="O6" s="197">
        <v>337</v>
      </c>
      <c r="P6" s="197">
        <v>608</v>
      </c>
      <c r="Q6" s="197">
        <v>278</v>
      </c>
      <c r="R6" s="197">
        <v>308</v>
      </c>
      <c r="S6" s="197">
        <v>115</v>
      </c>
      <c r="T6" s="197">
        <v>52</v>
      </c>
      <c r="U6" s="197">
        <v>60</v>
      </c>
      <c r="V6" s="197">
        <v>73</v>
      </c>
      <c r="W6" s="197">
        <v>54</v>
      </c>
      <c r="X6" s="197">
        <v>126</v>
      </c>
      <c r="Y6" s="197">
        <v>48</v>
      </c>
    </row>
    <row r="7" spans="1:25">
      <c r="A7" s="196"/>
      <c r="B7" s="196" t="s">
        <v>4</v>
      </c>
      <c r="C7" s="197">
        <v>0</v>
      </c>
      <c r="D7" s="197">
        <v>0</v>
      </c>
      <c r="E7" s="197">
        <v>53</v>
      </c>
      <c r="F7" s="197">
        <v>81</v>
      </c>
      <c r="G7" s="197">
        <v>86</v>
      </c>
      <c r="H7" s="197">
        <v>146</v>
      </c>
      <c r="I7" s="198">
        <v>167</v>
      </c>
      <c r="J7" s="197">
        <v>121</v>
      </c>
      <c r="K7" s="197">
        <v>337</v>
      </c>
      <c r="L7" s="197">
        <v>420</v>
      </c>
      <c r="M7" s="197">
        <v>0</v>
      </c>
      <c r="N7" s="197">
        <v>0</v>
      </c>
      <c r="O7" s="197">
        <v>0</v>
      </c>
      <c r="P7" s="197">
        <v>0</v>
      </c>
      <c r="Q7" s="197">
        <v>1</v>
      </c>
      <c r="R7" s="197">
        <v>0</v>
      </c>
      <c r="S7" s="197">
        <v>0</v>
      </c>
      <c r="T7" s="197">
        <v>0</v>
      </c>
      <c r="U7" s="197">
        <v>0</v>
      </c>
      <c r="V7" s="197">
        <v>0</v>
      </c>
      <c r="W7" s="197">
        <v>0</v>
      </c>
      <c r="X7" s="197">
        <v>0</v>
      </c>
      <c r="Y7" s="197">
        <v>0</v>
      </c>
    </row>
    <row r="8" spans="1:25">
      <c r="A8" s="196"/>
      <c r="B8" s="196" t="s">
        <v>5</v>
      </c>
      <c r="C8" s="197">
        <v>0</v>
      </c>
      <c r="D8" s="197">
        <v>0</v>
      </c>
      <c r="E8" s="197">
        <v>0</v>
      </c>
      <c r="F8" s="197">
        <v>0</v>
      </c>
      <c r="G8" s="197">
        <v>0</v>
      </c>
      <c r="H8" s="197">
        <v>0</v>
      </c>
      <c r="I8" s="197">
        <v>0</v>
      </c>
      <c r="J8" s="197">
        <v>0</v>
      </c>
      <c r="K8" s="197">
        <v>0</v>
      </c>
      <c r="L8" s="197">
        <v>0</v>
      </c>
      <c r="M8" s="197">
        <v>0</v>
      </c>
      <c r="N8" s="197">
        <v>0</v>
      </c>
      <c r="O8" s="197">
        <v>0</v>
      </c>
      <c r="P8" s="197">
        <v>1</v>
      </c>
      <c r="Q8" s="197">
        <v>1</v>
      </c>
      <c r="R8" s="197">
        <v>0</v>
      </c>
      <c r="S8" s="197">
        <v>0</v>
      </c>
      <c r="T8" s="197">
        <v>0</v>
      </c>
      <c r="U8" s="197">
        <v>0</v>
      </c>
      <c r="V8" s="197">
        <v>0</v>
      </c>
      <c r="W8" s="197">
        <v>0</v>
      </c>
      <c r="X8" s="197">
        <v>0</v>
      </c>
      <c r="Y8" s="197">
        <v>0</v>
      </c>
    </row>
    <row r="9" spans="1:25">
      <c r="A9" s="196"/>
      <c r="B9" s="196" t="s">
        <v>6</v>
      </c>
      <c r="C9" s="197">
        <v>10</v>
      </c>
      <c r="D9" s="197">
        <v>14</v>
      </c>
      <c r="E9" s="197">
        <v>42</v>
      </c>
      <c r="F9" s="197">
        <v>147</v>
      </c>
      <c r="G9" s="197">
        <v>14</v>
      </c>
      <c r="H9" s="197">
        <v>11</v>
      </c>
      <c r="I9" s="198">
        <v>21</v>
      </c>
      <c r="J9" s="197">
        <v>14</v>
      </c>
      <c r="K9" s="197">
        <v>70</v>
      </c>
      <c r="L9" s="197">
        <v>75</v>
      </c>
      <c r="M9" s="197">
        <v>18</v>
      </c>
      <c r="N9" s="197">
        <v>33</v>
      </c>
      <c r="O9" s="197">
        <v>48</v>
      </c>
      <c r="P9" s="197">
        <v>69</v>
      </c>
      <c r="Q9" s="197">
        <v>89</v>
      </c>
      <c r="R9" s="197">
        <v>71</v>
      </c>
      <c r="S9" s="197">
        <v>61</v>
      </c>
      <c r="T9" s="197">
        <v>66</v>
      </c>
      <c r="U9" s="197">
        <v>60</v>
      </c>
      <c r="V9" s="197">
        <v>48</v>
      </c>
      <c r="W9" s="197">
        <v>77</v>
      </c>
      <c r="X9" s="197">
        <v>283</v>
      </c>
      <c r="Y9" s="197">
        <v>1201</v>
      </c>
    </row>
    <row r="10" spans="1:25">
      <c r="A10" s="199"/>
      <c r="B10" s="199" t="s">
        <v>7</v>
      </c>
      <c r="C10" s="200">
        <v>356</v>
      </c>
      <c r="D10" s="200">
        <v>342</v>
      </c>
      <c r="E10" s="200">
        <v>214</v>
      </c>
      <c r="F10" s="200">
        <v>133</v>
      </c>
      <c r="G10" s="200">
        <v>136</v>
      </c>
      <c r="H10" s="200">
        <v>146</v>
      </c>
      <c r="I10" s="201">
        <v>195</v>
      </c>
      <c r="J10" s="200">
        <v>394</v>
      </c>
      <c r="K10" s="200">
        <v>461</v>
      </c>
      <c r="L10" s="200">
        <v>543</v>
      </c>
      <c r="M10" s="200">
        <v>847</v>
      </c>
      <c r="N10" s="200">
        <v>1130</v>
      </c>
      <c r="O10" s="200">
        <v>493</v>
      </c>
      <c r="P10" s="200">
        <v>1903</v>
      </c>
      <c r="Q10" s="200">
        <v>2020</v>
      </c>
      <c r="R10" s="200">
        <v>1622</v>
      </c>
      <c r="S10" s="200">
        <v>929</v>
      </c>
      <c r="T10" s="200">
        <v>513</v>
      </c>
      <c r="U10" s="200">
        <v>617</v>
      </c>
      <c r="V10" s="200">
        <v>557</v>
      </c>
      <c r="W10" s="200">
        <v>508</v>
      </c>
      <c r="X10" s="200">
        <v>367</v>
      </c>
      <c r="Y10" s="200">
        <v>407</v>
      </c>
    </row>
    <row r="11" spans="1:25">
      <c r="A11" s="196" t="s">
        <v>13</v>
      </c>
      <c r="B11" s="196" t="s">
        <v>2</v>
      </c>
      <c r="C11" s="197">
        <v>3150</v>
      </c>
      <c r="D11" s="197">
        <v>2247</v>
      </c>
      <c r="E11" s="197">
        <v>614</v>
      </c>
      <c r="F11" s="197">
        <v>2565</v>
      </c>
      <c r="G11" s="197">
        <v>8161</v>
      </c>
      <c r="H11" s="197">
        <v>3377</v>
      </c>
      <c r="I11" s="197">
        <v>3998</v>
      </c>
      <c r="J11" s="197">
        <v>4310</v>
      </c>
      <c r="K11" s="197">
        <v>6414</v>
      </c>
      <c r="L11" s="197">
        <v>8237</v>
      </c>
      <c r="M11" s="197">
        <v>9426</v>
      </c>
      <c r="N11" s="197">
        <v>5992</v>
      </c>
      <c r="O11" s="197">
        <v>8613</v>
      </c>
      <c r="P11" s="197">
        <v>8136</v>
      </c>
      <c r="Q11" s="197">
        <v>6802</v>
      </c>
      <c r="R11" s="197">
        <v>4273</v>
      </c>
      <c r="S11" s="197">
        <v>1856</v>
      </c>
      <c r="T11" s="197">
        <v>1284</v>
      </c>
      <c r="U11" s="197">
        <v>3828</v>
      </c>
      <c r="V11" s="197">
        <v>990</v>
      </c>
      <c r="W11" s="197">
        <v>861</v>
      </c>
      <c r="X11" s="197">
        <v>660</v>
      </c>
      <c r="Y11" s="197">
        <v>614</v>
      </c>
    </row>
    <row r="12" spans="1:25">
      <c r="A12" s="328"/>
      <c r="B12" s="196" t="s">
        <v>3</v>
      </c>
      <c r="C12" s="197">
        <v>0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0</v>
      </c>
      <c r="R12" s="197">
        <v>0</v>
      </c>
      <c r="S12" s="197">
        <v>0</v>
      </c>
      <c r="T12" s="197">
        <v>0</v>
      </c>
      <c r="U12" s="197">
        <v>0</v>
      </c>
      <c r="V12" s="197">
        <v>0</v>
      </c>
      <c r="W12" s="197">
        <v>0</v>
      </c>
      <c r="X12" s="197">
        <v>0</v>
      </c>
      <c r="Y12" s="197">
        <v>0</v>
      </c>
    </row>
    <row r="13" spans="1:25">
      <c r="A13" s="328"/>
      <c r="B13" s="196" t="s">
        <v>4</v>
      </c>
      <c r="C13" s="197">
        <v>75</v>
      </c>
      <c r="D13" s="197">
        <v>266</v>
      </c>
      <c r="E13" s="197">
        <v>379</v>
      </c>
      <c r="F13" s="197">
        <v>87</v>
      </c>
      <c r="G13" s="197">
        <v>39</v>
      </c>
      <c r="H13" s="197">
        <v>128</v>
      </c>
      <c r="I13" s="197">
        <v>153</v>
      </c>
      <c r="J13" s="197">
        <v>238</v>
      </c>
      <c r="K13" s="197">
        <v>283</v>
      </c>
      <c r="L13" s="197">
        <v>371</v>
      </c>
      <c r="M13" s="197">
        <v>248</v>
      </c>
      <c r="N13" s="197">
        <v>170</v>
      </c>
      <c r="O13" s="197">
        <v>207</v>
      </c>
      <c r="P13" s="197">
        <v>227</v>
      </c>
      <c r="Q13" s="197">
        <v>340</v>
      </c>
      <c r="R13" s="197">
        <v>141</v>
      </c>
      <c r="S13" s="197">
        <v>125</v>
      </c>
      <c r="T13" s="197">
        <v>143</v>
      </c>
      <c r="U13" s="197">
        <v>258</v>
      </c>
      <c r="V13" s="197">
        <v>199</v>
      </c>
      <c r="W13" s="197">
        <v>217</v>
      </c>
      <c r="X13" s="197">
        <v>271</v>
      </c>
      <c r="Y13" s="197">
        <v>419</v>
      </c>
    </row>
    <row r="14" spans="1:25">
      <c r="A14" s="328"/>
      <c r="B14" s="196" t="s">
        <v>5</v>
      </c>
      <c r="C14" s="197">
        <v>1559</v>
      </c>
      <c r="D14" s="197">
        <v>896</v>
      </c>
      <c r="E14" s="197">
        <v>553</v>
      </c>
      <c r="F14" s="197">
        <v>784</v>
      </c>
      <c r="G14" s="197">
        <v>762</v>
      </c>
      <c r="H14" s="197">
        <v>948</v>
      </c>
      <c r="I14" s="197">
        <v>1488</v>
      </c>
      <c r="J14" s="197">
        <v>1315</v>
      </c>
      <c r="K14" s="197">
        <v>1118</v>
      </c>
      <c r="L14" s="197">
        <v>809</v>
      </c>
      <c r="M14" s="197">
        <v>846</v>
      </c>
      <c r="N14" s="197">
        <v>838</v>
      </c>
      <c r="O14" s="197">
        <v>1847</v>
      </c>
      <c r="P14" s="197">
        <v>2006</v>
      </c>
      <c r="Q14" s="197">
        <v>2099</v>
      </c>
      <c r="R14" s="197">
        <v>2352</v>
      </c>
      <c r="S14" s="197">
        <v>1629</v>
      </c>
      <c r="T14" s="197">
        <v>1139</v>
      </c>
      <c r="U14" s="197">
        <v>1062</v>
      </c>
      <c r="V14" s="197">
        <v>1019</v>
      </c>
      <c r="W14" s="197">
        <v>851</v>
      </c>
      <c r="X14" s="197">
        <v>702</v>
      </c>
      <c r="Y14" s="197">
        <v>453</v>
      </c>
    </row>
    <row r="15" spans="1:25">
      <c r="A15" s="196"/>
      <c r="B15" s="196" t="s">
        <v>6</v>
      </c>
      <c r="C15" s="197">
        <v>12</v>
      </c>
      <c r="D15" s="197">
        <v>10</v>
      </c>
      <c r="E15" s="197">
        <v>191</v>
      </c>
      <c r="F15" s="197">
        <v>29</v>
      </c>
      <c r="G15" s="197">
        <v>64</v>
      </c>
      <c r="H15" s="197">
        <v>22</v>
      </c>
      <c r="I15" s="197">
        <v>28</v>
      </c>
      <c r="J15" s="197">
        <v>9</v>
      </c>
      <c r="K15" s="197">
        <v>57</v>
      </c>
      <c r="L15" s="197">
        <v>50</v>
      </c>
      <c r="M15" s="197">
        <v>23</v>
      </c>
      <c r="N15" s="197">
        <v>32</v>
      </c>
      <c r="O15" s="197">
        <v>224</v>
      </c>
      <c r="P15" s="197">
        <v>529</v>
      </c>
      <c r="Q15" s="197">
        <v>198</v>
      </c>
      <c r="R15" s="197">
        <v>162</v>
      </c>
      <c r="S15" s="197">
        <v>46</v>
      </c>
      <c r="T15" s="197">
        <v>45</v>
      </c>
      <c r="U15" s="197">
        <v>215</v>
      </c>
      <c r="V15" s="197">
        <v>381</v>
      </c>
      <c r="W15" s="197">
        <v>479</v>
      </c>
      <c r="X15" s="197">
        <v>293</v>
      </c>
      <c r="Y15" s="197">
        <v>958</v>
      </c>
    </row>
    <row r="16" spans="1:25">
      <c r="A16" s="199"/>
      <c r="B16" s="199" t="s">
        <v>7</v>
      </c>
      <c r="C16" s="200">
        <v>182</v>
      </c>
      <c r="D16" s="200">
        <v>146</v>
      </c>
      <c r="E16" s="200">
        <v>117</v>
      </c>
      <c r="F16" s="200">
        <v>62</v>
      </c>
      <c r="G16" s="200">
        <v>128</v>
      </c>
      <c r="H16" s="200">
        <v>144</v>
      </c>
      <c r="I16" s="200">
        <v>15</v>
      </c>
      <c r="J16" s="200">
        <v>55</v>
      </c>
      <c r="K16" s="200">
        <v>18</v>
      </c>
      <c r="L16" s="200">
        <v>10</v>
      </c>
      <c r="M16" s="200">
        <v>4</v>
      </c>
      <c r="N16" s="200">
        <v>17</v>
      </c>
      <c r="O16" s="200">
        <v>30</v>
      </c>
      <c r="P16" s="200">
        <v>34</v>
      </c>
      <c r="Q16" s="200">
        <v>65</v>
      </c>
      <c r="R16" s="200">
        <v>43</v>
      </c>
      <c r="S16" s="200">
        <v>30</v>
      </c>
      <c r="T16" s="200">
        <v>23</v>
      </c>
      <c r="U16" s="200">
        <v>34</v>
      </c>
      <c r="V16" s="200">
        <v>22</v>
      </c>
      <c r="W16" s="200">
        <v>23</v>
      </c>
      <c r="X16" s="200">
        <v>25</v>
      </c>
      <c r="Y16" s="200">
        <v>24</v>
      </c>
    </row>
    <row r="17" spans="1:25">
      <c r="A17" s="196" t="s">
        <v>14</v>
      </c>
      <c r="B17" s="196" t="s">
        <v>2</v>
      </c>
      <c r="C17" s="197">
        <v>4490</v>
      </c>
      <c r="D17" s="197">
        <v>3114</v>
      </c>
      <c r="E17" s="197">
        <v>1381</v>
      </c>
      <c r="F17" s="197">
        <v>3826</v>
      </c>
      <c r="G17" s="197">
        <v>8527</v>
      </c>
      <c r="H17" s="197">
        <v>5099</v>
      </c>
      <c r="I17" s="197">
        <v>3751</v>
      </c>
      <c r="J17" s="197">
        <v>4603</v>
      </c>
      <c r="K17" s="197">
        <v>4419</v>
      </c>
      <c r="L17" s="197">
        <v>4034</v>
      </c>
      <c r="M17" s="197">
        <v>5982</v>
      </c>
      <c r="N17" s="197">
        <v>3528</v>
      </c>
      <c r="O17" s="197">
        <v>4620</v>
      </c>
      <c r="P17" s="197">
        <v>9254</v>
      </c>
      <c r="Q17" s="197">
        <v>8789</v>
      </c>
      <c r="R17" s="197">
        <v>5889</v>
      </c>
      <c r="S17" s="197">
        <v>2034</v>
      </c>
      <c r="T17" s="197">
        <v>1796</v>
      </c>
      <c r="U17" s="197">
        <v>2105</v>
      </c>
      <c r="V17" s="197">
        <v>1512</v>
      </c>
      <c r="W17" s="197">
        <v>1986</v>
      </c>
      <c r="X17" s="197">
        <v>2144</v>
      </c>
      <c r="Y17" s="197">
        <v>981</v>
      </c>
    </row>
    <row r="18" spans="1:25">
      <c r="A18" s="328"/>
      <c r="B18" s="196" t="s">
        <v>3</v>
      </c>
      <c r="C18" s="197">
        <v>615</v>
      </c>
      <c r="D18" s="197">
        <v>904</v>
      </c>
      <c r="E18" s="197">
        <v>465</v>
      </c>
      <c r="F18" s="197">
        <v>902</v>
      </c>
      <c r="G18" s="197">
        <v>1689</v>
      </c>
      <c r="H18" s="197">
        <v>2114</v>
      </c>
      <c r="I18" s="197">
        <v>1798</v>
      </c>
      <c r="J18" s="197">
        <v>2695</v>
      </c>
      <c r="K18" s="197">
        <v>1826</v>
      </c>
      <c r="L18" s="197">
        <v>1035</v>
      </c>
      <c r="M18" s="197">
        <v>229</v>
      </c>
      <c r="N18" s="197">
        <v>236</v>
      </c>
      <c r="O18" s="197">
        <v>92</v>
      </c>
      <c r="P18" s="197">
        <v>165</v>
      </c>
      <c r="Q18" s="197">
        <v>477</v>
      </c>
      <c r="R18" s="197">
        <v>375</v>
      </c>
      <c r="S18" s="197">
        <v>270</v>
      </c>
      <c r="T18" s="197">
        <v>478</v>
      </c>
      <c r="U18" s="197">
        <v>180</v>
      </c>
      <c r="V18" s="197">
        <v>158</v>
      </c>
      <c r="W18" s="197">
        <v>63</v>
      </c>
      <c r="X18" s="197">
        <v>92</v>
      </c>
      <c r="Y18" s="197">
        <v>50</v>
      </c>
    </row>
    <row r="19" spans="1:25">
      <c r="A19" s="328"/>
      <c r="B19" s="196" t="s">
        <v>4</v>
      </c>
      <c r="C19" s="197">
        <v>94</v>
      </c>
      <c r="D19" s="197">
        <v>130</v>
      </c>
      <c r="E19" s="197">
        <v>48</v>
      </c>
      <c r="F19" s="197">
        <v>65</v>
      </c>
      <c r="G19" s="197">
        <v>76</v>
      </c>
      <c r="H19" s="197">
        <v>234</v>
      </c>
      <c r="I19" s="197">
        <v>222</v>
      </c>
      <c r="J19" s="197">
        <v>233</v>
      </c>
      <c r="K19" s="197">
        <v>261</v>
      </c>
      <c r="L19" s="197">
        <v>329</v>
      </c>
      <c r="M19" s="197">
        <v>261</v>
      </c>
      <c r="N19" s="197">
        <v>259</v>
      </c>
      <c r="O19" s="197">
        <v>152</v>
      </c>
      <c r="P19" s="197">
        <v>799</v>
      </c>
      <c r="Q19" s="197">
        <v>749</v>
      </c>
      <c r="R19" s="197">
        <v>517</v>
      </c>
      <c r="S19" s="197">
        <v>195</v>
      </c>
      <c r="T19" s="197">
        <v>207</v>
      </c>
      <c r="U19" s="197">
        <v>240</v>
      </c>
      <c r="V19" s="197">
        <v>101</v>
      </c>
      <c r="W19" s="197">
        <v>165</v>
      </c>
      <c r="X19" s="197">
        <v>221</v>
      </c>
      <c r="Y19" s="197">
        <v>161</v>
      </c>
    </row>
    <row r="20" spans="1:25">
      <c r="A20" s="328"/>
      <c r="B20" s="196" t="s">
        <v>5</v>
      </c>
      <c r="C20" s="197">
        <v>0</v>
      </c>
      <c r="D20" s="197">
        <v>0</v>
      </c>
      <c r="E20" s="197">
        <v>0</v>
      </c>
      <c r="F20" s="197">
        <v>0</v>
      </c>
      <c r="G20" s="197">
        <v>0</v>
      </c>
      <c r="H20" s="197">
        <v>0</v>
      </c>
      <c r="I20" s="197">
        <v>0</v>
      </c>
      <c r="J20" s="197">
        <v>0</v>
      </c>
      <c r="K20" s="197">
        <v>0</v>
      </c>
      <c r="L20" s="197">
        <v>13</v>
      </c>
      <c r="M20" s="197">
        <v>30</v>
      </c>
      <c r="N20" s="197">
        <v>16</v>
      </c>
      <c r="O20" s="197">
        <v>1</v>
      </c>
      <c r="P20" s="197">
        <v>21</v>
      </c>
      <c r="Q20" s="197">
        <v>18</v>
      </c>
      <c r="R20" s="197">
        <v>22</v>
      </c>
      <c r="S20" s="197">
        <v>13</v>
      </c>
      <c r="T20" s="197">
        <v>8</v>
      </c>
      <c r="U20" s="197">
        <v>7</v>
      </c>
      <c r="V20" s="197">
        <v>5</v>
      </c>
      <c r="W20" s="197">
        <v>2</v>
      </c>
      <c r="X20" s="197">
        <v>1</v>
      </c>
      <c r="Y20" s="197">
        <v>1</v>
      </c>
    </row>
    <row r="21" spans="1:25">
      <c r="A21" s="196"/>
      <c r="B21" s="196" t="s">
        <v>6</v>
      </c>
      <c r="C21" s="197">
        <v>13</v>
      </c>
      <c r="D21" s="197">
        <v>93</v>
      </c>
      <c r="E21" s="197">
        <v>3</v>
      </c>
      <c r="F21" s="197">
        <v>22</v>
      </c>
      <c r="G21" s="197">
        <v>28</v>
      </c>
      <c r="H21" s="197">
        <v>68</v>
      </c>
      <c r="I21" s="197">
        <v>82</v>
      </c>
      <c r="J21" s="197">
        <v>40</v>
      </c>
      <c r="K21" s="197">
        <v>44</v>
      </c>
      <c r="L21" s="197">
        <v>6</v>
      </c>
      <c r="M21" s="197">
        <v>34</v>
      </c>
      <c r="N21" s="197">
        <v>67</v>
      </c>
      <c r="O21" s="197">
        <v>231</v>
      </c>
      <c r="P21" s="197">
        <v>602</v>
      </c>
      <c r="Q21" s="197">
        <v>370</v>
      </c>
      <c r="R21" s="197">
        <v>337</v>
      </c>
      <c r="S21" s="197">
        <v>299</v>
      </c>
      <c r="T21" s="197">
        <v>183</v>
      </c>
      <c r="U21" s="197">
        <v>306</v>
      </c>
      <c r="V21" s="197">
        <v>411</v>
      </c>
      <c r="W21" s="197">
        <v>354</v>
      </c>
      <c r="X21" s="197">
        <v>585</v>
      </c>
      <c r="Y21" s="197">
        <v>202</v>
      </c>
    </row>
    <row r="22" spans="1:25">
      <c r="A22" s="199"/>
      <c r="B22" s="199" t="s">
        <v>7</v>
      </c>
      <c r="C22" s="200">
        <v>1211</v>
      </c>
      <c r="D22" s="200">
        <v>1422</v>
      </c>
      <c r="E22" s="200">
        <v>1180</v>
      </c>
      <c r="F22" s="200">
        <v>2306</v>
      </c>
      <c r="G22" s="200">
        <v>2743</v>
      </c>
      <c r="H22" s="200">
        <v>3979</v>
      </c>
      <c r="I22" s="200">
        <v>4003</v>
      </c>
      <c r="J22" s="200">
        <v>3982</v>
      </c>
      <c r="K22" s="200">
        <v>2259</v>
      </c>
      <c r="L22" s="200">
        <v>2178</v>
      </c>
      <c r="M22" s="200">
        <v>4314</v>
      </c>
      <c r="N22" s="200">
        <v>1012</v>
      </c>
      <c r="O22" s="200">
        <v>1230</v>
      </c>
      <c r="P22" s="200">
        <v>3242</v>
      </c>
      <c r="Q22" s="200">
        <v>3363</v>
      </c>
      <c r="R22" s="200">
        <v>2797</v>
      </c>
      <c r="S22" s="200">
        <v>1019</v>
      </c>
      <c r="T22" s="200">
        <v>718</v>
      </c>
      <c r="U22" s="200">
        <v>608</v>
      </c>
      <c r="V22" s="200">
        <v>360</v>
      </c>
      <c r="W22" s="200">
        <v>388</v>
      </c>
      <c r="X22" s="200">
        <v>418</v>
      </c>
      <c r="Y22" s="200">
        <v>172</v>
      </c>
    </row>
    <row r="23" spans="1:25">
      <c r="A23" s="196" t="s">
        <v>15</v>
      </c>
      <c r="B23" s="196" t="s">
        <v>2</v>
      </c>
      <c r="C23" s="197">
        <v>693</v>
      </c>
      <c r="D23" s="197">
        <v>674</v>
      </c>
      <c r="E23" s="197">
        <v>923</v>
      </c>
      <c r="F23" s="197">
        <v>1478</v>
      </c>
      <c r="G23" s="197">
        <v>1256</v>
      </c>
      <c r="H23" s="197">
        <v>1591</v>
      </c>
      <c r="I23" s="197">
        <v>1009</v>
      </c>
      <c r="J23" s="197">
        <v>1271</v>
      </c>
      <c r="K23" s="197">
        <v>565</v>
      </c>
      <c r="L23" s="197">
        <v>1145</v>
      </c>
      <c r="M23" s="197">
        <v>579</v>
      </c>
      <c r="N23" s="197">
        <v>0</v>
      </c>
      <c r="O23" s="197">
        <v>0</v>
      </c>
      <c r="P23" s="197">
        <v>0</v>
      </c>
      <c r="Q23" s="197">
        <v>45</v>
      </c>
      <c r="R23" s="197">
        <v>144</v>
      </c>
      <c r="S23" s="197">
        <v>94</v>
      </c>
      <c r="T23" s="197">
        <v>76</v>
      </c>
      <c r="U23" s="197">
        <v>86</v>
      </c>
      <c r="V23" s="197">
        <v>90</v>
      </c>
      <c r="W23" s="197">
        <v>127</v>
      </c>
      <c r="X23" s="197">
        <v>67</v>
      </c>
      <c r="Y23" s="197">
        <v>52</v>
      </c>
    </row>
    <row r="24" spans="1:25">
      <c r="A24" s="196"/>
      <c r="B24" s="196" t="s">
        <v>3</v>
      </c>
      <c r="C24" s="197">
        <v>81</v>
      </c>
      <c r="D24" s="197">
        <v>34</v>
      </c>
      <c r="E24" s="197">
        <v>33</v>
      </c>
      <c r="F24" s="197">
        <v>91</v>
      </c>
      <c r="G24" s="197">
        <v>70</v>
      </c>
      <c r="H24" s="197">
        <v>99</v>
      </c>
      <c r="I24" s="197">
        <v>46</v>
      </c>
      <c r="J24" s="197">
        <v>37</v>
      </c>
      <c r="K24" s="197">
        <v>70</v>
      </c>
      <c r="L24" s="197">
        <v>71</v>
      </c>
      <c r="M24" s="197">
        <v>25</v>
      </c>
      <c r="N24" s="197">
        <v>0</v>
      </c>
      <c r="O24" s="197">
        <v>0</v>
      </c>
      <c r="P24" s="197">
        <v>0</v>
      </c>
      <c r="Q24" s="197">
        <v>0</v>
      </c>
      <c r="R24" s="197">
        <v>0</v>
      </c>
      <c r="S24" s="197">
        <v>0</v>
      </c>
      <c r="T24" s="197">
        <v>4</v>
      </c>
      <c r="U24" s="197">
        <v>4</v>
      </c>
      <c r="V24" s="197">
        <v>5</v>
      </c>
      <c r="W24" s="197">
        <v>1</v>
      </c>
      <c r="X24" s="197">
        <v>3</v>
      </c>
      <c r="Y24" s="197">
        <v>4</v>
      </c>
    </row>
    <row r="25" spans="1:25">
      <c r="A25" s="196"/>
      <c r="B25" s="196" t="s">
        <v>4</v>
      </c>
      <c r="C25" s="197">
        <v>46</v>
      </c>
      <c r="D25" s="197">
        <v>19</v>
      </c>
      <c r="E25" s="197">
        <v>37</v>
      </c>
      <c r="F25" s="197">
        <v>49</v>
      </c>
      <c r="G25" s="197">
        <v>115</v>
      </c>
      <c r="H25" s="197">
        <v>137</v>
      </c>
      <c r="I25" s="197">
        <v>131</v>
      </c>
      <c r="J25" s="197">
        <v>50</v>
      </c>
      <c r="K25" s="197">
        <v>59</v>
      </c>
      <c r="L25" s="197">
        <v>24</v>
      </c>
      <c r="M25" s="197">
        <v>1</v>
      </c>
      <c r="N25" s="197">
        <v>0</v>
      </c>
      <c r="O25" s="197">
        <v>0</v>
      </c>
      <c r="P25" s="197">
        <v>0</v>
      </c>
      <c r="Q25" s="197">
        <v>0</v>
      </c>
      <c r="R25" s="197">
        <v>0</v>
      </c>
      <c r="S25" s="197">
        <v>0</v>
      </c>
      <c r="T25" s="197">
        <v>1</v>
      </c>
      <c r="U25" s="197">
        <v>3</v>
      </c>
      <c r="V25" s="197">
        <v>4</v>
      </c>
      <c r="W25" s="197">
        <v>3</v>
      </c>
      <c r="X25" s="197">
        <v>10</v>
      </c>
      <c r="Y25" s="197">
        <v>0</v>
      </c>
    </row>
    <row r="26" spans="1:25">
      <c r="A26" s="196"/>
      <c r="B26" s="196" t="s">
        <v>5</v>
      </c>
      <c r="C26" s="197">
        <v>32</v>
      </c>
      <c r="D26" s="197">
        <v>47</v>
      </c>
      <c r="E26" s="197">
        <v>38</v>
      </c>
      <c r="F26" s="197">
        <v>73</v>
      </c>
      <c r="G26" s="197">
        <v>128</v>
      </c>
      <c r="H26" s="197">
        <v>130</v>
      </c>
      <c r="I26" s="197">
        <v>63</v>
      </c>
      <c r="J26" s="197">
        <v>114</v>
      </c>
      <c r="K26" s="197">
        <v>63</v>
      </c>
      <c r="L26" s="197">
        <v>61</v>
      </c>
      <c r="M26" s="197">
        <v>52</v>
      </c>
      <c r="N26" s="197">
        <v>0</v>
      </c>
      <c r="O26" s="197">
        <v>0</v>
      </c>
      <c r="P26" s="197">
        <v>0</v>
      </c>
      <c r="Q26" s="197">
        <v>0</v>
      </c>
      <c r="R26" s="197">
        <v>0</v>
      </c>
      <c r="S26" s="197">
        <v>0</v>
      </c>
      <c r="T26" s="197">
        <v>0</v>
      </c>
      <c r="U26" s="197">
        <v>0</v>
      </c>
      <c r="V26" s="197">
        <v>0</v>
      </c>
      <c r="W26" s="197">
        <v>0</v>
      </c>
      <c r="X26" s="197">
        <v>0</v>
      </c>
      <c r="Y26" s="197">
        <v>0</v>
      </c>
    </row>
    <row r="27" spans="1:25">
      <c r="A27" s="196"/>
      <c r="B27" s="196" t="s">
        <v>6</v>
      </c>
      <c r="C27" s="197">
        <v>0</v>
      </c>
      <c r="D27" s="197">
        <v>0</v>
      </c>
      <c r="E27" s="197">
        <v>0</v>
      </c>
      <c r="F27" s="197">
        <v>0</v>
      </c>
      <c r="G27" s="197">
        <v>0</v>
      </c>
      <c r="H27" s="197">
        <v>0</v>
      </c>
      <c r="I27" s="197">
        <v>0</v>
      </c>
      <c r="J27" s="197">
        <v>0</v>
      </c>
      <c r="K27" s="197">
        <v>0</v>
      </c>
      <c r="L27" s="197">
        <v>0</v>
      </c>
      <c r="M27" s="197">
        <v>0</v>
      </c>
      <c r="N27" s="197">
        <v>0</v>
      </c>
      <c r="O27" s="197">
        <v>0</v>
      </c>
      <c r="P27" s="197">
        <v>0</v>
      </c>
      <c r="Q27" s="197">
        <v>0</v>
      </c>
      <c r="R27" s="197">
        <v>0</v>
      </c>
      <c r="S27" s="197">
        <v>0</v>
      </c>
      <c r="T27" s="197">
        <v>0</v>
      </c>
      <c r="U27" s="197">
        <v>0</v>
      </c>
      <c r="V27" s="197">
        <v>0</v>
      </c>
      <c r="W27" s="197">
        <v>0</v>
      </c>
      <c r="X27" s="197">
        <v>0</v>
      </c>
      <c r="Y27" s="197">
        <v>0</v>
      </c>
    </row>
    <row r="28" spans="1:25">
      <c r="A28" s="199"/>
      <c r="B28" s="199" t="s">
        <v>7</v>
      </c>
      <c r="C28" s="200">
        <v>46</v>
      </c>
      <c r="D28" s="200">
        <v>18</v>
      </c>
      <c r="E28" s="200">
        <v>3</v>
      </c>
      <c r="F28" s="200">
        <v>24</v>
      </c>
      <c r="G28" s="200">
        <v>52</v>
      </c>
      <c r="H28" s="200">
        <v>10</v>
      </c>
      <c r="I28" s="200">
        <v>3</v>
      </c>
      <c r="J28" s="200">
        <v>3</v>
      </c>
      <c r="K28" s="200">
        <v>2</v>
      </c>
      <c r="L28" s="200">
        <v>3</v>
      </c>
      <c r="M28" s="200">
        <v>1</v>
      </c>
      <c r="N28" s="200">
        <v>0</v>
      </c>
      <c r="O28" s="200">
        <v>0</v>
      </c>
      <c r="P28" s="200">
        <v>0</v>
      </c>
      <c r="Q28" s="200">
        <v>0</v>
      </c>
      <c r="R28" s="200">
        <v>0</v>
      </c>
      <c r="S28" s="200">
        <v>0</v>
      </c>
      <c r="T28" s="200">
        <v>0</v>
      </c>
      <c r="U28" s="200">
        <v>3</v>
      </c>
      <c r="V28" s="200">
        <v>0</v>
      </c>
      <c r="W28" s="200">
        <v>0</v>
      </c>
      <c r="X28" s="200">
        <v>0</v>
      </c>
      <c r="Y28" s="200">
        <v>0</v>
      </c>
    </row>
    <row r="29" spans="1:25">
      <c r="A29" s="196" t="s">
        <v>16</v>
      </c>
      <c r="B29" s="196" t="s">
        <v>2</v>
      </c>
      <c r="C29" s="197">
        <v>8</v>
      </c>
      <c r="D29" s="197">
        <v>4</v>
      </c>
      <c r="E29" s="197">
        <v>3</v>
      </c>
      <c r="F29" s="197">
        <v>12</v>
      </c>
      <c r="G29" s="197">
        <v>15</v>
      </c>
      <c r="H29" s="197">
        <v>13</v>
      </c>
      <c r="I29" s="197">
        <v>9</v>
      </c>
      <c r="J29" s="197">
        <v>8</v>
      </c>
      <c r="K29" s="197">
        <v>14</v>
      </c>
      <c r="L29" s="197">
        <v>18</v>
      </c>
      <c r="M29" s="197">
        <v>29</v>
      </c>
      <c r="N29" s="197">
        <v>18</v>
      </c>
      <c r="O29" s="197">
        <v>0</v>
      </c>
      <c r="P29" s="197">
        <v>0</v>
      </c>
      <c r="Q29" s="197">
        <v>52</v>
      </c>
      <c r="R29" s="197">
        <v>91</v>
      </c>
      <c r="S29" s="197">
        <v>37</v>
      </c>
      <c r="T29" s="197">
        <v>17</v>
      </c>
      <c r="U29" s="197">
        <v>2</v>
      </c>
      <c r="V29" s="197">
        <v>1</v>
      </c>
      <c r="W29" s="197">
        <v>1</v>
      </c>
      <c r="X29" s="197">
        <v>1</v>
      </c>
      <c r="Y29" s="197">
        <v>0</v>
      </c>
    </row>
    <row r="30" spans="1:25">
      <c r="A30" s="196"/>
      <c r="B30" s="196" t="s">
        <v>3</v>
      </c>
      <c r="C30" s="197">
        <v>34</v>
      </c>
      <c r="D30" s="197">
        <v>8</v>
      </c>
      <c r="E30" s="197">
        <v>9</v>
      </c>
      <c r="F30" s="197">
        <v>80</v>
      </c>
      <c r="G30" s="197">
        <v>80</v>
      </c>
      <c r="H30" s="197">
        <v>81</v>
      </c>
      <c r="I30" s="197">
        <v>19</v>
      </c>
      <c r="J30" s="197">
        <v>10</v>
      </c>
      <c r="K30" s="197">
        <v>19</v>
      </c>
      <c r="L30" s="197">
        <v>19</v>
      </c>
      <c r="M30" s="197">
        <v>26</v>
      </c>
      <c r="N30" s="197">
        <v>28</v>
      </c>
      <c r="O30" s="197">
        <v>2</v>
      </c>
      <c r="P30" s="197">
        <v>0</v>
      </c>
      <c r="Q30" s="197">
        <v>48</v>
      </c>
      <c r="R30" s="197">
        <v>48</v>
      </c>
      <c r="S30" s="197">
        <v>21</v>
      </c>
      <c r="T30" s="197">
        <v>11</v>
      </c>
      <c r="U30" s="197">
        <v>9</v>
      </c>
      <c r="V30" s="197">
        <v>6</v>
      </c>
      <c r="W30" s="197">
        <v>1</v>
      </c>
      <c r="X30" s="197">
        <v>0</v>
      </c>
      <c r="Y30" s="197">
        <v>0</v>
      </c>
    </row>
    <row r="31" spans="1:25">
      <c r="A31" s="196"/>
      <c r="B31" s="196" t="s">
        <v>4</v>
      </c>
      <c r="C31" s="197">
        <v>0</v>
      </c>
      <c r="D31" s="197">
        <v>0</v>
      </c>
      <c r="E31" s="197">
        <v>0</v>
      </c>
      <c r="F31" s="197">
        <v>0</v>
      </c>
      <c r="G31" s="197">
        <v>0</v>
      </c>
      <c r="H31" s="197">
        <v>0</v>
      </c>
      <c r="I31" s="197">
        <v>0</v>
      </c>
      <c r="J31" s="197">
        <v>0</v>
      </c>
      <c r="K31" s="197">
        <v>0</v>
      </c>
      <c r="L31" s="197">
        <v>0</v>
      </c>
      <c r="M31" s="197">
        <v>0</v>
      </c>
      <c r="N31" s="197">
        <v>0</v>
      </c>
      <c r="O31" s="197">
        <v>0</v>
      </c>
      <c r="P31" s="197">
        <v>0</v>
      </c>
      <c r="Q31" s="197">
        <v>0</v>
      </c>
      <c r="R31" s="197">
        <v>0</v>
      </c>
      <c r="S31" s="197">
        <v>0</v>
      </c>
      <c r="T31" s="197">
        <v>0</v>
      </c>
      <c r="U31" s="197">
        <v>0</v>
      </c>
      <c r="V31" s="197">
        <v>0</v>
      </c>
      <c r="W31" s="197">
        <v>0</v>
      </c>
      <c r="X31" s="197">
        <v>0</v>
      </c>
      <c r="Y31" s="197">
        <v>0</v>
      </c>
    </row>
    <row r="32" spans="1:25">
      <c r="A32" s="196"/>
      <c r="B32" s="196" t="s">
        <v>5</v>
      </c>
      <c r="C32" s="197">
        <v>69</v>
      </c>
      <c r="D32" s="197">
        <v>38</v>
      </c>
      <c r="E32" s="197">
        <v>19</v>
      </c>
      <c r="F32" s="197">
        <v>53</v>
      </c>
      <c r="G32" s="197">
        <v>179</v>
      </c>
      <c r="H32" s="197">
        <v>95</v>
      </c>
      <c r="I32" s="197">
        <v>68</v>
      </c>
      <c r="J32" s="197">
        <v>102</v>
      </c>
      <c r="K32" s="197">
        <v>48</v>
      </c>
      <c r="L32" s="197">
        <v>17</v>
      </c>
      <c r="M32" s="197">
        <v>30</v>
      </c>
      <c r="N32" s="197">
        <v>24</v>
      </c>
      <c r="O32" s="197">
        <v>1</v>
      </c>
      <c r="P32" s="197">
        <v>0</v>
      </c>
      <c r="Q32" s="197">
        <v>12</v>
      </c>
      <c r="R32" s="197">
        <v>33</v>
      </c>
      <c r="S32" s="197">
        <v>1</v>
      </c>
      <c r="T32" s="197">
        <v>3</v>
      </c>
      <c r="U32" s="197">
        <v>0</v>
      </c>
      <c r="V32" s="197">
        <v>0</v>
      </c>
      <c r="W32" s="197">
        <v>0</v>
      </c>
      <c r="X32" s="197">
        <v>0</v>
      </c>
      <c r="Y32" s="197">
        <v>0</v>
      </c>
    </row>
    <row r="33" spans="1:25">
      <c r="A33" s="196"/>
      <c r="B33" s="196" t="s">
        <v>6</v>
      </c>
      <c r="C33" s="197">
        <v>0</v>
      </c>
      <c r="D33" s="197">
        <v>0</v>
      </c>
      <c r="E33" s="197">
        <v>0</v>
      </c>
      <c r="F33" s="197">
        <v>0</v>
      </c>
      <c r="G33" s="197">
        <v>0</v>
      </c>
      <c r="H33" s="197">
        <v>0</v>
      </c>
      <c r="I33" s="197">
        <v>0</v>
      </c>
      <c r="J33" s="197">
        <v>0</v>
      </c>
      <c r="K33" s="197">
        <v>0</v>
      </c>
      <c r="L33" s="197">
        <v>0</v>
      </c>
      <c r="M33" s="197">
        <v>0</v>
      </c>
      <c r="N33" s="197">
        <v>0</v>
      </c>
      <c r="O33" s="197">
        <v>0</v>
      </c>
      <c r="P33" s="197">
        <v>0</v>
      </c>
      <c r="Q33" s="197">
        <v>0</v>
      </c>
      <c r="R33" s="197">
        <v>0</v>
      </c>
      <c r="S33" s="197">
        <v>0</v>
      </c>
      <c r="T33" s="197">
        <v>0</v>
      </c>
      <c r="U33" s="197">
        <v>0</v>
      </c>
      <c r="V33" s="197">
        <v>0</v>
      </c>
      <c r="W33" s="197">
        <v>0</v>
      </c>
      <c r="X33" s="197">
        <v>0</v>
      </c>
      <c r="Y33" s="197">
        <v>0</v>
      </c>
    </row>
    <row r="34" spans="1:25">
      <c r="A34" s="199"/>
      <c r="B34" s="199" t="s">
        <v>7</v>
      </c>
      <c r="C34" s="200">
        <v>0</v>
      </c>
      <c r="D34" s="200">
        <v>0</v>
      </c>
      <c r="E34" s="200">
        <v>0</v>
      </c>
      <c r="F34" s="200">
        <v>2</v>
      </c>
      <c r="G34" s="200">
        <v>2</v>
      </c>
      <c r="H34" s="200">
        <v>1</v>
      </c>
      <c r="I34" s="200">
        <v>0</v>
      </c>
      <c r="J34" s="200">
        <v>0</v>
      </c>
      <c r="K34" s="200">
        <v>0</v>
      </c>
      <c r="L34" s="200">
        <v>0</v>
      </c>
      <c r="M34" s="200">
        <v>1</v>
      </c>
      <c r="N34" s="200">
        <v>0</v>
      </c>
      <c r="O34" s="200">
        <v>0</v>
      </c>
      <c r="P34" s="200">
        <v>0</v>
      </c>
      <c r="Q34" s="200">
        <v>1</v>
      </c>
      <c r="R34" s="200">
        <v>3</v>
      </c>
      <c r="S34" s="200">
        <v>0</v>
      </c>
      <c r="T34" s="200">
        <v>1</v>
      </c>
      <c r="U34" s="200">
        <v>0</v>
      </c>
      <c r="V34" s="200">
        <v>0</v>
      </c>
      <c r="W34" s="200">
        <v>0</v>
      </c>
      <c r="X34" s="200">
        <v>0</v>
      </c>
      <c r="Y34" s="200">
        <v>0</v>
      </c>
    </row>
    <row r="35" spans="1:25">
      <c r="A35" s="196" t="s">
        <v>17</v>
      </c>
      <c r="B35" s="196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</row>
    <row r="36" spans="1:25">
      <c r="B36" s="196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</row>
    <row r="37" spans="1:25"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spans="1:25"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spans="1:25"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spans="1:25"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spans="1:25"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</row>
    <row r="44" spans="1:25"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</row>
    <row r="45" spans="1:25"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</row>
    <row r="46" spans="1:25"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</row>
    <row r="47" spans="1:25"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</row>
    <row r="48" spans="1:25"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</row>
    <row r="49" spans="3:25"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</row>
    <row r="50" spans="3:25"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</row>
    <row r="51" spans="3:25"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</row>
    <row r="52" spans="3:25"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 spans="3:25"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</row>
    <row r="54" spans="3:25"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</row>
    <row r="55" spans="3:25"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</row>
    <row r="56" spans="3:25"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3:25"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</row>
    <row r="58" spans="3:25"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</row>
    <row r="59" spans="3:25"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</row>
    <row r="60" spans="3:25"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</row>
    <row r="61" spans="3:25"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</row>
    <row r="62" spans="3:25"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</row>
    <row r="63" spans="3:25"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</row>
    <row r="64" spans="3:25"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</row>
    <row r="65" spans="3:25"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</row>
  </sheetData>
  <mergeCells count="2">
    <mergeCell ref="A12:A14"/>
    <mergeCell ref="A18:A20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82E8-2928-44A2-829F-BC436A80F27C}">
  <dimension ref="A1:M95"/>
  <sheetViews>
    <sheetView zoomScale="90" zoomScaleNormal="90" workbookViewId="0">
      <selection activeCell="F20" sqref="F20"/>
    </sheetView>
  </sheetViews>
  <sheetFormatPr defaultRowHeight="18.75"/>
  <cols>
    <col min="1" max="1" width="6.125" customWidth="1"/>
    <col min="2" max="11" width="7" customWidth="1"/>
    <col min="12" max="12" width="7" style="36" customWidth="1"/>
    <col min="13" max="14" width="7" customWidth="1"/>
  </cols>
  <sheetData>
    <row r="1" spans="1:13">
      <c r="A1" t="s">
        <v>0</v>
      </c>
    </row>
    <row r="3" spans="1:13" s="1" customFormat="1">
      <c r="A3" s="2" t="s">
        <v>18</v>
      </c>
      <c r="L3" s="37"/>
    </row>
    <row r="5" spans="1:13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3" ht="36.75">
      <c r="A6" s="278" t="s">
        <v>19</v>
      </c>
      <c r="B6" s="278" t="s">
        <v>20</v>
      </c>
      <c r="C6" s="278" t="s">
        <v>21</v>
      </c>
      <c r="D6" s="278" t="s">
        <v>22</v>
      </c>
      <c r="E6" s="278" t="s">
        <v>23</v>
      </c>
      <c r="F6" s="278" t="s">
        <v>24</v>
      </c>
      <c r="G6" s="278" t="s">
        <v>25</v>
      </c>
      <c r="H6" s="278" t="s">
        <v>26</v>
      </c>
      <c r="I6" s="278" t="s">
        <v>27</v>
      </c>
      <c r="J6" s="278" t="s">
        <v>28</v>
      </c>
    </row>
    <row r="7" spans="1:13">
      <c r="A7" s="21">
        <v>1996</v>
      </c>
      <c r="B7" s="22">
        <v>76</v>
      </c>
      <c r="C7" s="22">
        <v>234</v>
      </c>
      <c r="D7" s="22">
        <v>91</v>
      </c>
      <c r="E7" s="23">
        <v>11</v>
      </c>
      <c r="F7" s="23">
        <v>33</v>
      </c>
      <c r="G7" s="24">
        <v>0.63</v>
      </c>
      <c r="H7" s="25"/>
      <c r="I7" s="26">
        <v>0.68</v>
      </c>
      <c r="J7" s="27">
        <v>11.9</v>
      </c>
      <c r="M7" s="19"/>
    </row>
    <row r="8" spans="1:13">
      <c r="A8" s="21">
        <v>1997</v>
      </c>
      <c r="B8" s="22">
        <v>136</v>
      </c>
      <c r="C8" s="22">
        <v>322</v>
      </c>
      <c r="D8" s="22">
        <v>104</v>
      </c>
      <c r="E8" s="23">
        <v>38</v>
      </c>
      <c r="F8" s="23">
        <v>42</v>
      </c>
      <c r="G8" s="24">
        <v>0.96</v>
      </c>
      <c r="H8" s="28">
        <v>4.2</v>
      </c>
      <c r="I8" s="26">
        <v>1.03</v>
      </c>
      <c r="J8" s="27">
        <v>5.7</v>
      </c>
      <c r="M8" s="19"/>
    </row>
    <row r="9" spans="1:13">
      <c r="A9" s="21">
        <v>1998</v>
      </c>
      <c r="B9" s="22">
        <v>237</v>
      </c>
      <c r="C9" s="22">
        <v>487</v>
      </c>
      <c r="D9" s="22">
        <v>68</v>
      </c>
      <c r="E9" s="23">
        <v>42</v>
      </c>
      <c r="F9" s="23">
        <v>49</v>
      </c>
      <c r="G9" s="24">
        <v>0.68</v>
      </c>
      <c r="H9" s="28">
        <v>4</v>
      </c>
      <c r="I9" s="26">
        <v>1.1499999999999999</v>
      </c>
      <c r="J9" s="246">
        <v>4.0999999999999996</v>
      </c>
      <c r="M9" s="19"/>
    </row>
    <row r="10" spans="1:13">
      <c r="A10" s="21">
        <v>1999</v>
      </c>
      <c r="B10" s="22">
        <v>200</v>
      </c>
      <c r="C10" s="22">
        <v>439</v>
      </c>
      <c r="D10" s="22">
        <v>104</v>
      </c>
      <c r="E10" s="23">
        <v>27</v>
      </c>
      <c r="F10" s="23">
        <v>46</v>
      </c>
      <c r="G10" s="24">
        <v>0.69</v>
      </c>
      <c r="H10" s="28">
        <v>3.9</v>
      </c>
      <c r="I10" s="26">
        <v>1.1299999999999999</v>
      </c>
      <c r="J10" s="246">
        <v>4.4000000000000004</v>
      </c>
      <c r="M10" s="306"/>
    </row>
    <row r="11" spans="1:13">
      <c r="A11" s="21">
        <v>2000</v>
      </c>
      <c r="B11" s="22">
        <v>146</v>
      </c>
      <c r="C11" s="22">
        <v>309</v>
      </c>
      <c r="D11" s="22">
        <v>103</v>
      </c>
      <c r="E11" s="23">
        <v>18</v>
      </c>
      <c r="F11" s="23">
        <v>47</v>
      </c>
      <c r="G11" s="24">
        <v>0.73</v>
      </c>
      <c r="H11" s="28">
        <v>1.7</v>
      </c>
      <c r="I11" s="26">
        <v>1.34</v>
      </c>
      <c r="J11" s="27">
        <v>2.5</v>
      </c>
      <c r="M11" s="19"/>
    </row>
    <row r="12" spans="1:13">
      <c r="A12" s="21">
        <v>2001</v>
      </c>
      <c r="B12" s="22">
        <v>124</v>
      </c>
      <c r="C12" s="22">
        <v>270</v>
      </c>
      <c r="D12" s="22">
        <v>127</v>
      </c>
      <c r="E12" s="23">
        <v>17</v>
      </c>
      <c r="F12" s="23">
        <v>46</v>
      </c>
      <c r="G12" s="24">
        <v>0.98</v>
      </c>
      <c r="H12" s="28">
        <v>1.6</v>
      </c>
      <c r="I12" s="26">
        <v>1.08</v>
      </c>
      <c r="J12" s="27">
        <v>5</v>
      </c>
      <c r="M12" s="19"/>
    </row>
    <row r="13" spans="1:13">
      <c r="A13" s="21">
        <v>2002</v>
      </c>
      <c r="B13" s="22">
        <v>77</v>
      </c>
      <c r="C13" s="22">
        <v>230</v>
      </c>
      <c r="D13" s="22">
        <v>87</v>
      </c>
      <c r="E13" s="23">
        <v>16</v>
      </c>
      <c r="F13" s="23">
        <v>33</v>
      </c>
      <c r="G13" s="24">
        <v>0.81</v>
      </c>
      <c r="H13" s="28">
        <v>1.3</v>
      </c>
      <c r="I13" s="26">
        <v>0.71</v>
      </c>
      <c r="J13" s="27">
        <v>10.7</v>
      </c>
      <c r="M13" s="19"/>
    </row>
    <row r="14" spans="1:13">
      <c r="A14" s="21">
        <v>2003</v>
      </c>
      <c r="B14" s="22">
        <v>145</v>
      </c>
      <c r="C14" s="22">
        <v>341</v>
      </c>
      <c r="D14" s="22">
        <v>112</v>
      </c>
      <c r="E14" s="23">
        <v>38</v>
      </c>
      <c r="F14" s="23">
        <v>43</v>
      </c>
      <c r="G14" s="24">
        <v>0.79</v>
      </c>
      <c r="H14" s="28">
        <v>4.3</v>
      </c>
      <c r="I14" s="26">
        <v>0.96</v>
      </c>
      <c r="J14" s="27">
        <v>6.5</v>
      </c>
      <c r="M14" s="19"/>
    </row>
    <row r="15" spans="1:13">
      <c r="A15" s="21">
        <v>2004</v>
      </c>
      <c r="B15" s="22">
        <v>264</v>
      </c>
      <c r="C15" s="22">
        <v>486</v>
      </c>
      <c r="D15" s="22">
        <v>102</v>
      </c>
      <c r="E15" s="23">
        <v>63</v>
      </c>
      <c r="F15" s="23">
        <v>54</v>
      </c>
      <c r="G15" s="24">
        <v>1.42</v>
      </c>
      <c r="H15" s="28">
        <v>5.6</v>
      </c>
      <c r="I15" s="26">
        <v>1.61</v>
      </c>
      <c r="J15" s="27">
        <v>1.9</v>
      </c>
      <c r="M15" s="19"/>
    </row>
    <row r="16" spans="1:13">
      <c r="A16" s="21">
        <v>2005</v>
      </c>
      <c r="B16" s="22">
        <v>203</v>
      </c>
      <c r="C16" s="22">
        <v>464</v>
      </c>
      <c r="D16" s="22">
        <v>71</v>
      </c>
      <c r="E16" s="23">
        <v>47</v>
      </c>
      <c r="F16" s="23">
        <v>44</v>
      </c>
      <c r="G16" s="24">
        <v>0.71</v>
      </c>
      <c r="H16" s="28">
        <v>4.5999999999999996</v>
      </c>
      <c r="I16" s="26">
        <v>1.1200000000000001</v>
      </c>
      <c r="J16" s="27">
        <v>4.5</v>
      </c>
      <c r="M16" s="19"/>
    </row>
    <row r="17" spans="1:13">
      <c r="A17" s="21">
        <v>2006</v>
      </c>
      <c r="B17" s="22">
        <v>204</v>
      </c>
      <c r="C17" s="22">
        <v>476</v>
      </c>
      <c r="D17" s="22">
        <v>88</v>
      </c>
      <c r="E17" s="23">
        <v>36</v>
      </c>
      <c r="F17" s="23">
        <v>43</v>
      </c>
      <c r="G17" s="24">
        <v>0.92</v>
      </c>
      <c r="H17" s="28">
        <v>5.0999999999999996</v>
      </c>
      <c r="I17" s="26">
        <v>1.1499999999999999</v>
      </c>
      <c r="J17" s="27">
        <v>4.3</v>
      </c>
      <c r="M17" s="19"/>
    </row>
    <row r="18" spans="1:13">
      <c r="A18" s="21">
        <v>2007</v>
      </c>
      <c r="B18" s="22">
        <v>234</v>
      </c>
      <c r="C18" s="22">
        <v>605</v>
      </c>
      <c r="D18" s="22">
        <v>143</v>
      </c>
      <c r="E18" s="23">
        <v>46</v>
      </c>
      <c r="F18" s="23">
        <v>39</v>
      </c>
      <c r="G18" s="24">
        <v>0.63</v>
      </c>
      <c r="H18" s="28">
        <v>5.3</v>
      </c>
      <c r="I18" s="26">
        <v>0.89</v>
      </c>
      <c r="J18" s="27">
        <v>7.7</v>
      </c>
      <c r="M18" s="19"/>
    </row>
    <row r="19" spans="1:13">
      <c r="A19" s="21">
        <v>2008</v>
      </c>
      <c r="B19" s="22">
        <v>211</v>
      </c>
      <c r="C19" s="22">
        <v>531</v>
      </c>
      <c r="D19" s="22">
        <v>156</v>
      </c>
      <c r="E19" s="23">
        <v>21</v>
      </c>
      <c r="F19" s="23">
        <v>40</v>
      </c>
      <c r="G19" s="24">
        <v>0.66</v>
      </c>
      <c r="H19" s="28">
        <v>1.5</v>
      </c>
      <c r="I19" s="26">
        <v>0.94</v>
      </c>
      <c r="J19" s="27">
        <v>6.8</v>
      </c>
      <c r="M19" s="19"/>
    </row>
    <row r="20" spans="1:13">
      <c r="A20" s="21">
        <v>2009</v>
      </c>
      <c r="B20" s="22">
        <v>218</v>
      </c>
      <c r="C20" s="22">
        <v>542</v>
      </c>
      <c r="D20" s="22">
        <v>184</v>
      </c>
      <c r="E20" s="23">
        <v>41</v>
      </c>
      <c r="F20" s="23">
        <v>40</v>
      </c>
      <c r="G20" s="24">
        <v>0.91</v>
      </c>
      <c r="H20" s="28">
        <v>2.7</v>
      </c>
      <c r="I20" s="26">
        <v>0.98</v>
      </c>
      <c r="J20" s="27">
        <v>6.1</v>
      </c>
      <c r="M20" s="19"/>
    </row>
    <row r="21" spans="1:13">
      <c r="A21" s="21">
        <v>2010</v>
      </c>
      <c r="B21" s="22">
        <v>258</v>
      </c>
      <c r="C21" s="22">
        <v>597</v>
      </c>
      <c r="D21" s="22">
        <v>155</v>
      </c>
      <c r="E21" s="23">
        <v>29</v>
      </c>
      <c r="F21" s="23">
        <v>43</v>
      </c>
      <c r="G21" s="24">
        <v>0.98</v>
      </c>
      <c r="H21" s="28">
        <v>1.6</v>
      </c>
      <c r="I21" s="26">
        <v>0.95</v>
      </c>
      <c r="J21" s="27">
        <v>6.6</v>
      </c>
      <c r="M21" s="19"/>
    </row>
    <row r="22" spans="1:13">
      <c r="A22" s="21">
        <v>2011</v>
      </c>
      <c r="B22" s="22">
        <v>153</v>
      </c>
      <c r="C22" s="22">
        <v>602</v>
      </c>
      <c r="D22" s="22">
        <v>143</v>
      </c>
      <c r="E22" s="23">
        <v>43</v>
      </c>
      <c r="F22" s="23">
        <v>25</v>
      </c>
      <c r="G22" s="24">
        <v>0.5</v>
      </c>
      <c r="H22" s="28">
        <v>2.8</v>
      </c>
      <c r="I22" s="26">
        <v>0.54</v>
      </c>
      <c r="J22" s="27">
        <v>15.9</v>
      </c>
      <c r="M22" s="19"/>
    </row>
    <row r="23" spans="1:13">
      <c r="A23" s="21">
        <v>2012</v>
      </c>
      <c r="B23" s="22">
        <v>204</v>
      </c>
      <c r="C23" s="22">
        <v>665</v>
      </c>
      <c r="D23" s="22">
        <v>129</v>
      </c>
      <c r="E23" s="23">
        <v>36</v>
      </c>
      <c r="F23" s="23">
        <v>31</v>
      </c>
      <c r="G23" s="24">
        <v>0.57999999999999996</v>
      </c>
      <c r="H23" s="28">
        <v>2.5</v>
      </c>
      <c r="I23" s="26">
        <v>0.7</v>
      </c>
      <c r="J23" s="27">
        <v>11.2</v>
      </c>
      <c r="M23" s="19"/>
    </row>
    <row r="24" spans="1:13">
      <c r="A24" s="21">
        <v>2013</v>
      </c>
      <c r="B24" s="22">
        <v>309</v>
      </c>
      <c r="C24" s="22">
        <v>836</v>
      </c>
      <c r="D24" s="22">
        <v>176</v>
      </c>
      <c r="E24" s="23">
        <v>33</v>
      </c>
      <c r="F24" s="23">
        <v>37</v>
      </c>
      <c r="G24" s="24">
        <v>0.68</v>
      </c>
      <c r="H24" s="28">
        <v>2.6</v>
      </c>
      <c r="I24" s="26">
        <v>1.01</v>
      </c>
      <c r="J24" s="27">
        <v>5.7</v>
      </c>
      <c r="M24" s="19"/>
    </row>
    <row r="25" spans="1:13">
      <c r="A25" s="21">
        <v>2014</v>
      </c>
      <c r="B25" s="22">
        <v>281</v>
      </c>
      <c r="C25" s="22">
        <v>585</v>
      </c>
      <c r="D25" s="22">
        <v>196</v>
      </c>
      <c r="E25" s="23">
        <v>31</v>
      </c>
      <c r="F25" s="23">
        <v>48</v>
      </c>
      <c r="G25" s="24">
        <v>1.01</v>
      </c>
      <c r="H25" s="28">
        <v>1.7</v>
      </c>
      <c r="I25" s="26">
        <v>1.33</v>
      </c>
      <c r="J25" s="27">
        <v>3.2</v>
      </c>
      <c r="M25" s="19"/>
    </row>
    <row r="26" spans="1:13">
      <c r="A26" s="21">
        <v>2015</v>
      </c>
      <c r="B26" s="22">
        <v>224</v>
      </c>
      <c r="C26" s="22">
        <v>408</v>
      </c>
      <c r="D26" s="22">
        <v>130</v>
      </c>
      <c r="E26" s="23">
        <v>14</v>
      </c>
      <c r="F26" s="23">
        <v>55</v>
      </c>
      <c r="G26" s="24">
        <v>1.17</v>
      </c>
      <c r="H26" s="28">
        <v>0.7</v>
      </c>
      <c r="I26" s="26">
        <v>1.52</v>
      </c>
      <c r="J26" s="27">
        <v>2.2999999999999998</v>
      </c>
      <c r="M26" s="19"/>
    </row>
    <row r="27" spans="1:13">
      <c r="A27" s="21">
        <v>2016</v>
      </c>
      <c r="B27" s="22">
        <v>101</v>
      </c>
      <c r="C27" s="22">
        <v>234</v>
      </c>
      <c r="D27" s="22">
        <v>51</v>
      </c>
      <c r="E27" s="23">
        <v>12</v>
      </c>
      <c r="F27" s="23">
        <v>43</v>
      </c>
      <c r="G27" s="24">
        <v>1.05</v>
      </c>
      <c r="H27" s="28">
        <v>0.9</v>
      </c>
      <c r="I27" s="26">
        <v>1.21</v>
      </c>
      <c r="J27" s="27">
        <v>4</v>
      </c>
      <c r="M27" s="19"/>
    </row>
    <row r="28" spans="1:13">
      <c r="A28" s="21">
        <v>2017</v>
      </c>
      <c r="B28" s="22">
        <v>75</v>
      </c>
      <c r="C28" s="22">
        <v>202</v>
      </c>
      <c r="D28" s="22">
        <v>51</v>
      </c>
      <c r="E28" s="23">
        <v>17</v>
      </c>
      <c r="F28" s="23">
        <v>37</v>
      </c>
      <c r="G28" s="24">
        <v>0.71</v>
      </c>
      <c r="H28" s="28">
        <v>3.3</v>
      </c>
      <c r="I28" s="26">
        <v>0.94</v>
      </c>
      <c r="J28" s="27">
        <v>6.7</v>
      </c>
      <c r="M28" s="19"/>
    </row>
    <row r="29" spans="1:13">
      <c r="A29" s="21">
        <v>2018</v>
      </c>
      <c r="B29" s="22">
        <v>104</v>
      </c>
      <c r="C29" s="22">
        <v>225</v>
      </c>
      <c r="D29" s="22">
        <v>51</v>
      </c>
      <c r="E29" s="23">
        <v>16</v>
      </c>
      <c r="F29" s="23">
        <v>46</v>
      </c>
      <c r="G29" s="24">
        <v>0.99</v>
      </c>
      <c r="H29" s="28">
        <v>3.1</v>
      </c>
      <c r="I29" s="26">
        <v>1.33</v>
      </c>
      <c r="J29" s="27">
        <v>3.2</v>
      </c>
      <c r="M29" s="19"/>
    </row>
    <row r="30" spans="1:13">
      <c r="A30" s="21">
        <v>2019</v>
      </c>
      <c r="B30" s="22">
        <v>66</v>
      </c>
      <c r="C30" s="22">
        <v>189</v>
      </c>
      <c r="D30" s="22">
        <v>38</v>
      </c>
      <c r="E30" s="23">
        <v>14</v>
      </c>
      <c r="F30" s="23">
        <v>35</v>
      </c>
      <c r="G30" s="24">
        <v>0.79</v>
      </c>
      <c r="H30" s="28">
        <v>2.7</v>
      </c>
      <c r="I30" s="26">
        <v>0.86</v>
      </c>
      <c r="J30" s="27">
        <v>7.8</v>
      </c>
      <c r="M30" s="19"/>
    </row>
    <row r="31" spans="1:13">
      <c r="A31" s="21">
        <v>2020</v>
      </c>
      <c r="B31" s="22">
        <v>71</v>
      </c>
      <c r="C31" s="22">
        <v>224</v>
      </c>
      <c r="D31" s="22">
        <v>49</v>
      </c>
      <c r="E31" s="23">
        <v>14</v>
      </c>
      <c r="F31" s="23">
        <v>32</v>
      </c>
      <c r="G31" s="24">
        <v>0.55000000000000004</v>
      </c>
      <c r="H31" s="28">
        <v>3.8</v>
      </c>
      <c r="I31" s="26">
        <v>0.88</v>
      </c>
      <c r="J31" s="27">
        <v>7.8</v>
      </c>
      <c r="M31" s="19"/>
    </row>
    <row r="32" spans="1:13">
      <c r="A32" s="21">
        <v>2021</v>
      </c>
      <c r="B32" s="22">
        <v>73</v>
      </c>
      <c r="C32" s="22">
        <v>238</v>
      </c>
      <c r="D32" s="22">
        <v>76</v>
      </c>
      <c r="E32" s="23">
        <v>5</v>
      </c>
      <c r="F32" s="23">
        <v>30</v>
      </c>
      <c r="G32" s="24">
        <v>0.56999999999999995</v>
      </c>
      <c r="H32" s="28">
        <v>1</v>
      </c>
      <c r="I32" s="26">
        <v>0.89</v>
      </c>
      <c r="J32" s="27">
        <v>7.6</v>
      </c>
      <c r="M32" s="19"/>
    </row>
    <row r="33" spans="1:13">
      <c r="A33" s="29">
        <v>2022</v>
      </c>
      <c r="B33" s="30">
        <v>65</v>
      </c>
      <c r="C33" s="30">
        <v>174</v>
      </c>
      <c r="D33" s="30">
        <v>99</v>
      </c>
      <c r="E33" s="31">
        <v>3</v>
      </c>
      <c r="F33" s="31">
        <v>37</v>
      </c>
      <c r="G33" s="32">
        <v>0.62</v>
      </c>
      <c r="H33" s="33">
        <v>0.4</v>
      </c>
      <c r="I33" s="34">
        <v>0.85</v>
      </c>
      <c r="J33" s="35">
        <v>8.1</v>
      </c>
      <c r="M33" s="19"/>
    </row>
    <row r="34" spans="1:13">
      <c r="A34" s="5" t="s">
        <v>29</v>
      </c>
      <c r="B34" s="25"/>
      <c r="C34" s="25"/>
      <c r="D34" s="25"/>
      <c r="E34" s="25"/>
      <c r="F34" s="25"/>
      <c r="G34" s="25"/>
      <c r="H34" s="25"/>
      <c r="I34" s="25"/>
      <c r="J34" s="25"/>
    </row>
    <row r="35" spans="1:13">
      <c r="I35" s="226"/>
      <c r="J35" s="36"/>
    </row>
    <row r="36" spans="1:13">
      <c r="J36" s="36"/>
    </row>
    <row r="37" spans="1:13">
      <c r="J37" s="36"/>
    </row>
    <row r="38" spans="1:13">
      <c r="J38" s="36"/>
    </row>
    <row r="39" spans="1:13">
      <c r="J39" s="36"/>
    </row>
    <row r="40" spans="1:13">
      <c r="J40" s="36"/>
    </row>
    <row r="41" spans="1:13">
      <c r="J41" s="36"/>
    </row>
    <row r="42" spans="1:13">
      <c r="J42" s="36"/>
    </row>
    <row r="43" spans="1:13">
      <c r="J43" s="36"/>
    </row>
    <row r="44" spans="1:13">
      <c r="J44" s="36"/>
    </row>
    <row r="45" spans="1:13">
      <c r="J45" s="36"/>
    </row>
    <row r="46" spans="1:13">
      <c r="J46" s="36"/>
    </row>
    <row r="47" spans="1:13">
      <c r="J47" s="36"/>
    </row>
    <row r="48" spans="1:13">
      <c r="J48" s="36"/>
    </row>
    <row r="49" spans="10:10">
      <c r="J49" s="36"/>
    </row>
    <row r="50" spans="10:10">
      <c r="J50" s="36"/>
    </row>
    <row r="51" spans="10:10">
      <c r="J51" s="36"/>
    </row>
    <row r="52" spans="10:10">
      <c r="J52" s="36"/>
    </row>
    <row r="53" spans="10:10">
      <c r="J53" s="36"/>
    </row>
    <row r="54" spans="10:10">
      <c r="J54" s="36"/>
    </row>
    <row r="55" spans="10:10">
      <c r="J55" s="36"/>
    </row>
    <row r="56" spans="10:10">
      <c r="J56" s="36"/>
    </row>
    <row r="57" spans="10:10">
      <c r="J57" s="36"/>
    </row>
    <row r="58" spans="10:10">
      <c r="J58" s="36"/>
    </row>
    <row r="59" spans="10:10">
      <c r="J59" s="36"/>
    </row>
    <row r="60" spans="10:10">
      <c r="J60" s="36"/>
    </row>
    <row r="61" spans="10:10">
      <c r="J61" s="36"/>
    </row>
    <row r="62" spans="10:10">
      <c r="J62" s="36"/>
    </row>
    <row r="63" spans="10:10">
      <c r="J63" s="36"/>
    </row>
    <row r="64" spans="10:10">
      <c r="J64" s="36"/>
    </row>
    <row r="65" spans="10:10">
      <c r="J65" s="36"/>
    </row>
    <row r="66" spans="10:10">
      <c r="J66" s="36"/>
    </row>
    <row r="67" spans="10:10">
      <c r="J67" s="36"/>
    </row>
    <row r="68" spans="10:10">
      <c r="J68" s="36"/>
    </row>
    <row r="69" spans="10:10">
      <c r="J69" s="36"/>
    </row>
    <row r="70" spans="10:10">
      <c r="J70" s="36"/>
    </row>
    <row r="71" spans="10:10">
      <c r="J71" s="36"/>
    </row>
    <row r="72" spans="10:10">
      <c r="J72" s="36"/>
    </row>
    <row r="73" spans="10:10">
      <c r="J73" s="36"/>
    </row>
    <row r="74" spans="10:10">
      <c r="J74" s="36"/>
    </row>
    <row r="75" spans="10:10">
      <c r="J75" s="36"/>
    </row>
    <row r="76" spans="10:10">
      <c r="J76" s="36"/>
    </row>
    <row r="77" spans="10:10">
      <c r="J77" s="36"/>
    </row>
    <row r="78" spans="10:10">
      <c r="J78" s="36"/>
    </row>
    <row r="79" spans="10:10">
      <c r="J79" s="36"/>
    </row>
    <row r="80" spans="10:10">
      <c r="J80" s="36"/>
    </row>
    <row r="81" spans="10:10">
      <c r="J81" s="36"/>
    </row>
    <row r="82" spans="10:10">
      <c r="J82" s="36"/>
    </row>
    <row r="83" spans="10:10">
      <c r="J83" s="36"/>
    </row>
    <row r="84" spans="10:10">
      <c r="J84" s="36"/>
    </row>
    <row r="85" spans="10:10">
      <c r="J85" s="36"/>
    </row>
    <row r="86" spans="10:10">
      <c r="J86" s="36"/>
    </row>
    <row r="87" spans="10:10">
      <c r="J87" s="36"/>
    </row>
    <row r="88" spans="10:10">
      <c r="J88" s="36"/>
    </row>
    <row r="89" spans="10:10">
      <c r="J89" s="36"/>
    </row>
    <row r="90" spans="10:10">
      <c r="J90" s="36"/>
    </row>
    <row r="91" spans="10:10">
      <c r="J91" s="36"/>
    </row>
    <row r="92" spans="10:10">
      <c r="J92" s="36"/>
    </row>
    <row r="93" spans="10:10">
      <c r="J93" s="36"/>
    </row>
    <row r="94" spans="10:10">
      <c r="J94" s="36"/>
    </row>
    <row r="95" spans="10:10">
      <c r="J95" s="3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8EEC-1EE6-4C31-80C7-AA2D8AB51DF0}">
  <dimension ref="A1:AE70"/>
  <sheetViews>
    <sheetView zoomScale="70" zoomScaleNormal="70" workbookViewId="0">
      <selection activeCell="B51" sqref="B51"/>
    </sheetView>
  </sheetViews>
  <sheetFormatPr defaultColWidth="8.625" defaultRowHeight="18.75"/>
  <cols>
    <col min="1" max="1" width="6.125" customWidth="1"/>
    <col min="2" max="11" width="7" customWidth="1"/>
    <col min="12" max="12" width="7" style="36" customWidth="1"/>
    <col min="13" max="14" width="7" customWidth="1"/>
  </cols>
  <sheetData>
    <row r="1" spans="1:28">
      <c r="A1" t="s">
        <v>0</v>
      </c>
    </row>
    <row r="3" spans="1:28" s="1" customFormat="1" ht="21.75">
      <c r="A3" s="131" t="s">
        <v>243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4"/>
      <c r="R3" s="132"/>
      <c r="S3" s="132"/>
      <c r="T3" s="132"/>
      <c r="U3" s="132"/>
      <c r="V3" s="132"/>
      <c r="W3" s="132"/>
      <c r="X3" s="132"/>
      <c r="Y3" s="132"/>
      <c r="Z3" s="132"/>
      <c r="AA3" s="132"/>
    </row>
    <row r="4" spans="1:28">
      <c r="A4" s="135" t="s">
        <v>30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6"/>
      <c r="Q4" s="135"/>
      <c r="R4" s="135"/>
      <c r="S4" s="135"/>
      <c r="T4" s="135"/>
      <c r="U4" s="135"/>
      <c r="V4" s="135"/>
      <c r="W4" s="137"/>
      <c r="X4" s="135"/>
      <c r="Y4" s="135"/>
      <c r="Z4" s="138"/>
      <c r="AA4" s="138"/>
    </row>
    <row r="5" spans="1:28">
      <c r="A5" s="279" t="s">
        <v>31</v>
      </c>
      <c r="B5" s="280">
        <v>1996</v>
      </c>
      <c r="C5" s="280">
        <v>1997</v>
      </c>
      <c r="D5" s="281">
        <v>1998</v>
      </c>
      <c r="E5" s="281">
        <v>1999</v>
      </c>
      <c r="F5" s="281">
        <v>2000</v>
      </c>
      <c r="G5" s="281">
        <v>2001</v>
      </c>
      <c r="H5" s="281">
        <v>2002</v>
      </c>
      <c r="I5" s="281">
        <v>2003</v>
      </c>
      <c r="J5" s="281">
        <v>2004</v>
      </c>
      <c r="K5" s="281">
        <v>2005</v>
      </c>
      <c r="L5" s="281">
        <v>2006</v>
      </c>
      <c r="M5" s="281">
        <v>2007</v>
      </c>
      <c r="N5" s="281">
        <v>2008</v>
      </c>
      <c r="O5" s="281">
        <v>2009</v>
      </c>
      <c r="P5" s="282">
        <v>2010</v>
      </c>
      <c r="Q5" s="281">
        <v>2011</v>
      </c>
      <c r="R5" s="282">
        <v>2012</v>
      </c>
      <c r="S5" s="281">
        <v>2013</v>
      </c>
      <c r="T5" s="282">
        <v>2014</v>
      </c>
      <c r="U5" s="281">
        <v>2015</v>
      </c>
      <c r="V5" s="282">
        <v>2016</v>
      </c>
      <c r="W5" s="282">
        <v>2017</v>
      </c>
      <c r="X5" s="282">
        <v>2018</v>
      </c>
      <c r="Y5" s="282">
        <v>2019</v>
      </c>
      <c r="Z5" s="282">
        <v>2020</v>
      </c>
      <c r="AA5" s="282">
        <v>2021</v>
      </c>
      <c r="AB5" s="282">
        <v>2022</v>
      </c>
    </row>
    <row r="6" spans="1:28">
      <c r="A6" s="139">
        <v>1</v>
      </c>
      <c r="B6" s="140">
        <v>1745</v>
      </c>
      <c r="C6" s="140">
        <v>8938</v>
      </c>
      <c r="D6" s="140">
        <v>20378</v>
      </c>
      <c r="E6" s="140">
        <v>11396</v>
      </c>
      <c r="F6" s="140">
        <v>9537</v>
      </c>
      <c r="G6" s="140">
        <v>8905</v>
      </c>
      <c r="H6" s="140">
        <v>5951</v>
      </c>
      <c r="I6" s="140">
        <v>18878</v>
      </c>
      <c r="J6" s="140">
        <v>39039</v>
      </c>
      <c r="K6" s="140">
        <v>23528</v>
      </c>
      <c r="L6" s="140">
        <v>12633</v>
      </c>
      <c r="M6" s="140">
        <v>19932</v>
      </c>
      <c r="N6" s="140">
        <v>4898</v>
      </c>
      <c r="O6" s="140">
        <v>12051</v>
      </c>
      <c r="P6" s="140">
        <v>7069</v>
      </c>
      <c r="Q6" s="140">
        <v>6606</v>
      </c>
      <c r="R6" s="140">
        <v>3232</v>
      </c>
      <c r="S6" s="140">
        <v>12656</v>
      </c>
      <c r="T6" s="140">
        <v>8815</v>
      </c>
      <c r="U6" s="140">
        <v>2231</v>
      </c>
      <c r="V6" s="140">
        <v>949</v>
      </c>
      <c r="W6" s="140">
        <v>4568</v>
      </c>
      <c r="X6" s="140">
        <v>2545</v>
      </c>
      <c r="Y6" s="140">
        <v>2042</v>
      </c>
      <c r="Z6" s="140">
        <v>6010</v>
      </c>
      <c r="AA6" s="140">
        <v>2029</v>
      </c>
      <c r="AB6" s="203">
        <v>1023</v>
      </c>
    </row>
    <row r="7" spans="1:28">
      <c r="A7" s="139">
        <v>2</v>
      </c>
      <c r="B7" s="140">
        <v>2753</v>
      </c>
      <c r="C7" s="140">
        <v>2684</v>
      </c>
      <c r="D7" s="140">
        <v>10145</v>
      </c>
      <c r="E7" s="140">
        <v>6658</v>
      </c>
      <c r="F7" s="140">
        <v>4790</v>
      </c>
      <c r="G7" s="140">
        <v>1946</v>
      </c>
      <c r="H7" s="140">
        <v>1442</v>
      </c>
      <c r="I7" s="140">
        <v>2374</v>
      </c>
      <c r="J7" s="140">
        <v>4551</v>
      </c>
      <c r="K7" s="140">
        <v>4747</v>
      </c>
      <c r="L7" s="140">
        <v>5388</v>
      </c>
      <c r="M7" s="140">
        <v>6495</v>
      </c>
      <c r="N7" s="140">
        <v>8362</v>
      </c>
      <c r="O7" s="140">
        <v>3643</v>
      </c>
      <c r="P7" s="140">
        <v>9104</v>
      </c>
      <c r="Q7" s="140">
        <v>3063</v>
      </c>
      <c r="R7" s="140">
        <v>9067</v>
      </c>
      <c r="S7" s="140">
        <v>10212</v>
      </c>
      <c r="T7" s="140">
        <v>5903</v>
      </c>
      <c r="U7" s="140">
        <v>8092</v>
      </c>
      <c r="V7" s="140">
        <v>3232</v>
      </c>
      <c r="W7" s="140">
        <v>2749</v>
      </c>
      <c r="X7" s="140">
        <v>4020</v>
      </c>
      <c r="Y7" s="140">
        <v>3150</v>
      </c>
      <c r="Z7" s="140">
        <v>1680</v>
      </c>
      <c r="AA7" s="140">
        <v>1729</v>
      </c>
      <c r="AB7" s="203">
        <v>531</v>
      </c>
    </row>
    <row r="8" spans="1:28">
      <c r="A8" s="139">
        <v>3</v>
      </c>
      <c r="B8" s="140">
        <v>534</v>
      </c>
      <c r="C8" s="140">
        <v>884</v>
      </c>
      <c r="D8" s="140">
        <v>977</v>
      </c>
      <c r="E8" s="140">
        <v>1986</v>
      </c>
      <c r="F8" s="140">
        <v>1530</v>
      </c>
      <c r="G8" s="140">
        <v>724</v>
      </c>
      <c r="H8" s="140">
        <v>233</v>
      </c>
      <c r="I8" s="140">
        <v>584</v>
      </c>
      <c r="J8" s="140">
        <v>1058</v>
      </c>
      <c r="K8" s="140">
        <v>1536</v>
      </c>
      <c r="L8" s="140">
        <v>2080</v>
      </c>
      <c r="M8" s="140">
        <v>1339</v>
      </c>
      <c r="N8" s="140">
        <v>1428</v>
      </c>
      <c r="O8" s="140">
        <v>1442</v>
      </c>
      <c r="P8" s="140">
        <v>1784</v>
      </c>
      <c r="Q8" s="140">
        <v>1720</v>
      </c>
      <c r="R8" s="140">
        <v>1691</v>
      </c>
      <c r="S8" s="140">
        <v>2056</v>
      </c>
      <c r="T8" s="140">
        <v>2490</v>
      </c>
      <c r="U8" s="140">
        <v>1671</v>
      </c>
      <c r="V8" s="140">
        <v>1218</v>
      </c>
      <c r="W8" s="140">
        <v>972</v>
      </c>
      <c r="X8" s="140">
        <v>1312</v>
      </c>
      <c r="Y8" s="140">
        <v>687</v>
      </c>
      <c r="Z8" s="140">
        <v>1028</v>
      </c>
      <c r="AA8" s="140">
        <v>977</v>
      </c>
      <c r="AB8" s="203">
        <v>586</v>
      </c>
    </row>
    <row r="9" spans="1:28">
      <c r="A9" s="139">
        <v>4</v>
      </c>
      <c r="B9" s="140">
        <v>335</v>
      </c>
      <c r="C9" s="140">
        <v>892</v>
      </c>
      <c r="D9" s="140">
        <v>149</v>
      </c>
      <c r="E9" s="140">
        <v>256</v>
      </c>
      <c r="F9" s="140">
        <v>737</v>
      </c>
      <c r="G9" s="140">
        <v>387</v>
      </c>
      <c r="H9" s="140">
        <v>252</v>
      </c>
      <c r="I9" s="140">
        <v>239</v>
      </c>
      <c r="J9" s="140">
        <v>460</v>
      </c>
      <c r="K9" s="140">
        <v>349</v>
      </c>
      <c r="L9" s="140">
        <v>627</v>
      </c>
      <c r="M9" s="140">
        <v>330</v>
      </c>
      <c r="N9" s="140">
        <v>752</v>
      </c>
      <c r="O9" s="140">
        <v>1112</v>
      </c>
      <c r="P9" s="140">
        <v>593</v>
      </c>
      <c r="Q9" s="140">
        <v>575</v>
      </c>
      <c r="R9" s="140">
        <v>851</v>
      </c>
      <c r="S9" s="140">
        <v>1467</v>
      </c>
      <c r="T9" s="140">
        <v>2913</v>
      </c>
      <c r="U9" s="140">
        <v>1873</v>
      </c>
      <c r="V9" s="140">
        <v>696</v>
      </c>
      <c r="W9" s="140">
        <v>482</v>
      </c>
      <c r="X9" s="140">
        <v>663</v>
      </c>
      <c r="Y9" s="140">
        <v>330</v>
      </c>
      <c r="Z9" s="140">
        <v>416</v>
      </c>
      <c r="AA9" s="140">
        <v>439</v>
      </c>
      <c r="AB9" s="203">
        <v>754</v>
      </c>
    </row>
    <row r="10" spans="1:28">
      <c r="A10" s="139">
        <v>5</v>
      </c>
      <c r="B10" s="140">
        <v>140</v>
      </c>
      <c r="C10" s="140">
        <v>296</v>
      </c>
      <c r="D10" s="140">
        <v>78</v>
      </c>
      <c r="E10" s="140">
        <v>112</v>
      </c>
      <c r="F10" s="140">
        <v>66</v>
      </c>
      <c r="G10" s="140">
        <v>390</v>
      </c>
      <c r="H10" s="140">
        <v>191</v>
      </c>
      <c r="I10" s="140">
        <v>321</v>
      </c>
      <c r="J10" s="140">
        <v>280</v>
      </c>
      <c r="K10" s="140">
        <v>56</v>
      </c>
      <c r="L10" s="140">
        <v>164</v>
      </c>
      <c r="M10" s="140">
        <v>161</v>
      </c>
      <c r="N10" s="140">
        <v>277</v>
      </c>
      <c r="O10" s="140">
        <v>639</v>
      </c>
      <c r="P10" s="140">
        <v>409</v>
      </c>
      <c r="Q10" s="140">
        <v>262</v>
      </c>
      <c r="R10" s="140">
        <v>319</v>
      </c>
      <c r="S10" s="140">
        <v>485</v>
      </c>
      <c r="T10" s="140">
        <v>897</v>
      </c>
      <c r="U10" s="140">
        <v>751</v>
      </c>
      <c r="V10" s="140">
        <v>349</v>
      </c>
      <c r="W10" s="140">
        <v>158</v>
      </c>
      <c r="X10" s="140">
        <v>244</v>
      </c>
      <c r="Y10" s="140">
        <v>181</v>
      </c>
      <c r="Z10" s="140">
        <v>120</v>
      </c>
      <c r="AA10" s="140">
        <v>142</v>
      </c>
      <c r="AB10" s="203">
        <v>385</v>
      </c>
    </row>
    <row r="11" spans="1:28">
      <c r="A11" s="141" t="s">
        <v>32</v>
      </c>
      <c r="B11" s="142">
        <v>42</v>
      </c>
      <c r="C11" s="142">
        <v>50</v>
      </c>
      <c r="D11" s="142">
        <v>40</v>
      </c>
      <c r="E11" s="142">
        <v>52</v>
      </c>
      <c r="F11" s="142">
        <v>50</v>
      </c>
      <c r="G11" s="142">
        <v>129</v>
      </c>
      <c r="H11" s="142">
        <v>89</v>
      </c>
      <c r="I11" s="142">
        <v>33</v>
      </c>
      <c r="J11" s="142">
        <v>101</v>
      </c>
      <c r="K11" s="142">
        <v>15</v>
      </c>
      <c r="L11" s="142">
        <v>40</v>
      </c>
      <c r="M11" s="142">
        <v>29</v>
      </c>
      <c r="N11" s="142">
        <v>67</v>
      </c>
      <c r="O11" s="142">
        <v>142</v>
      </c>
      <c r="P11" s="142">
        <v>129</v>
      </c>
      <c r="Q11" s="142">
        <v>44</v>
      </c>
      <c r="R11" s="142">
        <v>121</v>
      </c>
      <c r="S11" s="142">
        <v>110</v>
      </c>
      <c r="T11" s="142">
        <v>240</v>
      </c>
      <c r="U11" s="142">
        <v>174</v>
      </c>
      <c r="V11" s="142">
        <v>118</v>
      </c>
      <c r="W11" s="142">
        <v>36</v>
      </c>
      <c r="X11" s="142">
        <v>59</v>
      </c>
      <c r="Y11" s="142">
        <v>50</v>
      </c>
      <c r="Z11" s="142">
        <v>22</v>
      </c>
      <c r="AA11" s="142">
        <v>65</v>
      </c>
      <c r="AB11" s="203">
        <v>77</v>
      </c>
    </row>
    <row r="12" spans="1:28">
      <c r="A12" s="249" t="s">
        <v>33</v>
      </c>
      <c r="B12" s="143">
        <v>5548</v>
      </c>
      <c r="C12" s="143">
        <v>13743</v>
      </c>
      <c r="D12" s="143">
        <v>31766</v>
      </c>
      <c r="E12" s="143">
        <v>20460</v>
      </c>
      <c r="F12" s="143">
        <v>16710</v>
      </c>
      <c r="G12" s="143">
        <v>12481</v>
      </c>
      <c r="H12" s="143">
        <v>8157</v>
      </c>
      <c r="I12" s="143">
        <v>22430</v>
      </c>
      <c r="J12" s="143">
        <v>45489</v>
      </c>
      <c r="K12" s="143">
        <v>30231</v>
      </c>
      <c r="L12" s="143">
        <v>20931</v>
      </c>
      <c r="M12" s="143">
        <v>28286</v>
      </c>
      <c r="N12" s="143">
        <v>15784</v>
      </c>
      <c r="O12" s="143">
        <v>19031</v>
      </c>
      <c r="P12" s="143">
        <v>19087</v>
      </c>
      <c r="Q12" s="143">
        <v>12269</v>
      </c>
      <c r="R12" s="143">
        <v>15280</v>
      </c>
      <c r="S12" s="143">
        <v>26986</v>
      </c>
      <c r="T12" s="143">
        <v>21258</v>
      </c>
      <c r="U12" s="143">
        <v>14792</v>
      </c>
      <c r="V12" s="143">
        <v>6562</v>
      </c>
      <c r="W12" s="143">
        <v>8965</v>
      </c>
      <c r="X12" s="143">
        <v>8843</v>
      </c>
      <c r="Y12" s="143">
        <v>6441</v>
      </c>
      <c r="Z12" s="143">
        <v>9276</v>
      </c>
      <c r="AA12" s="143">
        <v>5381</v>
      </c>
      <c r="AB12" s="204">
        <v>3356</v>
      </c>
    </row>
    <row r="13" spans="1:28">
      <c r="A13" s="144"/>
      <c r="B13" s="144"/>
      <c r="C13" s="144"/>
      <c r="D13" s="145"/>
      <c r="E13" s="145"/>
      <c r="F13" s="145"/>
      <c r="G13" s="145"/>
      <c r="H13" s="145"/>
      <c r="I13" s="145"/>
      <c r="J13" s="146"/>
      <c r="K13" s="146"/>
      <c r="L13" s="146"/>
      <c r="M13" s="146"/>
      <c r="N13" s="146"/>
      <c r="O13" s="146"/>
      <c r="P13" s="147"/>
      <c r="Q13" s="144"/>
      <c r="R13" s="145"/>
      <c r="S13" s="148"/>
      <c r="T13" s="148"/>
      <c r="U13" s="148"/>
      <c r="V13" s="148"/>
      <c r="W13" s="148"/>
      <c r="X13" s="148"/>
      <c r="Y13" s="148"/>
      <c r="Z13" s="132"/>
      <c r="AA13" s="132"/>
    </row>
    <row r="14" spans="1:28">
      <c r="A14" s="149" t="s">
        <v>34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</row>
    <row r="15" spans="1:28" s="132" customFormat="1">
      <c r="A15" s="279" t="s">
        <v>31</v>
      </c>
      <c r="B15" s="280">
        <v>1996</v>
      </c>
      <c r="C15" s="280">
        <v>1997</v>
      </c>
      <c r="D15" s="281">
        <v>1998</v>
      </c>
      <c r="E15" s="281">
        <v>1999</v>
      </c>
      <c r="F15" s="281">
        <v>2000</v>
      </c>
      <c r="G15" s="281">
        <v>2001</v>
      </c>
      <c r="H15" s="281">
        <v>2002</v>
      </c>
      <c r="I15" s="281">
        <v>2003</v>
      </c>
      <c r="J15" s="281">
        <v>2004</v>
      </c>
      <c r="K15" s="281">
        <v>2005</v>
      </c>
      <c r="L15" s="281">
        <v>2006</v>
      </c>
      <c r="M15" s="281">
        <v>2007</v>
      </c>
      <c r="N15" s="281">
        <v>2008</v>
      </c>
      <c r="O15" s="281">
        <v>2009</v>
      </c>
      <c r="P15" s="282">
        <v>2010</v>
      </c>
      <c r="Q15" s="281">
        <v>2011</v>
      </c>
      <c r="R15" s="282">
        <v>2012</v>
      </c>
      <c r="S15" s="281">
        <v>2013</v>
      </c>
      <c r="T15" s="282">
        <v>2014</v>
      </c>
      <c r="U15" s="281">
        <v>2015</v>
      </c>
      <c r="V15" s="282">
        <v>2016</v>
      </c>
      <c r="W15" s="282">
        <v>2017</v>
      </c>
      <c r="X15" s="282">
        <v>2018</v>
      </c>
      <c r="Y15" s="282">
        <v>2019</v>
      </c>
      <c r="Z15" s="282">
        <v>2020</v>
      </c>
      <c r="AA15" s="282">
        <v>2021</v>
      </c>
      <c r="AB15" s="282">
        <v>2022</v>
      </c>
    </row>
    <row r="16" spans="1:28" s="132" customFormat="1">
      <c r="A16" s="139">
        <v>1</v>
      </c>
      <c r="B16" s="181">
        <v>287</v>
      </c>
      <c r="C16" s="181">
        <v>287</v>
      </c>
      <c r="D16" s="181">
        <v>288</v>
      </c>
      <c r="E16" s="181">
        <v>296</v>
      </c>
      <c r="F16" s="181">
        <v>216</v>
      </c>
      <c r="G16" s="181">
        <v>294</v>
      </c>
      <c r="H16" s="181">
        <v>283</v>
      </c>
      <c r="I16" s="181">
        <v>287</v>
      </c>
      <c r="J16" s="181">
        <v>287</v>
      </c>
      <c r="K16" s="181">
        <v>299</v>
      </c>
      <c r="L16" s="181">
        <v>326</v>
      </c>
      <c r="M16" s="181">
        <v>355</v>
      </c>
      <c r="N16" s="181">
        <v>320</v>
      </c>
      <c r="O16" s="181">
        <v>359</v>
      </c>
      <c r="P16" s="181">
        <v>358</v>
      </c>
      <c r="Q16" s="181">
        <v>349</v>
      </c>
      <c r="R16" s="181">
        <v>224</v>
      </c>
      <c r="S16" s="181">
        <v>288</v>
      </c>
      <c r="T16" s="181">
        <v>218</v>
      </c>
      <c r="U16" s="181">
        <v>241</v>
      </c>
      <c r="V16" s="181">
        <v>284</v>
      </c>
      <c r="W16" s="181">
        <v>243</v>
      </c>
      <c r="X16" s="181">
        <v>243</v>
      </c>
      <c r="Y16" s="181">
        <v>220</v>
      </c>
      <c r="Z16" s="181">
        <v>302</v>
      </c>
      <c r="AA16" s="181">
        <v>387</v>
      </c>
      <c r="AB16" s="140">
        <v>345</v>
      </c>
    </row>
    <row r="17" spans="1:28" s="132" customFormat="1">
      <c r="A17" s="139">
        <v>2</v>
      </c>
      <c r="B17" s="181">
        <v>1229</v>
      </c>
      <c r="C17" s="181">
        <v>1229</v>
      </c>
      <c r="D17" s="181">
        <v>1396</v>
      </c>
      <c r="E17" s="181">
        <v>1365</v>
      </c>
      <c r="F17" s="181">
        <v>1094</v>
      </c>
      <c r="G17" s="181">
        <v>1645</v>
      </c>
      <c r="H17" s="181">
        <v>1595</v>
      </c>
      <c r="I17" s="181">
        <v>1584</v>
      </c>
      <c r="J17" s="181">
        <v>1498</v>
      </c>
      <c r="K17" s="181">
        <v>1484</v>
      </c>
      <c r="L17" s="181">
        <v>1309</v>
      </c>
      <c r="M17" s="181">
        <v>1526</v>
      </c>
      <c r="N17" s="181">
        <v>1249</v>
      </c>
      <c r="O17" s="181">
        <v>1346</v>
      </c>
      <c r="P17" s="181">
        <v>1318</v>
      </c>
      <c r="Q17" s="181">
        <v>1445</v>
      </c>
      <c r="R17" s="181">
        <v>1045</v>
      </c>
      <c r="S17" s="181">
        <v>1266</v>
      </c>
      <c r="T17" s="181">
        <v>990</v>
      </c>
      <c r="U17" s="181">
        <v>867</v>
      </c>
      <c r="V17" s="181">
        <v>850</v>
      </c>
      <c r="W17" s="181">
        <v>789</v>
      </c>
      <c r="X17" s="181">
        <v>819</v>
      </c>
      <c r="Y17" s="181">
        <v>804</v>
      </c>
      <c r="Z17" s="181">
        <v>813</v>
      </c>
      <c r="AA17" s="181">
        <v>985</v>
      </c>
      <c r="AB17" s="140">
        <v>750</v>
      </c>
    </row>
    <row r="18" spans="1:28" s="132" customFormat="1">
      <c r="A18" s="139">
        <v>3</v>
      </c>
      <c r="B18" s="181">
        <v>2381</v>
      </c>
      <c r="C18" s="181">
        <v>2381</v>
      </c>
      <c r="D18" s="181">
        <v>2371</v>
      </c>
      <c r="E18" s="181">
        <v>2676</v>
      </c>
      <c r="F18" s="181">
        <v>2372</v>
      </c>
      <c r="G18" s="181">
        <v>2752</v>
      </c>
      <c r="H18" s="181">
        <v>2679</v>
      </c>
      <c r="I18" s="181">
        <v>2653</v>
      </c>
      <c r="J18" s="181">
        <v>2560</v>
      </c>
      <c r="K18" s="181">
        <v>2732</v>
      </c>
      <c r="L18" s="181">
        <v>2336</v>
      </c>
      <c r="M18" s="181">
        <v>2844</v>
      </c>
      <c r="N18" s="181">
        <v>2673</v>
      </c>
      <c r="O18" s="181">
        <v>2371</v>
      </c>
      <c r="P18" s="181">
        <v>2788</v>
      </c>
      <c r="Q18" s="181">
        <v>2541</v>
      </c>
      <c r="R18" s="181">
        <v>2411</v>
      </c>
      <c r="S18" s="181">
        <v>2503</v>
      </c>
      <c r="T18" s="181">
        <v>1979</v>
      </c>
      <c r="U18" s="181">
        <v>2128</v>
      </c>
      <c r="V18" s="181">
        <v>1791</v>
      </c>
      <c r="W18" s="181">
        <v>1776</v>
      </c>
      <c r="X18" s="181">
        <v>2040</v>
      </c>
      <c r="Y18" s="181">
        <v>1908</v>
      </c>
      <c r="Z18" s="181">
        <v>1832</v>
      </c>
      <c r="AA18" s="181">
        <v>2093</v>
      </c>
      <c r="AB18" s="140">
        <v>1971</v>
      </c>
    </row>
    <row r="19" spans="1:28" s="132" customFormat="1">
      <c r="A19" s="139">
        <v>4</v>
      </c>
      <c r="B19" s="181">
        <v>3930</v>
      </c>
      <c r="C19" s="181">
        <v>3930</v>
      </c>
      <c r="D19" s="181">
        <v>4379</v>
      </c>
      <c r="E19" s="181">
        <v>4765</v>
      </c>
      <c r="F19" s="181">
        <v>3882</v>
      </c>
      <c r="G19" s="181">
        <v>3784</v>
      </c>
      <c r="H19" s="181">
        <v>4459</v>
      </c>
      <c r="I19" s="181">
        <v>4900</v>
      </c>
      <c r="J19" s="181">
        <v>5091</v>
      </c>
      <c r="K19" s="181">
        <v>4474</v>
      </c>
      <c r="L19" s="181">
        <v>5012</v>
      </c>
      <c r="M19" s="181">
        <v>4109</v>
      </c>
      <c r="N19" s="181">
        <v>4050</v>
      </c>
      <c r="O19" s="181">
        <v>3462</v>
      </c>
      <c r="P19" s="181">
        <v>4614</v>
      </c>
      <c r="Q19" s="181">
        <v>3827</v>
      </c>
      <c r="R19" s="181">
        <v>3916</v>
      </c>
      <c r="S19" s="181">
        <v>3855</v>
      </c>
      <c r="T19" s="181">
        <v>3108</v>
      </c>
      <c r="U19" s="181">
        <v>3436</v>
      </c>
      <c r="V19" s="181">
        <v>3422</v>
      </c>
      <c r="W19" s="181">
        <v>3027</v>
      </c>
      <c r="X19" s="181">
        <v>3345</v>
      </c>
      <c r="Y19" s="181">
        <v>3186</v>
      </c>
      <c r="Z19" s="181">
        <v>3106</v>
      </c>
      <c r="AA19" s="181">
        <v>3356</v>
      </c>
      <c r="AB19" s="140">
        <v>2999</v>
      </c>
    </row>
    <row r="20" spans="1:28" s="132" customFormat="1">
      <c r="A20" s="139">
        <v>5</v>
      </c>
      <c r="B20" s="181">
        <v>5825</v>
      </c>
      <c r="C20" s="181">
        <v>5825</v>
      </c>
      <c r="D20" s="181">
        <v>5841</v>
      </c>
      <c r="E20" s="181">
        <v>5591</v>
      </c>
      <c r="F20" s="181">
        <v>5980</v>
      </c>
      <c r="G20" s="181">
        <v>5475</v>
      </c>
      <c r="H20" s="181">
        <v>6054</v>
      </c>
      <c r="I20" s="181">
        <v>7247</v>
      </c>
      <c r="J20" s="181">
        <v>7721</v>
      </c>
      <c r="K20" s="181">
        <v>6606</v>
      </c>
      <c r="L20" s="181">
        <v>5504</v>
      </c>
      <c r="M20" s="181">
        <v>6059</v>
      </c>
      <c r="N20" s="181">
        <v>5913</v>
      </c>
      <c r="O20" s="181">
        <v>5854</v>
      </c>
      <c r="P20" s="181">
        <v>6509</v>
      </c>
      <c r="Q20" s="181">
        <v>6443</v>
      </c>
      <c r="R20" s="181">
        <v>5633</v>
      </c>
      <c r="S20" s="181">
        <v>5460</v>
      </c>
      <c r="T20" s="181">
        <v>4996</v>
      </c>
      <c r="U20" s="181">
        <v>4913</v>
      </c>
      <c r="V20" s="181">
        <v>5021</v>
      </c>
      <c r="W20" s="181">
        <v>4828</v>
      </c>
      <c r="X20" s="181">
        <v>4798</v>
      </c>
      <c r="Y20" s="181">
        <v>4813</v>
      </c>
      <c r="Z20" s="181">
        <v>5089</v>
      </c>
      <c r="AA20" s="181">
        <v>4718</v>
      </c>
      <c r="AB20" s="140">
        <v>4398</v>
      </c>
    </row>
    <row r="21" spans="1:28" s="132" customFormat="1">
      <c r="A21" s="141" t="s">
        <v>32</v>
      </c>
      <c r="B21" s="182">
        <v>8110</v>
      </c>
      <c r="C21" s="182">
        <v>8110</v>
      </c>
      <c r="D21" s="182">
        <v>7286</v>
      </c>
      <c r="E21" s="182">
        <v>8174</v>
      </c>
      <c r="F21" s="182">
        <v>7769</v>
      </c>
      <c r="G21" s="182">
        <v>7573</v>
      </c>
      <c r="H21" s="182">
        <v>8869</v>
      </c>
      <c r="I21" s="182">
        <v>8982</v>
      </c>
      <c r="J21" s="182">
        <v>11099</v>
      </c>
      <c r="K21" s="182">
        <v>8174</v>
      </c>
      <c r="L21" s="182">
        <v>8110</v>
      </c>
      <c r="M21" s="182">
        <v>7929</v>
      </c>
      <c r="N21" s="182">
        <v>8174</v>
      </c>
      <c r="O21" s="182">
        <v>11035</v>
      </c>
      <c r="P21" s="182">
        <v>7300</v>
      </c>
      <c r="Q21" s="182">
        <v>8110</v>
      </c>
      <c r="R21" s="182">
        <v>8627</v>
      </c>
      <c r="S21" s="182">
        <v>7748</v>
      </c>
      <c r="T21" s="182">
        <v>7762</v>
      </c>
      <c r="U21" s="182">
        <v>6891</v>
      </c>
      <c r="V21" s="182">
        <v>6636</v>
      </c>
      <c r="W21" s="182">
        <v>7044</v>
      </c>
      <c r="X21" s="182">
        <v>7022</v>
      </c>
      <c r="Y21" s="182">
        <v>7033</v>
      </c>
      <c r="Z21" s="182">
        <v>7689</v>
      </c>
      <c r="AA21" s="182">
        <v>8797</v>
      </c>
      <c r="AB21" s="142">
        <v>8005</v>
      </c>
    </row>
    <row r="22" spans="1:28">
      <c r="A22" s="150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203"/>
    </row>
    <row r="23" spans="1:28">
      <c r="A23" s="151" t="s">
        <v>35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</row>
    <row r="24" spans="1:28" s="132" customFormat="1">
      <c r="A24" s="279" t="s">
        <v>31</v>
      </c>
      <c r="B24" s="280">
        <v>1996</v>
      </c>
      <c r="C24" s="280">
        <v>1997</v>
      </c>
      <c r="D24" s="281">
        <v>1998</v>
      </c>
      <c r="E24" s="281">
        <v>1999</v>
      </c>
      <c r="F24" s="281">
        <v>2000</v>
      </c>
      <c r="G24" s="281">
        <v>2001</v>
      </c>
      <c r="H24" s="281">
        <v>2002</v>
      </c>
      <c r="I24" s="281">
        <v>2003</v>
      </c>
      <c r="J24" s="281">
        <v>2004</v>
      </c>
      <c r="K24" s="281">
        <v>2005</v>
      </c>
      <c r="L24" s="281">
        <v>2006</v>
      </c>
      <c r="M24" s="281">
        <v>2007</v>
      </c>
      <c r="N24" s="281">
        <v>2008</v>
      </c>
      <c r="O24" s="281">
        <v>2009</v>
      </c>
      <c r="P24" s="282">
        <v>2010</v>
      </c>
      <c r="Q24" s="281">
        <v>2011</v>
      </c>
      <c r="R24" s="282">
        <v>2012</v>
      </c>
      <c r="S24" s="281">
        <v>2013</v>
      </c>
      <c r="T24" s="282">
        <v>2014</v>
      </c>
      <c r="U24" s="281">
        <v>2015</v>
      </c>
      <c r="V24" s="282">
        <v>2016</v>
      </c>
      <c r="W24" s="282">
        <v>2017</v>
      </c>
      <c r="X24" s="282">
        <v>2018</v>
      </c>
      <c r="Y24" s="282">
        <v>2019</v>
      </c>
      <c r="Z24" s="282">
        <v>2020</v>
      </c>
      <c r="AA24" s="282">
        <v>2021</v>
      </c>
      <c r="AB24" s="282">
        <v>2022</v>
      </c>
    </row>
    <row r="25" spans="1:28">
      <c r="A25" s="139">
        <v>1</v>
      </c>
      <c r="B25" s="152">
        <v>0</v>
      </c>
      <c r="C25" s="152">
        <v>0</v>
      </c>
      <c r="D25" s="152">
        <v>0</v>
      </c>
      <c r="E25" s="152">
        <v>0</v>
      </c>
      <c r="F25" s="152">
        <v>0</v>
      </c>
      <c r="G25" s="152">
        <v>0</v>
      </c>
      <c r="H25" s="152">
        <v>0</v>
      </c>
      <c r="I25" s="152">
        <v>0</v>
      </c>
      <c r="J25" s="152">
        <v>0</v>
      </c>
      <c r="K25" s="152">
        <v>0</v>
      </c>
      <c r="L25" s="152">
        <v>0</v>
      </c>
      <c r="M25" s="152">
        <v>0</v>
      </c>
      <c r="N25" s="152">
        <v>0</v>
      </c>
      <c r="O25" s="152">
        <v>0</v>
      </c>
      <c r="P25" s="152">
        <v>0</v>
      </c>
      <c r="Q25" s="152">
        <v>0</v>
      </c>
      <c r="R25" s="152">
        <v>0</v>
      </c>
      <c r="S25" s="152">
        <v>0</v>
      </c>
      <c r="T25" s="152">
        <v>0</v>
      </c>
      <c r="U25" s="152">
        <v>0</v>
      </c>
      <c r="V25" s="152">
        <v>0</v>
      </c>
      <c r="W25" s="152">
        <v>0</v>
      </c>
      <c r="X25" s="152">
        <v>0</v>
      </c>
      <c r="Y25" s="152">
        <v>0</v>
      </c>
      <c r="Z25" s="152">
        <v>0</v>
      </c>
      <c r="AA25" s="152">
        <v>0</v>
      </c>
      <c r="AB25" s="152">
        <v>0</v>
      </c>
    </row>
    <row r="26" spans="1:28">
      <c r="A26" s="139">
        <v>2</v>
      </c>
      <c r="B26" s="152">
        <v>0</v>
      </c>
      <c r="C26" s="152">
        <v>0</v>
      </c>
      <c r="D26" s="152">
        <v>0</v>
      </c>
      <c r="E26" s="152">
        <v>0</v>
      </c>
      <c r="F26" s="152">
        <v>0</v>
      </c>
      <c r="G26" s="152">
        <v>0</v>
      </c>
      <c r="H26" s="152">
        <v>0</v>
      </c>
      <c r="I26" s="152">
        <v>0</v>
      </c>
      <c r="J26" s="152">
        <v>0</v>
      </c>
      <c r="K26" s="152">
        <v>0</v>
      </c>
      <c r="L26" s="152">
        <v>0</v>
      </c>
      <c r="M26" s="152">
        <v>0</v>
      </c>
      <c r="N26" s="152">
        <v>0</v>
      </c>
      <c r="O26" s="152">
        <v>0</v>
      </c>
      <c r="P26" s="152">
        <v>0</v>
      </c>
      <c r="Q26" s="152">
        <v>0</v>
      </c>
      <c r="R26" s="152">
        <v>0</v>
      </c>
      <c r="S26" s="152">
        <v>0</v>
      </c>
      <c r="T26" s="152">
        <v>0</v>
      </c>
      <c r="U26" s="152">
        <v>0</v>
      </c>
      <c r="V26" s="152">
        <v>0</v>
      </c>
      <c r="W26" s="152">
        <v>0</v>
      </c>
      <c r="X26" s="152">
        <v>0</v>
      </c>
      <c r="Y26" s="152">
        <v>0</v>
      </c>
      <c r="Z26" s="152">
        <v>0</v>
      </c>
      <c r="AA26" s="152">
        <v>0</v>
      </c>
      <c r="AB26" s="152">
        <v>0</v>
      </c>
    </row>
    <row r="27" spans="1:28">
      <c r="A27" s="139">
        <v>3</v>
      </c>
      <c r="B27" s="153">
        <v>0.44</v>
      </c>
      <c r="C27" s="153">
        <v>0.41</v>
      </c>
      <c r="D27" s="153">
        <v>0.5</v>
      </c>
      <c r="E27" s="153">
        <v>0.35</v>
      </c>
      <c r="F27" s="153">
        <v>0.24</v>
      </c>
      <c r="G27" s="153">
        <v>0.73</v>
      </c>
      <c r="H27" s="153">
        <v>0.43</v>
      </c>
      <c r="I27" s="153">
        <v>0.66</v>
      </c>
      <c r="J27" s="153">
        <v>0.41</v>
      </c>
      <c r="K27" s="153">
        <v>0.25</v>
      </c>
      <c r="L27" s="153">
        <v>0.18</v>
      </c>
      <c r="M27" s="153">
        <v>0.5</v>
      </c>
      <c r="N27" s="153">
        <v>0.16</v>
      </c>
      <c r="O27" s="153">
        <v>0.39</v>
      </c>
      <c r="P27" s="153">
        <v>0.33</v>
      </c>
      <c r="Q27" s="153">
        <v>0.31</v>
      </c>
      <c r="R27" s="153">
        <v>0.09</v>
      </c>
      <c r="S27" s="153">
        <v>0.02</v>
      </c>
      <c r="T27" s="153">
        <v>0.06</v>
      </c>
      <c r="U27" s="153">
        <v>0.04</v>
      </c>
      <c r="V27" s="153">
        <v>0.01</v>
      </c>
      <c r="W27" s="153">
        <v>0.2</v>
      </c>
      <c r="X27" s="153">
        <v>0.08</v>
      </c>
      <c r="Y27" s="153">
        <v>0.06</v>
      </c>
      <c r="Z27" s="153">
        <v>0.18</v>
      </c>
      <c r="AA27" s="153">
        <v>0.17</v>
      </c>
      <c r="AB27" s="205">
        <v>0.17</v>
      </c>
    </row>
    <row r="28" spans="1:28">
      <c r="A28" s="139">
        <v>4</v>
      </c>
      <c r="B28" s="153">
        <v>0.96</v>
      </c>
      <c r="C28" s="153">
        <v>0.9</v>
      </c>
      <c r="D28" s="153">
        <v>0.77</v>
      </c>
      <c r="E28" s="153">
        <v>0.93</v>
      </c>
      <c r="F28" s="153">
        <v>0.84</v>
      </c>
      <c r="G28" s="153">
        <v>0.92</v>
      </c>
      <c r="H28" s="153">
        <v>0.84</v>
      </c>
      <c r="I28" s="153">
        <v>0.89</v>
      </c>
      <c r="J28" s="153">
        <v>0.86</v>
      </c>
      <c r="K28" s="153">
        <v>0.94</v>
      </c>
      <c r="L28" s="153">
        <v>0.78</v>
      </c>
      <c r="M28" s="153">
        <v>0.91</v>
      </c>
      <c r="N28" s="153">
        <v>0.95</v>
      </c>
      <c r="O28" s="153">
        <v>0.86</v>
      </c>
      <c r="P28" s="153">
        <v>0.86</v>
      </c>
      <c r="Q28" s="153">
        <v>0.87</v>
      </c>
      <c r="R28" s="153">
        <v>0.61</v>
      </c>
      <c r="S28" s="153">
        <v>0.7</v>
      </c>
      <c r="T28" s="153">
        <v>0.59</v>
      </c>
      <c r="U28" s="153">
        <v>0.55000000000000004</v>
      </c>
      <c r="V28" s="153">
        <v>0.34</v>
      </c>
      <c r="W28" s="153">
        <v>0.64</v>
      </c>
      <c r="X28" s="153">
        <v>0.54</v>
      </c>
      <c r="Y28" s="153">
        <v>0.6</v>
      </c>
      <c r="Z28" s="153">
        <v>0.56999999999999995</v>
      </c>
      <c r="AA28" s="153">
        <v>0.62</v>
      </c>
      <c r="AB28" s="205">
        <v>0.73</v>
      </c>
    </row>
    <row r="29" spans="1:28">
      <c r="A29" s="139">
        <v>5</v>
      </c>
      <c r="B29" s="153">
        <v>1</v>
      </c>
      <c r="C29" s="153">
        <v>1</v>
      </c>
      <c r="D29" s="153">
        <v>1</v>
      </c>
      <c r="E29" s="153">
        <v>1</v>
      </c>
      <c r="F29" s="153">
        <v>1</v>
      </c>
      <c r="G29" s="153">
        <v>1</v>
      </c>
      <c r="H29" s="153">
        <v>1</v>
      </c>
      <c r="I29" s="153">
        <v>1</v>
      </c>
      <c r="J29" s="153">
        <v>1</v>
      </c>
      <c r="K29" s="153">
        <v>1</v>
      </c>
      <c r="L29" s="153">
        <v>1</v>
      </c>
      <c r="M29" s="153">
        <v>1</v>
      </c>
      <c r="N29" s="153">
        <v>1</v>
      </c>
      <c r="O29" s="153">
        <v>1</v>
      </c>
      <c r="P29" s="153">
        <v>1</v>
      </c>
      <c r="Q29" s="153">
        <v>1</v>
      </c>
      <c r="R29" s="153">
        <v>1</v>
      </c>
      <c r="S29" s="153">
        <v>1</v>
      </c>
      <c r="T29" s="153">
        <v>1</v>
      </c>
      <c r="U29" s="153">
        <v>1</v>
      </c>
      <c r="V29" s="153">
        <v>1</v>
      </c>
      <c r="W29" s="153">
        <v>1</v>
      </c>
      <c r="X29" s="153">
        <v>1</v>
      </c>
      <c r="Y29" s="153">
        <v>1</v>
      </c>
      <c r="Z29" s="153">
        <v>1</v>
      </c>
      <c r="AA29" s="153">
        <v>1</v>
      </c>
      <c r="AB29" s="205">
        <v>1</v>
      </c>
    </row>
    <row r="30" spans="1:28">
      <c r="A30" s="141" t="s">
        <v>32</v>
      </c>
      <c r="B30" s="154">
        <v>1</v>
      </c>
      <c r="C30" s="154">
        <v>1</v>
      </c>
      <c r="D30" s="154">
        <v>1</v>
      </c>
      <c r="E30" s="154">
        <v>1</v>
      </c>
      <c r="F30" s="154">
        <v>1</v>
      </c>
      <c r="G30" s="154">
        <v>1</v>
      </c>
      <c r="H30" s="154">
        <v>1</v>
      </c>
      <c r="I30" s="154">
        <v>1</v>
      </c>
      <c r="J30" s="154">
        <v>1</v>
      </c>
      <c r="K30" s="154">
        <v>1</v>
      </c>
      <c r="L30" s="154">
        <v>1</v>
      </c>
      <c r="M30" s="154">
        <v>1</v>
      </c>
      <c r="N30" s="154">
        <v>1</v>
      </c>
      <c r="O30" s="154">
        <v>1</v>
      </c>
      <c r="P30" s="154">
        <v>1</v>
      </c>
      <c r="Q30" s="154">
        <v>1</v>
      </c>
      <c r="R30" s="154">
        <v>1</v>
      </c>
      <c r="S30" s="154">
        <v>1</v>
      </c>
      <c r="T30" s="154">
        <v>1</v>
      </c>
      <c r="U30" s="154">
        <v>1</v>
      </c>
      <c r="V30" s="154">
        <v>1</v>
      </c>
      <c r="W30" s="154">
        <v>1</v>
      </c>
      <c r="X30" s="154">
        <v>1</v>
      </c>
      <c r="Y30" s="154">
        <v>1</v>
      </c>
      <c r="Z30" s="154">
        <v>1</v>
      </c>
      <c r="AA30" s="154">
        <v>1</v>
      </c>
      <c r="AB30" s="206">
        <v>1</v>
      </c>
    </row>
    <row r="31" spans="1:28">
      <c r="A31" s="155"/>
      <c r="B31" s="156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</row>
    <row r="32" spans="1:28">
      <c r="A32" s="158" t="s">
        <v>36</v>
      </c>
      <c r="B32" s="158"/>
      <c r="C32" s="158"/>
      <c r="D32" s="158"/>
      <c r="E32" s="158"/>
      <c r="F32" s="158"/>
      <c r="G32" s="158"/>
      <c r="H32" s="158"/>
      <c r="I32" s="159"/>
      <c r="J32" s="158"/>
      <c r="K32" s="158"/>
      <c r="L32" s="158"/>
      <c r="M32" s="160"/>
      <c r="N32" s="158"/>
      <c r="O32" s="158"/>
      <c r="P32" s="161"/>
      <c r="Q32" s="158"/>
      <c r="R32" s="158"/>
      <c r="S32" s="158"/>
      <c r="T32" s="158"/>
      <c r="U32" s="158"/>
      <c r="V32" s="158"/>
      <c r="W32" s="158"/>
      <c r="X32" s="158"/>
      <c r="Y32" s="158"/>
      <c r="Z32" s="162"/>
      <c r="AA32" s="162"/>
    </row>
    <row r="33" spans="1:31" s="132" customFormat="1">
      <c r="A33" s="279" t="s">
        <v>31</v>
      </c>
      <c r="B33" s="280">
        <v>1996</v>
      </c>
      <c r="C33" s="280">
        <v>1997</v>
      </c>
      <c r="D33" s="281">
        <v>1998</v>
      </c>
      <c r="E33" s="281">
        <v>1999</v>
      </c>
      <c r="F33" s="281">
        <v>2000</v>
      </c>
      <c r="G33" s="281">
        <v>2001</v>
      </c>
      <c r="H33" s="281">
        <v>2002</v>
      </c>
      <c r="I33" s="281">
        <v>2003</v>
      </c>
      <c r="J33" s="281">
        <v>2004</v>
      </c>
      <c r="K33" s="281">
        <v>2005</v>
      </c>
      <c r="L33" s="281">
        <v>2006</v>
      </c>
      <c r="M33" s="281">
        <v>2007</v>
      </c>
      <c r="N33" s="281">
        <v>2008</v>
      </c>
      <c r="O33" s="281">
        <v>2009</v>
      </c>
      <c r="P33" s="282">
        <v>2010</v>
      </c>
      <c r="Q33" s="281">
        <v>2011</v>
      </c>
      <c r="R33" s="282">
        <v>2012</v>
      </c>
      <c r="S33" s="281">
        <v>2013</v>
      </c>
      <c r="T33" s="282">
        <v>2014</v>
      </c>
      <c r="U33" s="281">
        <v>2015</v>
      </c>
      <c r="V33" s="282">
        <v>2016</v>
      </c>
      <c r="W33" s="282">
        <v>2017</v>
      </c>
      <c r="X33" s="282">
        <v>2018</v>
      </c>
      <c r="Y33" s="282">
        <v>2019</v>
      </c>
      <c r="Z33" s="282">
        <v>2020</v>
      </c>
      <c r="AA33" s="282">
        <v>2021</v>
      </c>
      <c r="AB33" s="282">
        <v>2022</v>
      </c>
    </row>
    <row r="34" spans="1:31">
      <c r="A34" s="139">
        <v>1</v>
      </c>
      <c r="B34" s="163">
        <v>0.21</v>
      </c>
      <c r="C34" s="163">
        <v>0.33</v>
      </c>
      <c r="D34" s="164">
        <v>0.87</v>
      </c>
      <c r="E34" s="164">
        <v>0.71</v>
      </c>
      <c r="F34" s="164">
        <v>1.03</v>
      </c>
      <c r="G34" s="164">
        <v>1.01</v>
      </c>
      <c r="H34" s="164">
        <v>0.57999999999999996</v>
      </c>
      <c r="I34" s="164">
        <v>0.91</v>
      </c>
      <c r="J34" s="164">
        <v>1.33</v>
      </c>
      <c r="K34" s="164">
        <v>0.9</v>
      </c>
      <c r="L34" s="164">
        <v>0.54</v>
      </c>
      <c r="M34" s="163">
        <v>0.73</v>
      </c>
      <c r="N34" s="163">
        <v>0.33</v>
      </c>
      <c r="O34" s="163">
        <v>0.43</v>
      </c>
      <c r="P34" s="163">
        <v>0.35</v>
      </c>
      <c r="Q34" s="163">
        <v>0.2</v>
      </c>
      <c r="R34" s="163">
        <v>0.11</v>
      </c>
      <c r="S34" s="163">
        <v>0.61</v>
      </c>
      <c r="T34" s="163">
        <v>0.42</v>
      </c>
      <c r="U34" s="163">
        <v>0.21</v>
      </c>
      <c r="V34" s="163">
        <v>0.1</v>
      </c>
      <c r="W34" s="163">
        <v>0.39</v>
      </c>
      <c r="X34" s="163">
        <v>0.22</v>
      </c>
      <c r="Y34" s="163">
        <v>0.2</v>
      </c>
      <c r="Z34" s="163">
        <v>0.69</v>
      </c>
      <c r="AA34" s="163">
        <v>0.67</v>
      </c>
      <c r="AB34" s="63">
        <v>0.51</v>
      </c>
    </row>
    <row r="35" spans="1:31">
      <c r="A35" s="139">
        <v>2</v>
      </c>
      <c r="B35" s="163">
        <v>0.78</v>
      </c>
      <c r="C35" s="163">
        <v>0.73</v>
      </c>
      <c r="D35" s="164">
        <v>1.01</v>
      </c>
      <c r="E35" s="164">
        <v>1.03</v>
      </c>
      <c r="F35" s="164">
        <v>0.97</v>
      </c>
      <c r="G35" s="164">
        <v>0.75</v>
      </c>
      <c r="H35" s="164">
        <v>0.52</v>
      </c>
      <c r="I35" s="164">
        <v>0.6</v>
      </c>
      <c r="J35" s="164">
        <v>0.71</v>
      </c>
      <c r="K35" s="164">
        <v>0.66</v>
      </c>
      <c r="L35" s="164">
        <v>0.65</v>
      </c>
      <c r="M35" s="163">
        <v>0.75</v>
      </c>
      <c r="N35" s="163">
        <v>1.02</v>
      </c>
      <c r="O35" s="163">
        <v>0.53</v>
      </c>
      <c r="P35" s="163">
        <v>0.86</v>
      </c>
      <c r="Q35" s="163">
        <v>0.3</v>
      </c>
      <c r="R35" s="163">
        <v>0.57999999999999996</v>
      </c>
      <c r="S35" s="163">
        <v>0.78</v>
      </c>
      <c r="T35" s="163">
        <v>0.83</v>
      </c>
      <c r="U35" s="163">
        <v>1.17</v>
      </c>
      <c r="V35" s="163">
        <v>0.66</v>
      </c>
      <c r="W35" s="163">
        <v>0.6</v>
      </c>
      <c r="X35" s="163">
        <v>0.93</v>
      </c>
      <c r="Y35" s="163">
        <v>0.56000000000000005</v>
      </c>
      <c r="Z35" s="163">
        <v>0.28999999999999998</v>
      </c>
      <c r="AA35" s="163">
        <v>0.52</v>
      </c>
      <c r="AB35" s="63">
        <v>0.45</v>
      </c>
    </row>
    <row r="36" spans="1:31">
      <c r="A36" s="139">
        <v>3</v>
      </c>
      <c r="B36" s="163">
        <v>0.28000000000000003</v>
      </c>
      <c r="C36" s="163">
        <v>0.78</v>
      </c>
      <c r="D36" s="164">
        <v>0.81</v>
      </c>
      <c r="E36" s="164">
        <v>0.67</v>
      </c>
      <c r="F36" s="164">
        <v>0.9</v>
      </c>
      <c r="G36" s="164">
        <v>0.44</v>
      </c>
      <c r="H36" s="164">
        <v>0.21</v>
      </c>
      <c r="I36" s="164">
        <v>0.5</v>
      </c>
      <c r="J36" s="164">
        <v>0.74</v>
      </c>
      <c r="K36" s="164">
        <v>0.7</v>
      </c>
      <c r="L36" s="164">
        <v>0.88</v>
      </c>
      <c r="M36" s="163">
        <v>0.4</v>
      </c>
      <c r="N36" s="163">
        <v>0.44</v>
      </c>
      <c r="O36" s="163">
        <v>0.56999999999999995</v>
      </c>
      <c r="P36" s="163">
        <v>0.67</v>
      </c>
      <c r="Q36" s="163">
        <v>0.46</v>
      </c>
      <c r="R36" s="163">
        <v>0.32</v>
      </c>
      <c r="S36" s="163">
        <v>0.28999999999999998</v>
      </c>
      <c r="T36" s="163">
        <v>0.54</v>
      </c>
      <c r="U36" s="163">
        <v>0.75</v>
      </c>
      <c r="V36" s="163">
        <v>0.65</v>
      </c>
      <c r="W36" s="163">
        <v>0.52</v>
      </c>
      <c r="X36" s="163">
        <v>0.83</v>
      </c>
      <c r="Y36" s="163">
        <v>0.47</v>
      </c>
      <c r="Z36" s="163">
        <v>0.42</v>
      </c>
      <c r="AA36" s="163">
        <v>0.33</v>
      </c>
      <c r="AB36" s="63">
        <v>0.4</v>
      </c>
    </row>
    <row r="37" spans="1:31">
      <c r="A37" s="139">
        <v>4</v>
      </c>
      <c r="B37" s="163">
        <v>0.45</v>
      </c>
      <c r="C37" s="163">
        <v>1.45</v>
      </c>
      <c r="D37" s="164">
        <v>0.33</v>
      </c>
      <c r="E37" s="164">
        <v>0.64</v>
      </c>
      <c r="F37" s="164">
        <v>0.7</v>
      </c>
      <c r="G37" s="164">
        <v>0.76</v>
      </c>
      <c r="H37" s="164">
        <v>0.32</v>
      </c>
      <c r="I37" s="164">
        <v>0.43</v>
      </c>
      <c r="J37" s="164">
        <v>1.32</v>
      </c>
      <c r="K37" s="164">
        <v>0.73</v>
      </c>
      <c r="L37" s="164">
        <v>0.89</v>
      </c>
      <c r="M37" s="163">
        <v>0.39</v>
      </c>
      <c r="N37" s="163">
        <v>0.49</v>
      </c>
      <c r="O37" s="163">
        <v>0.94</v>
      </c>
      <c r="P37" s="163">
        <v>0.6</v>
      </c>
      <c r="Q37" s="163">
        <v>0.57999999999999996</v>
      </c>
      <c r="R37" s="163">
        <v>0.54</v>
      </c>
      <c r="S37" s="163">
        <v>0.64</v>
      </c>
      <c r="T37" s="163">
        <v>1.17</v>
      </c>
      <c r="U37" s="163">
        <v>1.43</v>
      </c>
      <c r="V37" s="163">
        <v>1.0900000000000001</v>
      </c>
      <c r="W37" s="163">
        <v>0.72</v>
      </c>
      <c r="X37" s="163">
        <v>1.08</v>
      </c>
      <c r="Y37" s="163">
        <v>0.62</v>
      </c>
      <c r="Z37" s="163">
        <v>0.73</v>
      </c>
      <c r="AA37" s="163">
        <v>0.39</v>
      </c>
      <c r="AB37" s="63">
        <v>0.56999999999999995</v>
      </c>
    </row>
    <row r="38" spans="1:31">
      <c r="A38" s="139">
        <v>5</v>
      </c>
      <c r="B38" s="163">
        <v>1.04</v>
      </c>
      <c r="C38" s="163">
        <v>1.24</v>
      </c>
      <c r="D38" s="164">
        <v>0.52</v>
      </c>
      <c r="E38" s="164">
        <v>0.56000000000000005</v>
      </c>
      <c r="F38" s="164">
        <v>0.39</v>
      </c>
      <c r="G38" s="164">
        <v>1.45</v>
      </c>
      <c r="H38" s="164">
        <v>1.62</v>
      </c>
      <c r="I38" s="164">
        <v>1.1599999999999999</v>
      </c>
      <c r="J38" s="164">
        <v>2.2200000000000002</v>
      </c>
      <c r="K38" s="164">
        <v>0.65</v>
      </c>
      <c r="L38" s="164">
        <v>1.28</v>
      </c>
      <c r="M38" s="163">
        <v>0.76</v>
      </c>
      <c r="N38" s="163">
        <v>0.84</v>
      </c>
      <c r="O38" s="163">
        <v>1.5</v>
      </c>
      <c r="P38" s="163">
        <v>1.7</v>
      </c>
      <c r="Q38" s="163">
        <v>0.74</v>
      </c>
      <c r="R38" s="163">
        <v>0.96</v>
      </c>
      <c r="S38" s="163">
        <v>0.86</v>
      </c>
      <c r="T38" s="163">
        <v>1.56</v>
      </c>
      <c r="U38" s="163">
        <v>1.74</v>
      </c>
      <c r="V38" s="163">
        <v>1.91</v>
      </c>
      <c r="W38" s="163">
        <v>1.01</v>
      </c>
      <c r="X38" s="163">
        <v>1.45</v>
      </c>
      <c r="Y38" s="163">
        <v>1.44</v>
      </c>
      <c r="Z38" s="163">
        <v>0.59</v>
      </c>
      <c r="AA38" s="163">
        <v>0.76</v>
      </c>
      <c r="AB38" s="63">
        <v>0.91</v>
      </c>
    </row>
    <row r="39" spans="1:31">
      <c r="A39" s="141" t="s">
        <v>32</v>
      </c>
      <c r="B39" s="164">
        <v>1.04</v>
      </c>
      <c r="C39" s="164">
        <v>1.24</v>
      </c>
      <c r="D39" s="164">
        <v>0.52</v>
      </c>
      <c r="E39" s="164">
        <v>0.56000000000000005</v>
      </c>
      <c r="F39" s="164">
        <v>0.39</v>
      </c>
      <c r="G39" s="164">
        <v>1.45</v>
      </c>
      <c r="H39" s="164">
        <v>1.62</v>
      </c>
      <c r="I39" s="164">
        <v>1.1599999999999999</v>
      </c>
      <c r="J39" s="164">
        <v>2.2200000000000002</v>
      </c>
      <c r="K39" s="164">
        <v>0.65</v>
      </c>
      <c r="L39" s="164">
        <v>1.28</v>
      </c>
      <c r="M39" s="163">
        <v>0.76</v>
      </c>
      <c r="N39" s="163">
        <v>0.84</v>
      </c>
      <c r="O39" s="163">
        <v>1.5</v>
      </c>
      <c r="P39" s="163">
        <v>1.7</v>
      </c>
      <c r="Q39" s="163">
        <v>0.74</v>
      </c>
      <c r="R39" s="163">
        <v>0.96</v>
      </c>
      <c r="S39" s="163">
        <v>0.86</v>
      </c>
      <c r="T39" s="163">
        <v>1.56</v>
      </c>
      <c r="U39" s="163">
        <v>1.74</v>
      </c>
      <c r="V39" s="163">
        <v>1.91</v>
      </c>
      <c r="W39" s="163">
        <v>1.01</v>
      </c>
      <c r="X39" s="163">
        <v>1.45</v>
      </c>
      <c r="Y39" s="163">
        <v>1.44</v>
      </c>
      <c r="Z39" s="163">
        <v>0.59</v>
      </c>
      <c r="AA39" s="163">
        <v>0.76</v>
      </c>
      <c r="AB39" s="207">
        <v>0.91</v>
      </c>
    </row>
    <row r="40" spans="1:31">
      <c r="A40" s="279" t="s">
        <v>37</v>
      </c>
      <c r="B40" s="283">
        <v>0.63</v>
      </c>
      <c r="C40" s="283">
        <v>0.96</v>
      </c>
      <c r="D40" s="283">
        <v>0.68</v>
      </c>
      <c r="E40" s="283">
        <v>0.69</v>
      </c>
      <c r="F40" s="283">
        <v>0.73</v>
      </c>
      <c r="G40" s="283">
        <v>0.98</v>
      </c>
      <c r="H40" s="283">
        <v>0.81</v>
      </c>
      <c r="I40" s="283">
        <v>0.79</v>
      </c>
      <c r="J40" s="283">
        <v>1.42</v>
      </c>
      <c r="K40" s="283">
        <v>0.71</v>
      </c>
      <c r="L40" s="283">
        <v>0.92</v>
      </c>
      <c r="M40" s="283">
        <v>0.63</v>
      </c>
      <c r="N40" s="283">
        <v>0.66</v>
      </c>
      <c r="O40" s="283">
        <v>0.91</v>
      </c>
      <c r="P40" s="283">
        <v>0.98</v>
      </c>
      <c r="Q40" s="283">
        <v>0.5</v>
      </c>
      <c r="R40" s="283">
        <v>0.57999999999999996</v>
      </c>
      <c r="S40" s="283">
        <v>0.68</v>
      </c>
      <c r="T40" s="283">
        <v>1.01</v>
      </c>
      <c r="U40" s="283">
        <v>1.17</v>
      </c>
      <c r="V40" s="283">
        <v>1.05</v>
      </c>
      <c r="W40" s="283">
        <v>0.71</v>
      </c>
      <c r="X40" s="283">
        <v>0.99</v>
      </c>
      <c r="Y40" s="283">
        <v>0.79</v>
      </c>
      <c r="Z40" s="283">
        <v>0.55000000000000004</v>
      </c>
      <c r="AA40" s="283">
        <v>0.56999999999999995</v>
      </c>
      <c r="AB40" s="248">
        <v>0.62</v>
      </c>
    </row>
    <row r="41" spans="1:31">
      <c r="A41" s="165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</row>
    <row r="42" spans="1:31">
      <c r="A42" s="149" t="s">
        <v>38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</row>
    <row r="43" spans="1:31" s="132" customFormat="1">
      <c r="A43" s="279" t="s">
        <v>31</v>
      </c>
      <c r="B43" s="280">
        <v>1996</v>
      </c>
      <c r="C43" s="280">
        <v>1997</v>
      </c>
      <c r="D43" s="281">
        <v>1998</v>
      </c>
      <c r="E43" s="281">
        <v>1999</v>
      </c>
      <c r="F43" s="281">
        <v>2000</v>
      </c>
      <c r="G43" s="281">
        <v>2001</v>
      </c>
      <c r="H43" s="281">
        <v>2002</v>
      </c>
      <c r="I43" s="281">
        <v>2003</v>
      </c>
      <c r="J43" s="281">
        <v>2004</v>
      </c>
      <c r="K43" s="281">
        <v>2005</v>
      </c>
      <c r="L43" s="281">
        <v>2006</v>
      </c>
      <c r="M43" s="281">
        <v>2007</v>
      </c>
      <c r="N43" s="281">
        <v>2008</v>
      </c>
      <c r="O43" s="281">
        <v>2009</v>
      </c>
      <c r="P43" s="282">
        <v>2010</v>
      </c>
      <c r="Q43" s="281">
        <v>2011</v>
      </c>
      <c r="R43" s="282">
        <v>2012</v>
      </c>
      <c r="S43" s="281">
        <v>2013</v>
      </c>
      <c r="T43" s="282">
        <v>2014</v>
      </c>
      <c r="U43" s="281">
        <v>2015</v>
      </c>
      <c r="V43" s="282">
        <v>2016</v>
      </c>
      <c r="W43" s="282">
        <v>2017</v>
      </c>
      <c r="X43" s="282">
        <v>2018</v>
      </c>
      <c r="Y43" s="282">
        <v>2019</v>
      </c>
      <c r="Z43" s="282">
        <v>2020</v>
      </c>
      <c r="AA43" s="282">
        <v>2021</v>
      </c>
      <c r="AB43" s="282">
        <v>2022</v>
      </c>
    </row>
    <row r="44" spans="1:31">
      <c r="A44" s="139">
        <v>1</v>
      </c>
      <c r="B44" s="209">
        <v>301</v>
      </c>
      <c r="C44" s="209">
        <v>4451</v>
      </c>
      <c r="D44" s="209">
        <v>5895</v>
      </c>
      <c r="E44" s="209">
        <v>11509</v>
      </c>
      <c r="F44" s="209">
        <v>1212</v>
      </c>
      <c r="G44" s="209">
        <v>1272</v>
      </c>
      <c r="H44" s="209">
        <v>1262</v>
      </c>
      <c r="I44" s="209">
        <v>5530</v>
      </c>
      <c r="J44" s="209">
        <v>1591</v>
      </c>
      <c r="K44" s="209">
        <v>8434</v>
      </c>
      <c r="L44" s="209">
        <v>6285</v>
      </c>
      <c r="M44" s="209">
        <v>5661</v>
      </c>
      <c r="N44" s="209">
        <v>448</v>
      </c>
      <c r="O44" s="209">
        <v>4882</v>
      </c>
      <c r="P44" s="209">
        <v>6362</v>
      </c>
      <c r="Q44" s="209">
        <v>22846</v>
      </c>
      <c r="R44" s="209">
        <v>15017</v>
      </c>
      <c r="S44" s="209">
        <v>4046</v>
      </c>
      <c r="T44" s="209">
        <v>4303</v>
      </c>
      <c r="U44" s="209">
        <v>9692</v>
      </c>
      <c r="V44" s="209">
        <v>4513</v>
      </c>
      <c r="W44" s="209">
        <v>5794</v>
      </c>
      <c r="X44" s="209">
        <v>5836</v>
      </c>
      <c r="Y44" s="209">
        <v>2441</v>
      </c>
      <c r="Z44" s="209">
        <v>1744</v>
      </c>
      <c r="AA44" s="209">
        <v>149</v>
      </c>
      <c r="AB44" s="203">
        <v>1495</v>
      </c>
    </row>
    <row r="45" spans="1:31">
      <c r="A45" s="139">
        <v>2</v>
      </c>
      <c r="B45" s="209">
        <v>4141</v>
      </c>
      <c r="C45" s="209">
        <v>692</v>
      </c>
      <c r="D45" s="209">
        <v>8191</v>
      </c>
      <c r="E45" s="209">
        <v>4663</v>
      </c>
      <c r="F45" s="209">
        <v>11485</v>
      </c>
      <c r="G45" s="209">
        <v>539</v>
      </c>
      <c r="H45" s="209">
        <v>3146</v>
      </c>
      <c r="I45" s="209">
        <v>1914</v>
      </c>
      <c r="J45" s="209">
        <v>7763</v>
      </c>
      <c r="K45" s="209">
        <v>3033</v>
      </c>
      <c r="L45" s="209">
        <v>6462</v>
      </c>
      <c r="M45" s="209">
        <v>3098</v>
      </c>
      <c r="N45" s="209">
        <v>22259</v>
      </c>
      <c r="O45" s="209">
        <v>1446</v>
      </c>
      <c r="P45" s="209">
        <v>14211</v>
      </c>
      <c r="Q45" s="209">
        <v>11287</v>
      </c>
      <c r="R45" s="209">
        <v>64404</v>
      </c>
      <c r="S45" s="209">
        <v>23311</v>
      </c>
      <c r="T45" s="209">
        <v>14498</v>
      </c>
      <c r="U45" s="209">
        <v>14432</v>
      </c>
      <c r="V45" s="209">
        <v>10462</v>
      </c>
      <c r="W45" s="209">
        <v>6559</v>
      </c>
      <c r="X45" s="209">
        <v>5275</v>
      </c>
      <c r="Y45" s="209">
        <v>5248</v>
      </c>
      <c r="Z45" s="209">
        <v>11682</v>
      </c>
      <c r="AA45" s="209">
        <v>3636</v>
      </c>
      <c r="AB45" s="203">
        <v>81</v>
      </c>
      <c r="AE45" s="303"/>
    </row>
    <row r="46" spans="1:31">
      <c r="A46" s="139">
        <v>3</v>
      </c>
      <c r="B46" s="209">
        <v>869</v>
      </c>
      <c r="C46" s="209">
        <v>1843</v>
      </c>
      <c r="D46" s="209">
        <v>330</v>
      </c>
      <c r="E46" s="209">
        <v>4096</v>
      </c>
      <c r="F46" s="209">
        <v>588</v>
      </c>
      <c r="G46" s="209">
        <v>3190</v>
      </c>
      <c r="H46" s="209">
        <v>795</v>
      </c>
      <c r="I46" s="209">
        <v>3220</v>
      </c>
      <c r="J46" s="209">
        <v>2828</v>
      </c>
      <c r="K46" s="209">
        <v>4415</v>
      </c>
      <c r="L46" s="209">
        <v>3292</v>
      </c>
      <c r="M46" s="209">
        <v>1233</v>
      </c>
      <c r="N46" s="209">
        <v>1507</v>
      </c>
      <c r="O46" s="209">
        <v>5573</v>
      </c>
      <c r="P46" s="209">
        <v>655</v>
      </c>
      <c r="Q46" s="209">
        <v>9018</v>
      </c>
      <c r="R46" s="209">
        <v>6054</v>
      </c>
      <c r="S46" s="209">
        <v>38816</v>
      </c>
      <c r="T46" s="209">
        <v>21478</v>
      </c>
      <c r="U46" s="209">
        <v>10967</v>
      </c>
      <c r="V46" s="209">
        <v>10341</v>
      </c>
      <c r="W46" s="209">
        <v>6300</v>
      </c>
      <c r="X46" s="209">
        <v>3707</v>
      </c>
      <c r="Y46" s="209">
        <v>2410</v>
      </c>
      <c r="Z46" s="209">
        <v>4837</v>
      </c>
      <c r="AA46" s="209">
        <v>5455</v>
      </c>
      <c r="AB46" s="203">
        <v>711</v>
      </c>
    </row>
    <row r="47" spans="1:31">
      <c r="A47" s="139">
        <v>4</v>
      </c>
      <c r="B47" s="209">
        <v>1371</v>
      </c>
      <c r="C47" s="209">
        <v>662</v>
      </c>
      <c r="D47" s="209"/>
      <c r="E47" s="209">
        <v>374</v>
      </c>
      <c r="F47" s="209">
        <v>367</v>
      </c>
      <c r="G47" s="209">
        <v>326</v>
      </c>
      <c r="H47" s="209">
        <v>615</v>
      </c>
      <c r="I47" s="209">
        <v>362</v>
      </c>
      <c r="J47" s="209">
        <v>300</v>
      </c>
      <c r="K47" s="209">
        <v>693</v>
      </c>
      <c r="L47" s="209">
        <v>812</v>
      </c>
      <c r="M47" s="209">
        <v>439</v>
      </c>
      <c r="N47" s="209">
        <v>592</v>
      </c>
      <c r="O47" s="209">
        <v>762</v>
      </c>
      <c r="P47" s="209">
        <v>1071</v>
      </c>
      <c r="Q47" s="209">
        <v>1127</v>
      </c>
      <c r="R47" s="209">
        <v>3748</v>
      </c>
      <c r="S47" s="209">
        <v>4445</v>
      </c>
      <c r="T47" s="209">
        <v>16033</v>
      </c>
      <c r="U47" s="209">
        <v>13142</v>
      </c>
      <c r="V47" s="209">
        <v>5576</v>
      </c>
      <c r="W47" s="209">
        <v>4082</v>
      </c>
      <c r="X47" s="209">
        <v>2917</v>
      </c>
      <c r="Y47" s="209">
        <v>837</v>
      </c>
      <c r="Z47" s="209">
        <v>23</v>
      </c>
      <c r="AA47" s="209">
        <v>1445</v>
      </c>
      <c r="AB47" s="203">
        <v>1948</v>
      </c>
    </row>
    <row r="48" spans="1:31">
      <c r="A48" s="139">
        <v>5</v>
      </c>
      <c r="B48" s="209">
        <v>635</v>
      </c>
      <c r="C48" s="209">
        <v>978</v>
      </c>
      <c r="D48" s="209"/>
      <c r="E48" s="209"/>
      <c r="F48" s="209"/>
      <c r="G48" s="209"/>
      <c r="H48" s="209"/>
      <c r="I48" s="209">
        <v>81</v>
      </c>
      <c r="J48" s="209">
        <v>177</v>
      </c>
      <c r="K48" s="209"/>
      <c r="L48" s="209">
        <v>1307</v>
      </c>
      <c r="M48" s="209">
        <v>219</v>
      </c>
      <c r="N48" s="209">
        <v>110</v>
      </c>
      <c r="O48" s="209">
        <v>240</v>
      </c>
      <c r="P48" s="209">
        <v>203</v>
      </c>
      <c r="Q48" s="209">
        <v>217</v>
      </c>
      <c r="R48" s="209">
        <v>601</v>
      </c>
      <c r="S48" s="209">
        <v>1907</v>
      </c>
      <c r="T48" s="209">
        <v>3332</v>
      </c>
      <c r="U48" s="209">
        <v>5251</v>
      </c>
      <c r="V48" s="209">
        <v>4115</v>
      </c>
      <c r="W48" s="209">
        <v>780</v>
      </c>
      <c r="X48" s="209">
        <v>1001</v>
      </c>
      <c r="Y48" s="209">
        <v>107</v>
      </c>
      <c r="Z48" s="209"/>
      <c r="AA48" s="209">
        <v>417</v>
      </c>
      <c r="AB48" s="203">
        <v>1309</v>
      </c>
    </row>
    <row r="49" spans="1:28">
      <c r="A49" s="141" t="s">
        <v>32</v>
      </c>
      <c r="B49" s="210"/>
      <c r="C49" s="210">
        <v>467</v>
      </c>
      <c r="D49" s="210"/>
      <c r="E49" s="210"/>
      <c r="F49" s="210"/>
      <c r="G49" s="210">
        <v>250</v>
      </c>
      <c r="H49" s="210"/>
      <c r="I49" s="210">
        <v>188</v>
      </c>
      <c r="J49" s="210">
        <v>225</v>
      </c>
      <c r="K49" s="210"/>
      <c r="L49" s="210">
        <v>263</v>
      </c>
      <c r="M49" s="210"/>
      <c r="N49" s="210"/>
      <c r="O49" s="210"/>
      <c r="P49" s="210">
        <v>262</v>
      </c>
      <c r="Q49" s="210"/>
      <c r="R49" s="210">
        <v>443</v>
      </c>
      <c r="S49" s="210">
        <v>854</v>
      </c>
      <c r="T49" s="210">
        <v>722</v>
      </c>
      <c r="U49" s="210">
        <v>1304</v>
      </c>
      <c r="V49" s="210">
        <v>3235</v>
      </c>
      <c r="W49" s="210">
        <v>549</v>
      </c>
      <c r="X49" s="210">
        <v>761</v>
      </c>
      <c r="Y49" s="210">
        <v>178</v>
      </c>
      <c r="Z49" s="210"/>
      <c r="AA49" s="210">
        <v>426</v>
      </c>
      <c r="AB49" s="208">
        <v>422</v>
      </c>
    </row>
    <row r="50" spans="1:28">
      <c r="A50" s="166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</row>
    <row r="51" spans="1:28">
      <c r="A51" s="167" t="s">
        <v>39</v>
      </c>
      <c r="B51" s="158"/>
      <c r="C51" s="158"/>
      <c r="D51" s="158"/>
      <c r="E51" s="158"/>
      <c r="F51" s="158"/>
      <c r="G51" s="158"/>
      <c r="H51" s="158"/>
      <c r="I51" s="159"/>
      <c r="J51" s="158"/>
      <c r="K51" s="158"/>
      <c r="L51" s="158"/>
      <c r="M51" s="158"/>
      <c r="N51" s="158"/>
      <c r="O51" s="158"/>
      <c r="P51" s="161"/>
      <c r="Q51" s="158"/>
      <c r="R51" s="158"/>
      <c r="S51" s="158"/>
      <c r="T51" s="158"/>
      <c r="U51" s="158"/>
      <c r="V51" s="158"/>
      <c r="W51" s="158"/>
      <c r="X51" s="158"/>
      <c r="Y51" s="158"/>
      <c r="Z51" s="162"/>
      <c r="AA51" s="162"/>
    </row>
    <row r="52" spans="1:28" s="132" customFormat="1">
      <c r="A52" s="279" t="s">
        <v>31</v>
      </c>
      <c r="B52" s="280">
        <v>1996</v>
      </c>
      <c r="C52" s="280">
        <v>1997</v>
      </c>
      <c r="D52" s="281">
        <v>1998</v>
      </c>
      <c r="E52" s="281">
        <v>1999</v>
      </c>
      <c r="F52" s="281">
        <v>2000</v>
      </c>
      <c r="G52" s="281">
        <v>2001</v>
      </c>
      <c r="H52" s="281">
        <v>2002</v>
      </c>
      <c r="I52" s="281">
        <v>2003</v>
      </c>
      <c r="J52" s="281">
        <v>2004</v>
      </c>
      <c r="K52" s="281">
        <v>2005</v>
      </c>
      <c r="L52" s="281">
        <v>2006</v>
      </c>
      <c r="M52" s="281">
        <v>2007</v>
      </c>
      <c r="N52" s="281">
        <v>2008</v>
      </c>
      <c r="O52" s="281">
        <v>2009</v>
      </c>
      <c r="P52" s="282">
        <v>2010</v>
      </c>
      <c r="Q52" s="281">
        <v>2011</v>
      </c>
      <c r="R52" s="282">
        <v>2012</v>
      </c>
      <c r="S52" s="281">
        <v>2013</v>
      </c>
      <c r="T52" s="282">
        <v>2014</v>
      </c>
      <c r="U52" s="281">
        <v>2015</v>
      </c>
      <c r="V52" s="282">
        <v>2016</v>
      </c>
      <c r="W52" s="282">
        <v>2017</v>
      </c>
      <c r="X52" s="282">
        <v>2018</v>
      </c>
      <c r="Y52" s="282">
        <v>2019</v>
      </c>
      <c r="Z52" s="282">
        <v>2020</v>
      </c>
      <c r="AA52" s="282">
        <v>2021</v>
      </c>
      <c r="AB52" s="282">
        <v>2022</v>
      </c>
    </row>
    <row r="53" spans="1:28">
      <c r="A53" s="139">
        <v>1</v>
      </c>
      <c r="B53" s="170">
        <v>10952</v>
      </c>
      <c r="C53" s="170">
        <v>37970</v>
      </c>
      <c r="D53" s="170">
        <v>42010</v>
      </c>
      <c r="E53" s="170">
        <v>26787</v>
      </c>
      <c r="F53" s="170">
        <v>17692</v>
      </c>
      <c r="G53" s="170">
        <v>16725</v>
      </c>
      <c r="H53" s="170">
        <v>16101</v>
      </c>
      <c r="I53" s="170">
        <v>37797</v>
      </c>
      <c r="J53" s="170">
        <v>63456</v>
      </c>
      <c r="K53" s="170">
        <v>47382</v>
      </c>
      <c r="L53" s="170">
        <v>36209</v>
      </c>
      <c r="M53" s="170">
        <v>46410</v>
      </c>
      <c r="N53" s="170">
        <v>21381</v>
      </c>
      <c r="O53" s="170">
        <v>42394</v>
      </c>
      <c r="P53" s="170">
        <v>28960</v>
      </c>
      <c r="Q53" s="170">
        <v>42765</v>
      </c>
      <c r="R53" s="170">
        <v>33967</v>
      </c>
      <c r="S53" s="170">
        <v>31333</v>
      </c>
      <c r="T53" s="170">
        <v>30583</v>
      </c>
      <c r="U53" s="170">
        <v>14063</v>
      </c>
      <c r="V53" s="170">
        <v>11517</v>
      </c>
      <c r="W53" s="170">
        <v>16752</v>
      </c>
      <c r="X53" s="170">
        <v>15569</v>
      </c>
      <c r="Y53" s="170">
        <v>13605</v>
      </c>
      <c r="Z53" s="170">
        <v>14092</v>
      </c>
      <c r="AA53" s="170">
        <v>4938</v>
      </c>
      <c r="AB53" s="170">
        <v>3093</v>
      </c>
    </row>
    <row r="54" spans="1:28">
      <c r="A54" s="139">
        <v>2</v>
      </c>
      <c r="B54" s="170">
        <v>6082</v>
      </c>
      <c r="C54" s="170">
        <v>6205</v>
      </c>
      <c r="D54" s="170">
        <v>19094</v>
      </c>
      <c r="E54" s="170">
        <v>12351</v>
      </c>
      <c r="F54" s="170">
        <v>9211</v>
      </c>
      <c r="G54" s="170">
        <v>4403</v>
      </c>
      <c r="H54" s="170">
        <v>4254</v>
      </c>
      <c r="I54" s="170">
        <v>6289</v>
      </c>
      <c r="J54" s="170">
        <v>10657</v>
      </c>
      <c r="K54" s="170">
        <v>11748</v>
      </c>
      <c r="L54" s="170">
        <v>13475</v>
      </c>
      <c r="M54" s="170">
        <v>14771</v>
      </c>
      <c r="N54" s="170">
        <v>15803</v>
      </c>
      <c r="O54" s="170">
        <v>10864</v>
      </c>
      <c r="P54" s="170">
        <v>19585</v>
      </c>
      <c r="Q54" s="170">
        <v>13950</v>
      </c>
      <c r="R54" s="170">
        <v>23877</v>
      </c>
      <c r="S54" s="170">
        <v>21158</v>
      </c>
      <c r="T54" s="170">
        <v>12461</v>
      </c>
      <c r="U54" s="170">
        <v>14045</v>
      </c>
      <c r="V54" s="170">
        <v>7975</v>
      </c>
      <c r="W54" s="170">
        <v>7265</v>
      </c>
      <c r="X54" s="170">
        <v>7888</v>
      </c>
      <c r="Y54" s="170">
        <v>8766</v>
      </c>
      <c r="Z54" s="170">
        <v>7787</v>
      </c>
      <c r="AA54" s="170">
        <v>5093</v>
      </c>
      <c r="AB54" s="170">
        <v>1758</v>
      </c>
    </row>
    <row r="55" spans="1:28">
      <c r="A55" s="139">
        <v>3</v>
      </c>
      <c r="B55" s="170">
        <v>2631</v>
      </c>
      <c r="C55" s="170">
        <v>1953</v>
      </c>
      <c r="D55" s="170">
        <v>2096</v>
      </c>
      <c r="E55" s="170">
        <v>4875</v>
      </c>
      <c r="F55" s="170">
        <v>3073</v>
      </c>
      <c r="G55" s="170">
        <v>2439</v>
      </c>
      <c r="H55" s="170">
        <v>1453</v>
      </c>
      <c r="I55" s="170">
        <v>1771</v>
      </c>
      <c r="J55" s="170">
        <v>2415</v>
      </c>
      <c r="K55" s="170">
        <v>3651</v>
      </c>
      <c r="L55" s="170">
        <v>4250</v>
      </c>
      <c r="M55" s="170">
        <v>4922</v>
      </c>
      <c r="N55" s="170">
        <v>4903</v>
      </c>
      <c r="O55" s="170">
        <v>4064</v>
      </c>
      <c r="P55" s="170">
        <v>4555</v>
      </c>
      <c r="Q55" s="170">
        <v>5572</v>
      </c>
      <c r="R55" s="170">
        <v>6957</v>
      </c>
      <c r="S55" s="170">
        <v>9386</v>
      </c>
      <c r="T55" s="170">
        <v>7170</v>
      </c>
      <c r="U55" s="170">
        <v>3793</v>
      </c>
      <c r="V55" s="170">
        <v>3061</v>
      </c>
      <c r="W55" s="170">
        <v>2878</v>
      </c>
      <c r="X55" s="170">
        <v>2777</v>
      </c>
      <c r="Y55" s="170">
        <v>2158</v>
      </c>
      <c r="Z55" s="170">
        <v>3460</v>
      </c>
      <c r="AA55" s="170">
        <v>4117</v>
      </c>
      <c r="AB55" s="170">
        <v>2117</v>
      </c>
    </row>
    <row r="56" spans="1:28">
      <c r="A56" s="139">
        <v>4</v>
      </c>
      <c r="B56" s="170">
        <v>1112</v>
      </c>
      <c r="C56" s="170">
        <v>1395</v>
      </c>
      <c r="D56" s="170">
        <v>627</v>
      </c>
      <c r="E56" s="170">
        <v>650</v>
      </c>
      <c r="F56" s="170">
        <v>1750</v>
      </c>
      <c r="G56" s="170">
        <v>870</v>
      </c>
      <c r="H56" s="170">
        <v>1101</v>
      </c>
      <c r="I56" s="170">
        <v>822</v>
      </c>
      <c r="J56" s="170">
        <v>751</v>
      </c>
      <c r="K56" s="170">
        <v>805</v>
      </c>
      <c r="L56" s="170">
        <v>1269</v>
      </c>
      <c r="M56" s="170">
        <v>1234</v>
      </c>
      <c r="N56" s="170">
        <v>2325</v>
      </c>
      <c r="O56" s="170">
        <v>2236</v>
      </c>
      <c r="P56" s="170">
        <v>1637</v>
      </c>
      <c r="Q56" s="170">
        <v>1594</v>
      </c>
      <c r="R56" s="170">
        <v>2325</v>
      </c>
      <c r="S56" s="170">
        <v>3503</v>
      </c>
      <c r="T56" s="170">
        <v>5030</v>
      </c>
      <c r="U56" s="170">
        <v>2939</v>
      </c>
      <c r="V56" s="170">
        <v>1257</v>
      </c>
      <c r="W56" s="170">
        <v>1124</v>
      </c>
      <c r="X56" s="170">
        <v>1198</v>
      </c>
      <c r="Y56" s="170">
        <v>846</v>
      </c>
      <c r="Z56" s="170">
        <v>926</v>
      </c>
      <c r="AA56" s="170">
        <v>1606</v>
      </c>
      <c r="AB56" s="170">
        <v>2064</v>
      </c>
    </row>
    <row r="57" spans="1:28">
      <c r="A57" s="139">
        <v>5</v>
      </c>
      <c r="B57" s="170">
        <v>259</v>
      </c>
      <c r="C57" s="170">
        <v>498</v>
      </c>
      <c r="D57" s="170">
        <v>230</v>
      </c>
      <c r="E57" s="170">
        <v>314</v>
      </c>
      <c r="F57" s="170">
        <v>241</v>
      </c>
      <c r="G57" s="170">
        <v>608</v>
      </c>
      <c r="H57" s="170">
        <v>285</v>
      </c>
      <c r="I57" s="170">
        <v>560</v>
      </c>
      <c r="J57" s="170">
        <v>375</v>
      </c>
      <c r="K57" s="170">
        <v>141</v>
      </c>
      <c r="L57" s="170">
        <v>272</v>
      </c>
      <c r="M57" s="170">
        <v>364</v>
      </c>
      <c r="N57" s="170">
        <v>587</v>
      </c>
      <c r="O57" s="170">
        <v>997</v>
      </c>
      <c r="P57" s="170">
        <v>635</v>
      </c>
      <c r="Q57" s="170">
        <v>616</v>
      </c>
      <c r="R57" s="170">
        <v>589</v>
      </c>
      <c r="S57" s="170">
        <v>940</v>
      </c>
      <c r="T57" s="170">
        <v>1355</v>
      </c>
      <c r="U57" s="170">
        <v>1089</v>
      </c>
      <c r="V57" s="170">
        <v>490</v>
      </c>
      <c r="W57" s="170">
        <v>298</v>
      </c>
      <c r="X57" s="170">
        <v>382</v>
      </c>
      <c r="Y57" s="170">
        <v>284</v>
      </c>
      <c r="Z57" s="170">
        <v>311</v>
      </c>
      <c r="AA57" s="170">
        <v>318</v>
      </c>
      <c r="AB57" s="170">
        <v>757</v>
      </c>
    </row>
    <row r="58" spans="1:28">
      <c r="A58" s="141" t="s">
        <v>32</v>
      </c>
      <c r="B58" s="213">
        <v>78</v>
      </c>
      <c r="C58" s="213">
        <v>84</v>
      </c>
      <c r="D58" s="213">
        <v>118</v>
      </c>
      <c r="E58" s="213">
        <v>145</v>
      </c>
      <c r="F58" s="213">
        <v>184</v>
      </c>
      <c r="G58" s="213">
        <v>201</v>
      </c>
      <c r="H58" s="213">
        <v>132</v>
      </c>
      <c r="I58" s="213">
        <v>58</v>
      </c>
      <c r="J58" s="213">
        <v>136</v>
      </c>
      <c r="K58" s="213">
        <v>39</v>
      </c>
      <c r="L58" s="213">
        <v>66</v>
      </c>
      <c r="M58" s="213">
        <v>66</v>
      </c>
      <c r="N58" s="213">
        <v>141</v>
      </c>
      <c r="O58" s="213">
        <v>222</v>
      </c>
      <c r="P58" s="213">
        <v>200</v>
      </c>
      <c r="Q58" s="213">
        <v>103</v>
      </c>
      <c r="R58" s="213">
        <v>223</v>
      </c>
      <c r="S58" s="213">
        <v>213</v>
      </c>
      <c r="T58" s="213">
        <v>362</v>
      </c>
      <c r="U58" s="213">
        <v>252</v>
      </c>
      <c r="V58" s="213">
        <v>166</v>
      </c>
      <c r="W58" s="213">
        <v>68</v>
      </c>
      <c r="X58" s="213">
        <v>93</v>
      </c>
      <c r="Y58" s="213">
        <v>78</v>
      </c>
      <c r="Z58" s="213">
        <v>58</v>
      </c>
      <c r="AA58" s="213">
        <v>146</v>
      </c>
      <c r="AB58" s="170">
        <v>151</v>
      </c>
    </row>
    <row r="59" spans="1:28">
      <c r="A59" s="168" t="s">
        <v>33</v>
      </c>
      <c r="B59" s="214">
        <v>21114</v>
      </c>
      <c r="C59" s="214">
        <v>48104</v>
      </c>
      <c r="D59" s="214">
        <v>64175</v>
      </c>
      <c r="E59" s="214">
        <v>45122</v>
      </c>
      <c r="F59" s="214">
        <v>32151</v>
      </c>
      <c r="G59" s="214">
        <v>25245</v>
      </c>
      <c r="H59" s="214">
        <v>23326</v>
      </c>
      <c r="I59" s="214">
        <v>47296</v>
      </c>
      <c r="J59" s="214">
        <v>77789</v>
      </c>
      <c r="K59" s="214">
        <v>63765</v>
      </c>
      <c r="L59" s="214">
        <v>55541</v>
      </c>
      <c r="M59" s="214">
        <v>67766</v>
      </c>
      <c r="N59" s="214">
        <v>45140</v>
      </c>
      <c r="O59" s="214">
        <v>60778</v>
      </c>
      <c r="P59" s="214">
        <v>55571</v>
      </c>
      <c r="Q59" s="214">
        <v>64601</v>
      </c>
      <c r="R59" s="214">
        <v>67938</v>
      </c>
      <c r="S59" s="214">
        <v>66533</v>
      </c>
      <c r="T59" s="214">
        <v>56961</v>
      </c>
      <c r="U59" s="214">
        <v>36182</v>
      </c>
      <c r="V59" s="214">
        <v>24467</v>
      </c>
      <c r="W59" s="214">
        <v>28385</v>
      </c>
      <c r="X59" s="214">
        <v>27906</v>
      </c>
      <c r="Y59" s="214">
        <v>25736</v>
      </c>
      <c r="Z59" s="214">
        <v>26635</v>
      </c>
      <c r="AA59" s="214">
        <v>16217</v>
      </c>
      <c r="AB59" s="215">
        <v>9940</v>
      </c>
    </row>
    <row r="60" spans="1:28">
      <c r="A60" s="165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</row>
    <row r="61" spans="1:28">
      <c r="A61" s="169" t="s">
        <v>40</v>
      </c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8"/>
      <c r="O61" s="159"/>
      <c r="P61" s="161"/>
      <c r="Q61" s="158"/>
      <c r="R61" s="158"/>
      <c r="S61" s="158"/>
      <c r="T61" s="158"/>
      <c r="U61" s="158"/>
      <c r="V61" s="158"/>
      <c r="W61" s="158"/>
      <c r="X61" s="158"/>
      <c r="Y61" s="158"/>
      <c r="Z61" s="162"/>
      <c r="AA61" s="162"/>
    </row>
    <row r="62" spans="1:28" s="132" customFormat="1">
      <c r="A62" s="279" t="s">
        <v>31</v>
      </c>
      <c r="B62" s="280">
        <v>1996</v>
      </c>
      <c r="C62" s="280">
        <v>1997</v>
      </c>
      <c r="D62" s="281">
        <v>1998</v>
      </c>
      <c r="E62" s="281">
        <v>1999</v>
      </c>
      <c r="F62" s="281">
        <v>2000</v>
      </c>
      <c r="G62" s="281">
        <v>2001</v>
      </c>
      <c r="H62" s="281">
        <v>2002</v>
      </c>
      <c r="I62" s="281">
        <v>2003</v>
      </c>
      <c r="J62" s="281">
        <v>2004</v>
      </c>
      <c r="K62" s="281">
        <v>2005</v>
      </c>
      <c r="L62" s="281">
        <v>2006</v>
      </c>
      <c r="M62" s="281">
        <v>2007</v>
      </c>
      <c r="N62" s="281">
        <v>2008</v>
      </c>
      <c r="O62" s="281">
        <v>2009</v>
      </c>
      <c r="P62" s="282">
        <v>2010</v>
      </c>
      <c r="Q62" s="281">
        <v>2011</v>
      </c>
      <c r="R62" s="282">
        <v>2012</v>
      </c>
      <c r="S62" s="281">
        <v>2013</v>
      </c>
      <c r="T62" s="282">
        <v>2014</v>
      </c>
      <c r="U62" s="281">
        <v>2015</v>
      </c>
      <c r="V62" s="282">
        <v>2016</v>
      </c>
      <c r="W62" s="282">
        <v>2017</v>
      </c>
      <c r="X62" s="282">
        <v>2018</v>
      </c>
      <c r="Y62" s="282">
        <v>2019</v>
      </c>
      <c r="Z62" s="282">
        <v>2020</v>
      </c>
      <c r="AA62" s="282">
        <v>2021</v>
      </c>
      <c r="AB62" s="282">
        <v>2022</v>
      </c>
    </row>
    <row r="63" spans="1:28">
      <c r="A63" s="139">
        <v>1</v>
      </c>
      <c r="B63" s="170">
        <v>3148</v>
      </c>
      <c r="C63" s="170">
        <v>10914</v>
      </c>
      <c r="D63" s="170">
        <v>12103</v>
      </c>
      <c r="E63" s="170">
        <v>7920</v>
      </c>
      <c r="F63" s="170">
        <v>3827</v>
      </c>
      <c r="G63" s="170">
        <v>4921</v>
      </c>
      <c r="H63" s="170">
        <v>4563</v>
      </c>
      <c r="I63" s="170">
        <v>10864</v>
      </c>
      <c r="J63" s="170">
        <v>18240</v>
      </c>
      <c r="K63" s="170">
        <v>14157</v>
      </c>
      <c r="L63" s="170">
        <v>11802</v>
      </c>
      <c r="M63" s="170">
        <v>16498</v>
      </c>
      <c r="N63" s="170">
        <v>6841</v>
      </c>
      <c r="O63" s="170">
        <v>15236</v>
      </c>
      <c r="P63" s="170">
        <v>10377</v>
      </c>
      <c r="Q63" s="170">
        <v>14923</v>
      </c>
      <c r="R63" s="170">
        <v>7612</v>
      </c>
      <c r="S63" s="170">
        <v>9027</v>
      </c>
      <c r="T63" s="170">
        <v>6659</v>
      </c>
      <c r="U63" s="170">
        <v>3383</v>
      </c>
      <c r="V63" s="170">
        <v>3268</v>
      </c>
      <c r="W63" s="170">
        <v>4069</v>
      </c>
      <c r="X63" s="170">
        <v>3782</v>
      </c>
      <c r="Y63" s="170">
        <v>2986</v>
      </c>
      <c r="Z63" s="170">
        <v>4256</v>
      </c>
      <c r="AA63" s="170">
        <v>1911</v>
      </c>
      <c r="AB63" s="170">
        <v>1068</v>
      </c>
    </row>
    <row r="64" spans="1:28">
      <c r="A64" s="139">
        <v>2</v>
      </c>
      <c r="B64" s="170">
        <v>7474</v>
      </c>
      <c r="C64" s="170">
        <v>7625</v>
      </c>
      <c r="D64" s="170">
        <v>26655</v>
      </c>
      <c r="E64" s="170">
        <v>16865</v>
      </c>
      <c r="F64" s="170">
        <v>10075</v>
      </c>
      <c r="G64" s="170">
        <v>7242</v>
      </c>
      <c r="H64" s="170">
        <v>6786</v>
      </c>
      <c r="I64" s="170">
        <v>9962</v>
      </c>
      <c r="J64" s="170">
        <v>15960</v>
      </c>
      <c r="K64" s="170">
        <v>17429</v>
      </c>
      <c r="L64" s="170">
        <v>17639</v>
      </c>
      <c r="M64" s="170">
        <v>22542</v>
      </c>
      <c r="N64" s="170">
        <v>19741</v>
      </c>
      <c r="O64" s="170">
        <v>14623</v>
      </c>
      <c r="P64" s="170">
        <v>25820</v>
      </c>
      <c r="Q64" s="170">
        <v>20157</v>
      </c>
      <c r="R64" s="170">
        <v>24949</v>
      </c>
      <c r="S64" s="170">
        <v>26776</v>
      </c>
      <c r="T64" s="170">
        <v>12342</v>
      </c>
      <c r="U64" s="170">
        <v>12174</v>
      </c>
      <c r="V64" s="170">
        <v>6781</v>
      </c>
      <c r="W64" s="170">
        <v>5735</v>
      </c>
      <c r="X64" s="170">
        <v>6463</v>
      </c>
      <c r="Y64" s="170">
        <v>7051</v>
      </c>
      <c r="Z64" s="170">
        <v>6331</v>
      </c>
      <c r="AA64" s="170">
        <v>5016</v>
      </c>
      <c r="AB64" s="170">
        <v>1318</v>
      </c>
    </row>
    <row r="65" spans="1:28">
      <c r="A65" s="139">
        <v>3</v>
      </c>
      <c r="B65" s="170">
        <v>6264</v>
      </c>
      <c r="C65" s="170">
        <v>4650</v>
      </c>
      <c r="D65" s="170">
        <v>4971</v>
      </c>
      <c r="E65" s="170">
        <v>13044</v>
      </c>
      <c r="F65" s="170">
        <v>7289</v>
      </c>
      <c r="G65" s="170">
        <v>6712</v>
      </c>
      <c r="H65" s="170">
        <v>3892</v>
      </c>
      <c r="I65" s="170">
        <v>4698</v>
      </c>
      <c r="J65" s="170">
        <v>6183</v>
      </c>
      <c r="K65" s="170">
        <v>9973</v>
      </c>
      <c r="L65" s="170">
        <v>9928</v>
      </c>
      <c r="M65" s="170">
        <v>14001</v>
      </c>
      <c r="N65" s="170">
        <v>13104</v>
      </c>
      <c r="O65" s="170">
        <v>9633</v>
      </c>
      <c r="P65" s="170">
        <v>12699</v>
      </c>
      <c r="Q65" s="170">
        <v>14159</v>
      </c>
      <c r="R65" s="170">
        <v>16773</v>
      </c>
      <c r="S65" s="170">
        <v>23491</v>
      </c>
      <c r="T65" s="170">
        <v>14191</v>
      </c>
      <c r="U65" s="170">
        <v>8073</v>
      </c>
      <c r="V65" s="170">
        <v>5482</v>
      </c>
      <c r="W65" s="170">
        <v>5111</v>
      </c>
      <c r="X65" s="170">
        <v>5664</v>
      </c>
      <c r="Y65" s="170">
        <v>4116</v>
      </c>
      <c r="Z65" s="170">
        <v>6339</v>
      </c>
      <c r="AA65" s="170">
        <v>8616</v>
      </c>
      <c r="AB65" s="170">
        <v>4173</v>
      </c>
    </row>
    <row r="66" spans="1:28">
      <c r="A66" s="139">
        <v>4</v>
      </c>
      <c r="B66" s="170">
        <v>4369</v>
      </c>
      <c r="C66" s="170">
        <v>5482</v>
      </c>
      <c r="D66" s="170">
        <v>2747</v>
      </c>
      <c r="E66" s="170">
        <v>3097</v>
      </c>
      <c r="F66" s="170">
        <v>6794</v>
      </c>
      <c r="G66" s="170">
        <v>3294</v>
      </c>
      <c r="H66" s="170">
        <v>4908</v>
      </c>
      <c r="I66" s="170">
        <v>4027</v>
      </c>
      <c r="J66" s="170">
        <v>3823</v>
      </c>
      <c r="K66" s="170">
        <v>3600</v>
      </c>
      <c r="L66" s="170">
        <v>6362</v>
      </c>
      <c r="M66" s="170">
        <v>5069</v>
      </c>
      <c r="N66" s="170">
        <v>9414</v>
      </c>
      <c r="O66" s="170">
        <v>7741</v>
      </c>
      <c r="P66" s="170">
        <v>7552</v>
      </c>
      <c r="Q66" s="170">
        <v>6098</v>
      </c>
      <c r="R66" s="170">
        <v>9105</v>
      </c>
      <c r="S66" s="170">
        <v>13503</v>
      </c>
      <c r="T66" s="170">
        <v>15636</v>
      </c>
      <c r="U66" s="170">
        <v>10100</v>
      </c>
      <c r="V66" s="170">
        <v>4302</v>
      </c>
      <c r="W66" s="170">
        <v>3402</v>
      </c>
      <c r="X66" s="170">
        <v>4008</v>
      </c>
      <c r="Y66" s="170">
        <v>2694</v>
      </c>
      <c r="Z66" s="170">
        <v>2878</v>
      </c>
      <c r="AA66" s="170">
        <v>5389</v>
      </c>
      <c r="AB66" s="170">
        <v>6189</v>
      </c>
    </row>
    <row r="67" spans="1:28">
      <c r="A67" s="139">
        <v>5</v>
      </c>
      <c r="B67" s="170">
        <v>1506</v>
      </c>
      <c r="C67" s="170">
        <v>2900</v>
      </c>
      <c r="D67" s="170">
        <v>1343</v>
      </c>
      <c r="E67" s="170">
        <v>1756</v>
      </c>
      <c r="F67" s="170">
        <v>1439</v>
      </c>
      <c r="G67" s="170">
        <v>3328</v>
      </c>
      <c r="H67" s="170">
        <v>1728</v>
      </c>
      <c r="I67" s="170">
        <v>4056</v>
      </c>
      <c r="J67" s="170">
        <v>2894</v>
      </c>
      <c r="K67" s="170">
        <v>929</v>
      </c>
      <c r="L67" s="170">
        <v>1495</v>
      </c>
      <c r="M67" s="170">
        <v>2206</v>
      </c>
      <c r="N67" s="170">
        <v>3473</v>
      </c>
      <c r="O67" s="170">
        <v>5839</v>
      </c>
      <c r="P67" s="170">
        <v>4132</v>
      </c>
      <c r="Q67" s="170">
        <v>3969</v>
      </c>
      <c r="R67" s="170">
        <v>3317</v>
      </c>
      <c r="S67" s="170">
        <v>5132</v>
      </c>
      <c r="T67" s="170">
        <v>6768</v>
      </c>
      <c r="U67" s="170">
        <v>5350</v>
      </c>
      <c r="V67" s="170">
        <v>2462</v>
      </c>
      <c r="W67" s="170">
        <v>1437</v>
      </c>
      <c r="X67" s="170">
        <v>1831</v>
      </c>
      <c r="Y67" s="170">
        <v>1368</v>
      </c>
      <c r="Z67" s="170">
        <v>1585</v>
      </c>
      <c r="AA67" s="170">
        <v>1501</v>
      </c>
      <c r="AB67" s="170">
        <v>3327</v>
      </c>
    </row>
    <row r="68" spans="1:28">
      <c r="A68" s="141" t="s">
        <v>32</v>
      </c>
      <c r="B68" s="170">
        <v>635</v>
      </c>
      <c r="C68" s="170">
        <v>678</v>
      </c>
      <c r="D68" s="170">
        <v>861</v>
      </c>
      <c r="E68" s="170">
        <v>1187</v>
      </c>
      <c r="F68" s="170">
        <v>1433</v>
      </c>
      <c r="G68" s="170">
        <v>1519</v>
      </c>
      <c r="H68" s="170">
        <v>1174</v>
      </c>
      <c r="I68" s="170">
        <v>521</v>
      </c>
      <c r="J68" s="170">
        <v>1507</v>
      </c>
      <c r="K68" s="170">
        <v>317</v>
      </c>
      <c r="L68" s="170">
        <v>533</v>
      </c>
      <c r="M68" s="170">
        <v>521</v>
      </c>
      <c r="N68" s="170">
        <v>1156</v>
      </c>
      <c r="O68" s="170">
        <v>2451</v>
      </c>
      <c r="P68" s="170">
        <v>1457</v>
      </c>
      <c r="Q68" s="170">
        <v>838</v>
      </c>
      <c r="R68" s="170">
        <v>1926</v>
      </c>
      <c r="S68" s="170">
        <v>1649</v>
      </c>
      <c r="T68" s="170">
        <v>2808</v>
      </c>
      <c r="U68" s="170">
        <v>1740</v>
      </c>
      <c r="V68" s="170">
        <v>1098</v>
      </c>
      <c r="W68" s="170">
        <v>480</v>
      </c>
      <c r="X68" s="170">
        <v>653</v>
      </c>
      <c r="Y68" s="170">
        <v>552</v>
      </c>
      <c r="Z68" s="170">
        <v>446</v>
      </c>
      <c r="AA68" s="170">
        <v>1282</v>
      </c>
      <c r="AB68" s="170">
        <v>1210</v>
      </c>
    </row>
    <row r="69" spans="1:28">
      <c r="A69" s="168" t="s">
        <v>33</v>
      </c>
      <c r="B69" s="284">
        <v>23397</v>
      </c>
      <c r="C69" s="284">
        <v>32249</v>
      </c>
      <c r="D69" s="284">
        <v>48680</v>
      </c>
      <c r="E69" s="284">
        <v>43870</v>
      </c>
      <c r="F69" s="284">
        <v>30857</v>
      </c>
      <c r="G69" s="284">
        <v>27015</v>
      </c>
      <c r="H69" s="284">
        <v>23050</v>
      </c>
      <c r="I69" s="284">
        <v>34129</v>
      </c>
      <c r="J69" s="284">
        <v>48607</v>
      </c>
      <c r="K69" s="284">
        <v>46405</v>
      </c>
      <c r="L69" s="284">
        <v>47759</v>
      </c>
      <c r="M69" s="284">
        <v>60836</v>
      </c>
      <c r="N69" s="284">
        <v>53729</v>
      </c>
      <c r="O69" s="284">
        <v>55524</v>
      </c>
      <c r="P69" s="284">
        <v>62037</v>
      </c>
      <c r="Q69" s="284">
        <v>60143</v>
      </c>
      <c r="R69" s="284">
        <v>63682</v>
      </c>
      <c r="S69" s="284">
        <v>79578</v>
      </c>
      <c r="T69" s="284">
        <v>58404</v>
      </c>
      <c r="U69" s="284">
        <v>40821</v>
      </c>
      <c r="V69" s="284">
        <v>23395</v>
      </c>
      <c r="W69" s="284">
        <v>20235</v>
      </c>
      <c r="X69" s="284">
        <v>22402</v>
      </c>
      <c r="Y69" s="284">
        <v>18768</v>
      </c>
      <c r="Z69" s="284">
        <v>21834</v>
      </c>
      <c r="AA69" s="284">
        <v>23716</v>
      </c>
      <c r="AB69" s="284">
        <v>17285</v>
      </c>
    </row>
    <row r="70" spans="1:28">
      <c r="A70" s="171" t="s">
        <v>41</v>
      </c>
      <c r="B70" s="144"/>
      <c r="C70" s="144"/>
      <c r="D70" s="145"/>
      <c r="E70" s="145"/>
      <c r="F70" s="145"/>
      <c r="G70" s="145"/>
      <c r="H70" s="145"/>
      <c r="I70" s="145"/>
      <c r="J70" s="146"/>
      <c r="K70" s="146"/>
      <c r="L70" s="146"/>
      <c r="M70" s="146"/>
      <c r="N70" s="146"/>
      <c r="O70" s="146"/>
      <c r="P70" s="147"/>
      <c r="Q70" s="144"/>
      <c r="R70" s="145"/>
      <c r="S70" s="148"/>
      <c r="T70" s="148"/>
      <c r="U70" s="148"/>
      <c r="V70" s="148"/>
      <c r="W70" s="148"/>
      <c r="X70" s="148"/>
      <c r="Y70" s="148"/>
      <c r="Z70" s="132"/>
      <c r="AA70" s="13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553-AE9B-4E3A-A0A6-B32EFF19EE24}">
  <dimension ref="A1:AA13"/>
  <sheetViews>
    <sheetView zoomScale="130" zoomScaleNormal="130" workbookViewId="0">
      <selection activeCell="F20" sqref="F20"/>
    </sheetView>
  </sheetViews>
  <sheetFormatPr defaultRowHeight="18.75"/>
  <cols>
    <col min="1" max="1" width="6.125" customWidth="1"/>
    <col min="2" max="2" width="13.625" customWidth="1"/>
    <col min="3" max="6" width="17.125" customWidth="1"/>
    <col min="7" max="10" width="7" customWidth="1"/>
    <col min="11" max="11" width="7" style="36" customWidth="1"/>
    <col min="12" max="13" width="7" customWidth="1"/>
    <col min="14" max="29" width="8.875"/>
  </cols>
  <sheetData>
    <row r="1" spans="1:27">
      <c r="A1" t="s">
        <v>0</v>
      </c>
    </row>
    <row r="3" spans="1:27" s="1" customFormat="1" ht="21.75">
      <c r="A3" s="50" t="s">
        <v>42</v>
      </c>
      <c r="B3" s="20"/>
      <c r="C3" s="20"/>
      <c r="D3" s="20"/>
      <c r="E3" s="20"/>
      <c r="F3" s="149"/>
      <c r="G3" s="132"/>
      <c r="H3" s="132"/>
      <c r="I3" s="132"/>
      <c r="J3" s="132"/>
      <c r="K3" s="132"/>
      <c r="L3" s="132"/>
      <c r="M3" s="132"/>
      <c r="N3" s="132"/>
      <c r="O3" s="132"/>
      <c r="P3" s="133"/>
      <c r="Q3" s="134"/>
      <c r="R3" s="132"/>
      <c r="S3" s="132"/>
      <c r="T3" s="132"/>
      <c r="U3" s="132"/>
      <c r="V3" s="132"/>
      <c r="W3" s="132"/>
      <c r="X3" s="132"/>
      <c r="Y3" s="132"/>
      <c r="Z3" s="132"/>
      <c r="AA3" s="132"/>
    </row>
    <row r="4" spans="1:27" ht="28.5">
      <c r="A4" s="285" t="s">
        <v>43</v>
      </c>
      <c r="B4" s="286" t="s">
        <v>44</v>
      </c>
      <c r="C4" s="287" t="s">
        <v>45</v>
      </c>
      <c r="D4" s="287" t="s">
        <v>46</v>
      </c>
      <c r="E4" s="288" t="s">
        <v>47</v>
      </c>
      <c r="F4" s="289" t="s">
        <v>48</v>
      </c>
    </row>
    <row r="5" spans="1:27">
      <c r="A5" s="41">
        <v>1</v>
      </c>
      <c r="B5" s="42">
        <v>0.35699999999999998</v>
      </c>
      <c r="C5" s="41">
        <v>0</v>
      </c>
      <c r="D5" s="41">
        <v>285</v>
      </c>
      <c r="E5" s="43">
        <v>0.16</v>
      </c>
      <c r="F5" s="172">
        <v>0.23</v>
      </c>
      <c r="H5" s="38"/>
      <c r="I5" s="173"/>
    </row>
    <row r="6" spans="1:27">
      <c r="A6" s="41">
        <v>2</v>
      </c>
      <c r="B6" s="42">
        <v>0.35699999999999998</v>
      </c>
      <c r="C6" s="41">
        <v>0</v>
      </c>
      <c r="D6" s="41">
        <v>1239</v>
      </c>
      <c r="E6" s="43">
        <v>0.53</v>
      </c>
      <c r="F6" s="172">
        <v>0.74</v>
      </c>
      <c r="H6" s="38"/>
      <c r="I6" s="38"/>
    </row>
    <row r="7" spans="1:27">
      <c r="A7" s="41">
        <v>3</v>
      </c>
      <c r="B7" s="42">
        <v>0.35699999999999998</v>
      </c>
      <c r="C7" s="43">
        <v>0.22</v>
      </c>
      <c r="D7" s="41">
        <v>2402</v>
      </c>
      <c r="E7" s="43">
        <v>0.48</v>
      </c>
      <c r="F7" s="172">
        <v>0.68</v>
      </c>
      <c r="H7" s="38"/>
      <c r="I7" s="38"/>
    </row>
    <row r="8" spans="1:27">
      <c r="A8" s="41">
        <v>4</v>
      </c>
      <c r="B8" s="42">
        <v>0.35699999999999998</v>
      </c>
      <c r="C8" s="43">
        <v>0.73</v>
      </c>
      <c r="D8" s="41">
        <v>3999</v>
      </c>
      <c r="E8" s="43">
        <v>0.66</v>
      </c>
      <c r="F8" s="172">
        <v>0.93</v>
      </c>
      <c r="H8" s="38"/>
      <c r="I8" s="38"/>
    </row>
    <row r="9" spans="1:27">
      <c r="A9" s="41">
        <v>5</v>
      </c>
      <c r="B9" s="42">
        <v>0.35699999999999998</v>
      </c>
      <c r="C9" s="43">
        <v>1</v>
      </c>
      <c r="D9" s="41">
        <v>5788</v>
      </c>
      <c r="E9" s="43">
        <v>1</v>
      </c>
      <c r="F9" s="172">
        <v>1.4</v>
      </c>
      <c r="H9" s="38"/>
      <c r="I9" s="38"/>
    </row>
    <row r="10" spans="1:27">
      <c r="A10" s="44" t="s">
        <v>49</v>
      </c>
      <c r="B10" s="45">
        <v>0.35699999999999998</v>
      </c>
      <c r="C10" s="46">
        <v>1</v>
      </c>
      <c r="D10" s="44">
        <v>8065</v>
      </c>
      <c r="E10" s="46">
        <v>1</v>
      </c>
      <c r="F10" s="46">
        <v>1.4</v>
      </c>
      <c r="H10" s="38"/>
      <c r="I10" s="38"/>
    </row>
    <row r="11" spans="1:27">
      <c r="A11" s="47" t="s">
        <v>50</v>
      </c>
      <c r="B11" s="40"/>
      <c r="C11" s="39"/>
      <c r="D11" s="39"/>
      <c r="E11" s="39"/>
      <c r="F11" s="39"/>
    </row>
    <row r="12" spans="1:27">
      <c r="A12" s="48" t="s">
        <v>51</v>
      </c>
      <c r="B12" s="40"/>
      <c r="C12" s="25"/>
      <c r="D12" s="25"/>
      <c r="E12" s="25"/>
      <c r="F12" s="25"/>
    </row>
    <row r="13" spans="1:27">
      <c r="A13" s="47" t="s">
        <v>52</v>
      </c>
      <c r="B13" s="40"/>
      <c r="C13" s="49"/>
      <c r="D13" s="49"/>
      <c r="E13" s="250"/>
      <c r="F13" s="4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B7E9-879E-4000-B1F6-F3BB8ECAC47D}">
  <dimension ref="A1:Q44"/>
  <sheetViews>
    <sheetView workbookViewId="0">
      <selection activeCell="F20" sqref="F20"/>
    </sheetView>
  </sheetViews>
  <sheetFormatPr defaultRowHeight="18.75"/>
  <sheetData>
    <row r="1" spans="1:17">
      <c r="A1" t="s">
        <v>0</v>
      </c>
    </row>
    <row r="3" spans="1:17" s="174" customFormat="1" ht="15">
      <c r="A3" s="63" t="s">
        <v>53</v>
      </c>
    </row>
    <row r="4" spans="1:17" s="174" customFormat="1" ht="13.5">
      <c r="A4" s="243" t="s">
        <v>54</v>
      </c>
    </row>
    <row r="5" spans="1:17">
      <c r="B5" s="51" t="s">
        <v>55</v>
      </c>
      <c r="C5" s="52">
        <v>2022</v>
      </c>
      <c r="D5" s="52">
        <v>2023</v>
      </c>
      <c r="E5" s="52">
        <v>2024</v>
      </c>
      <c r="F5" s="52">
        <v>2025</v>
      </c>
      <c r="G5" s="52">
        <v>2026</v>
      </c>
      <c r="H5" s="52">
        <v>2027</v>
      </c>
      <c r="I5" s="52">
        <v>2028</v>
      </c>
      <c r="J5" s="52">
        <v>2029</v>
      </c>
      <c r="K5" s="52">
        <v>2030</v>
      </c>
      <c r="L5" s="52">
        <v>2031</v>
      </c>
      <c r="M5" s="52">
        <v>2032</v>
      </c>
      <c r="N5" s="52">
        <v>2033</v>
      </c>
      <c r="O5" s="53">
        <v>2034</v>
      </c>
      <c r="P5" s="52">
        <v>2044</v>
      </c>
      <c r="Q5" s="52">
        <v>2054</v>
      </c>
    </row>
    <row r="6" spans="1:17">
      <c r="B6" s="51">
        <v>1</v>
      </c>
      <c r="C6" s="54">
        <v>0</v>
      </c>
      <c r="D6" s="54">
        <v>42</v>
      </c>
      <c r="E6" s="54">
        <v>0</v>
      </c>
      <c r="F6" s="54">
        <v>0</v>
      </c>
      <c r="G6" s="54">
        <v>0</v>
      </c>
      <c r="H6" s="54">
        <v>1</v>
      </c>
      <c r="I6" s="54">
        <v>0</v>
      </c>
      <c r="J6" s="54">
        <v>0</v>
      </c>
      <c r="K6" s="54">
        <v>1</v>
      </c>
      <c r="L6" s="54">
        <v>8</v>
      </c>
      <c r="M6" s="54">
        <v>13</v>
      </c>
      <c r="N6" s="54">
        <v>12</v>
      </c>
      <c r="O6" s="55">
        <v>13</v>
      </c>
      <c r="P6" s="54">
        <v>49</v>
      </c>
      <c r="Q6" s="54">
        <v>44</v>
      </c>
    </row>
    <row r="7" spans="1:17">
      <c r="B7" s="51">
        <v>0.95</v>
      </c>
      <c r="C7" s="54">
        <v>0</v>
      </c>
      <c r="D7" s="54">
        <v>42</v>
      </c>
      <c r="E7" s="54">
        <v>0</v>
      </c>
      <c r="F7" s="54">
        <v>0</v>
      </c>
      <c r="G7" s="54">
        <v>0</v>
      </c>
      <c r="H7" s="54">
        <v>1</v>
      </c>
      <c r="I7" s="54">
        <v>0</v>
      </c>
      <c r="J7" s="54">
        <v>0</v>
      </c>
      <c r="K7" s="54">
        <v>1</v>
      </c>
      <c r="L7" s="54">
        <v>10</v>
      </c>
      <c r="M7" s="54">
        <v>17</v>
      </c>
      <c r="N7" s="54">
        <v>18</v>
      </c>
      <c r="O7" s="55">
        <v>18</v>
      </c>
      <c r="P7" s="54">
        <v>55</v>
      </c>
      <c r="Q7" s="54">
        <v>51</v>
      </c>
    </row>
    <row r="8" spans="1:17">
      <c r="B8" s="51">
        <v>0.9</v>
      </c>
      <c r="C8" s="54">
        <v>0</v>
      </c>
      <c r="D8" s="54">
        <v>42</v>
      </c>
      <c r="E8" s="54">
        <v>0</v>
      </c>
      <c r="F8" s="54">
        <v>0</v>
      </c>
      <c r="G8" s="54">
        <v>1</v>
      </c>
      <c r="H8" s="54">
        <v>2</v>
      </c>
      <c r="I8" s="54">
        <v>1</v>
      </c>
      <c r="J8" s="54">
        <v>0</v>
      </c>
      <c r="K8" s="54">
        <v>2</v>
      </c>
      <c r="L8" s="54">
        <v>14</v>
      </c>
      <c r="M8" s="54">
        <v>23</v>
      </c>
      <c r="N8" s="54">
        <v>25</v>
      </c>
      <c r="O8" s="55">
        <v>25</v>
      </c>
      <c r="P8" s="54">
        <v>60</v>
      </c>
      <c r="Q8" s="54">
        <v>57</v>
      </c>
    </row>
    <row r="9" spans="1:17">
      <c r="B9" s="51">
        <v>0.85</v>
      </c>
      <c r="C9" s="54">
        <v>0</v>
      </c>
      <c r="D9" s="54">
        <v>42</v>
      </c>
      <c r="E9" s="54">
        <v>0</v>
      </c>
      <c r="F9" s="54">
        <v>0</v>
      </c>
      <c r="G9" s="54">
        <v>1</v>
      </c>
      <c r="H9" s="54">
        <v>3</v>
      </c>
      <c r="I9" s="54">
        <v>2</v>
      </c>
      <c r="J9" s="54">
        <v>1</v>
      </c>
      <c r="K9" s="54">
        <v>3</v>
      </c>
      <c r="L9" s="54">
        <v>18</v>
      </c>
      <c r="M9" s="54">
        <v>30</v>
      </c>
      <c r="N9" s="54">
        <v>33</v>
      </c>
      <c r="O9" s="55">
        <v>33</v>
      </c>
      <c r="P9" s="54">
        <v>64</v>
      </c>
      <c r="Q9" s="54">
        <v>62</v>
      </c>
    </row>
    <row r="10" spans="1:17">
      <c r="B10" s="51">
        <v>0.8</v>
      </c>
      <c r="C10" s="54">
        <v>0</v>
      </c>
      <c r="D10" s="54">
        <v>42</v>
      </c>
      <c r="E10" s="54">
        <v>0</v>
      </c>
      <c r="F10" s="54">
        <v>0</v>
      </c>
      <c r="G10" s="54">
        <v>1</v>
      </c>
      <c r="H10" s="54">
        <v>6</v>
      </c>
      <c r="I10" s="54">
        <v>5</v>
      </c>
      <c r="J10" s="54">
        <v>3</v>
      </c>
      <c r="K10" s="54">
        <v>6</v>
      </c>
      <c r="L10" s="54">
        <v>24</v>
      </c>
      <c r="M10" s="54">
        <v>38</v>
      </c>
      <c r="N10" s="54">
        <v>41</v>
      </c>
      <c r="O10" s="55">
        <v>41</v>
      </c>
      <c r="P10" s="54">
        <v>66</v>
      </c>
      <c r="Q10" s="54">
        <v>66</v>
      </c>
    </row>
    <row r="11" spans="1:17">
      <c r="B11" s="51">
        <v>0.75</v>
      </c>
      <c r="C11" s="54">
        <v>0</v>
      </c>
      <c r="D11" s="54">
        <v>42</v>
      </c>
      <c r="E11" s="54">
        <v>0</v>
      </c>
      <c r="F11" s="54">
        <v>0</v>
      </c>
      <c r="G11" s="54">
        <v>2</v>
      </c>
      <c r="H11" s="54">
        <v>11</v>
      </c>
      <c r="I11" s="54">
        <v>11</v>
      </c>
      <c r="J11" s="54">
        <v>7</v>
      </c>
      <c r="K11" s="54">
        <v>11</v>
      </c>
      <c r="L11" s="54">
        <v>32</v>
      </c>
      <c r="M11" s="54">
        <v>45</v>
      </c>
      <c r="N11" s="54">
        <v>50</v>
      </c>
      <c r="O11" s="55">
        <v>50</v>
      </c>
      <c r="P11" s="54">
        <v>69</v>
      </c>
      <c r="Q11" s="54">
        <v>71</v>
      </c>
    </row>
    <row r="12" spans="1:17">
      <c r="B12" s="51">
        <v>0.7</v>
      </c>
      <c r="C12" s="54">
        <v>0</v>
      </c>
      <c r="D12" s="54">
        <v>42</v>
      </c>
      <c r="E12" s="54">
        <v>0</v>
      </c>
      <c r="F12" s="54">
        <v>0</v>
      </c>
      <c r="G12" s="54">
        <v>3</v>
      </c>
      <c r="H12" s="54">
        <v>17</v>
      </c>
      <c r="I12" s="54">
        <v>20</v>
      </c>
      <c r="J12" s="54">
        <v>15</v>
      </c>
      <c r="K12" s="54">
        <v>19</v>
      </c>
      <c r="L12" s="54">
        <v>41</v>
      </c>
      <c r="M12" s="54">
        <v>55</v>
      </c>
      <c r="N12" s="54">
        <v>59</v>
      </c>
      <c r="O12" s="55">
        <v>59</v>
      </c>
      <c r="P12" s="54">
        <v>71</v>
      </c>
      <c r="Q12" s="54">
        <v>74</v>
      </c>
    </row>
    <row r="13" spans="1:17">
      <c r="B13" s="51">
        <v>0.65</v>
      </c>
      <c r="C13" s="54">
        <v>0</v>
      </c>
      <c r="D13" s="54">
        <v>42</v>
      </c>
      <c r="E13" s="54">
        <v>0</v>
      </c>
      <c r="F13" s="54">
        <v>0</v>
      </c>
      <c r="G13" s="54">
        <v>5</v>
      </c>
      <c r="H13" s="54">
        <v>25</v>
      </c>
      <c r="I13" s="54">
        <v>31</v>
      </c>
      <c r="J13" s="54">
        <v>27</v>
      </c>
      <c r="K13" s="54">
        <v>30</v>
      </c>
      <c r="L13" s="54">
        <v>52</v>
      </c>
      <c r="M13" s="54">
        <v>64</v>
      </c>
      <c r="N13" s="54">
        <v>67</v>
      </c>
      <c r="O13" s="55">
        <v>67</v>
      </c>
      <c r="P13" s="54">
        <v>74</v>
      </c>
      <c r="Q13" s="54">
        <v>76</v>
      </c>
    </row>
    <row r="14" spans="1:17">
      <c r="B14" s="51">
        <v>0.6</v>
      </c>
      <c r="C14" s="54">
        <v>0</v>
      </c>
      <c r="D14" s="54">
        <v>42</v>
      </c>
      <c r="E14" s="54">
        <v>0</v>
      </c>
      <c r="F14" s="54">
        <v>0</v>
      </c>
      <c r="G14" s="54">
        <v>8</v>
      </c>
      <c r="H14" s="54">
        <v>35</v>
      </c>
      <c r="I14" s="54">
        <v>44</v>
      </c>
      <c r="J14" s="54">
        <v>40</v>
      </c>
      <c r="K14" s="54">
        <v>43</v>
      </c>
      <c r="L14" s="54">
        <v>63</v>
      </c>
      <c r="M14" s="54">
        <v>72</v>
      </c>
      <c r="N14" s="54">
        <v>73</v>
      </c>
      <c r="O14" s="55">
        <v>74</v>
      </c>
      <c r="P14" s="54">
        <v>75</v>
      </c>
      <c r="Q14" s="54">
        <v>77</v>
      </c>
    </row>
    <row r="15" spans="1:17">
      <c r="B15" s="51">
        <v>0.55000000000000004</v>
      </c>
      <c r="C15" s="54">
        <v>0</v>
      </c>
      <c r="D15" s="54">
        <v>42</v>
      </c>
      <c r="E15" s="54">
        <v>0</v>
      </c>
      <c r="F15" s="54">
        <v>0</v>
      </c>
      <c r="G15" s="54">
        <v>12</v>
      </c>
      <c r="H15" s="54">
        <v>43</v>
      </c>
      <c r="I15" s="54">
        <v>55</v>
      </c>
      <c r="J15" s="54">
        <v>54</v>
      </c>
      <c r="K15" s="54">
        <v>56</v>
      </c>
      <c r="L15" s="54">
        <v>74</v>
      </c>
      <c r="M15" s="54">
        <v>79</v>
      </c>
      <c r="N15" s="54">
        <v>79</v>
      </c>
      <c r="O15" s="55">
        <v>80</v>
      </c>
      <c r="P15" s="54">
        <v>77</v>
      </c>
      <c r="Q15" s="54">
        <v>78</v>
      </c>
    </row>
    <row r="16" spans="1:17">
      <c r="B16" s="51">
        <v>0.5</v>
      </c>
      <c r="C16" s="54">
        <v>0</v>
      </c>
      <c r="D16" s="54">
        <v>42</v>
      </c>
      <c r="E16" s="54">
        <v>0</v>
      </c>
      <c r="F16" s="54">
        <v>0</v>
      </c>
      <c r="G16" s="54">
        <v>16</v>
      </c>
      <c r="H16" s="54">
        <v>51</v>
      </c>
      <c r="I16" s="54">
        <v>67</v>
      </c>
      <c r="J16" s="54">
        <v>68</v>
      </c>
      <c r="K16" s="54">
        <v>68</v>
      </c>
      <c r="L16" s="54">
        <v>83</v>
      </c>
      <c r="M16" s="54">
        <v>86</v>
      </c>
      <c r="N16" s="54">
        <v>84</v>
      </c>
      <c r="O16" s="55">
        <v>85</v>
      </c>
      <c r="P16" s="54">
        <v>78</v>
      </c>
      <c r="Q16" s="54">
        <v>79</v>
      </c>
    </row>
    <row r="17" spans="1:17">
      <c r="B17" s="56">
        <v>0.4</v>
      </c>
      <c r="C17" s="54">
        <v>0</v>
      </c>
      <c r="D17" s="54">
        <v>42</v>
      </c>
      <c r="E17" s="54">
        <v>0</v>
      </c>
      <c r="F17" s="54">
        <v>0</v>
      </c>
      <c r="G17" s="54">
        <v>28</v>
      </c>
      <c r="H17" s="54">
        <v>71</v>
      </c>
      <c r="I17" s="54">
        <v>83</v>
      </c>
      <c r="J17" s="54">
        <v>88</v>
      </c>
      <c r="K17" s="54">
        <v>88</v>
      </c>
      <c r="L17" s="54">
        <v>94</v>
      </c>
      <c r="M17" s="54">
        <v>94</v>
      </c>
      <c r="N17" s="54">
        <v>92</v>
      </c>
      <c r="O17" s="55">
        <v>90</v>
      </c>
      <c r="P17" s="54">
        <v>79</v>
      </c>
      <c r="Q17" s="54">
        <v>78</v>
      </c>
    </row>
    <row r="18" spans="1:17">
      <c r="B18" s="56">
        <v>0.3</v>
      </c>
      <c r="C18" s="54">
        <v>0</v>
      </c>
      <c r="D18" s="54">
        <v>42</v>
      </c>
      <c r="E18" s="54">
        <v>0</v>
      </c>
      <c r="F18" s="54">
        <v>1</v>
      </c>
      <c r="G18" s="54">
        <v>42</v>
      </c>
      <c r="H18" s="54">
        <v>83</v>
      </c>
      <c r="I18" s="54">
        <v>92</v>
      </c>
      <c r="J18" s="54">
        <v>96</v>
      </c>
      <c r="K18" s="54">
        <v>97</v>
      </c>
      <c r="L18" s="54">
        <v>99</v>
      </c>
      <c r="M18" s="54">
        <v>98</v>
      </c>
      <c r="N18" s="54">
        <v>96</v>
      </c>
      <c r="O18" s="55">
        <v>92</v>
      </c>
      <c r="P18" s="54">
        <v>81</v>
      </c>
      <c r="Q18" s="54">
        <v>81</v>
      </c>
    </row>
    <row r="19" spans="1:17">
      <c r="B19" s="56">
        <v>0.2</v>
      </c>
      <c r="C19" s="54">
        <v>0</v>
      </c>
      <c r="D19" s="54">
        <v>42</v>
      </c>
      <c r="E19" s="54">
        <v>0</v>
      </c>
      <c r="F19" s="54">
        <v>1</v>
      </c>
      <c r="G19" s="54">
        <v>54</v>
      </c>
      <c r="H19" s="54">
        <v>88</v>
      </c>
      <c r="I19" s="54">
        <v>97</v>
      </c>
      <c r="J19" s="54">
        <v>99</v>
      </c>
      <c r="K19" s="54">
        <v>100</v>
      </c>
      <c r="L19" s="54">
        <v>100</v>
      </c>
      <c r="M19" s="54">
        <v>100</v>
      </c>
      <c r="N19" s="54">
        <v>99</v>
      </c>
      <c r="O19" s="55">
        <v>95</v>
      </c>
      <c r="P19" s="54">
        <v>91</v>
      </c>
      <c r="Q19" s="54">
        <v>95</v>
      </c>
    </row>
    <row r="20" spans="1:17">
      <c r="B20" s="56">
        <v>0.1</v>
      </c>
      <c r="C20" s="54">
        <v>0</v>
      </c>
      <c r="D20" s="54">
        <v>42</v>
      </c>
      <c r="E20" s="54">
        <v>0</v>
      </c>
      <c r="F20" s="54">
        <v>3</v>
      </c>
      <c r="G20" s="54">
        <v>62</v>
      </c>
      <c r="H20" s="54">
        <v>94</v>
      </c>
      <c r="I20" s="54">
        <v>99</v>
      </c>
      <c r="J20" s="54">
        <v>100</v>
      </c>
      <c r="K20" s="54">
        <v>100</v>
      </c>
      <c r="L20" s="54">
        <v>100</v>
      </c>
      <c r="M20" s="54">
        <v>100</v>
      </c>
      <c r="N20" s="54">
        <v>100</v>
      </c>
      <c r="O20" s="55">
        <v>99</v>
      </c>
      <c r="P20" s="54">
        <v>100</v>
      </c>
      <c r="Q20" s="54">
        <v>99</v>
      </c>
    </row>
    <row r="21" spans="1:17">
      <c r="B21" s="56">
        <v>0</v>
      </c>
      <c r="C21" s="54">
        <v>0</v>
      </c>
      <c r="D21" s="54">
        <v>42</v>
      </c>
      <c r="E21" s="54">
        <v>0</v>
      </c>
      <c r="F21" s="54">
        <v>5</v>
      </c>
      <c r="G21" s="54">
        <v>70</v>
      </c>
      <c r="H21" s="54">
        <v>99</v>
      </c>
      <c r="I21" s="54">
        <v>100</v>
      </c>
      <c r="J21" s="54">
        <v>100</v>
      </c>
      <c r="K21" s="54">
        <v>100</v>
      </c>
      <c r="L21" s="54">
        <v>100</v>
      </c>
      <c r="M21" s="54">
        <v>100</v>
      </c>
      <c r="N21" s="54">
        <v>100</v>
      </c>
      <c r="O21" s="55">
        <v>100</v>
      </c>
      <c r="P21" s="54">
        <v>100</v>
      </c>
      <c r="Q21" s="54">
        <v>100</v>
      </c>
    </row>
    <row r="22" spans="1:17" ht="30">
      <c r="B22" s="56" t="s">
        <v>56</v>
      </c>
      <c r="C22" s="54">
        <v>0</v>
      </c>
      <c r="D22" s="54">
        <v>42</v>
      </c>
      <c r="E22" s="54">
        <v>0</v>
      </c>
      <c r="F22" s="54">
        <v>0</v>
      </c>
      <c r="G22" s="54">
        <v>0</v>
      </c>
      <c r="H22" s="54">
        <v>1</v>
      </c>
      <c r="I22" s="54">
        <v>0</v>
      </c>
      <c r="J22" s="54">
        <v>0</v>
      </c>
      <c r="K22" s="54">
        <v>2</v>
      </c>
      <c r="L22" s="54">
        <v>11</v>
      </c>
      <c r="M22" s="54">
        <v>20</v>
      </c>
      <c r="N22" s="54">
        <v>22</v>
      </c>
      <c r="O22" s="55">
        <v>24</v>
      </c>
      <c r="P22" s="54">
        <v>59</v>
      </c>
      <c r="Q22" s="54">
        <v>56</v>
      </c>
    </row>
    <row r="24" spans="1:17">
      <c r="A24" s="174" t="s">
        <v>57</v>
      </c>
    </row>
    <row r="25" spans="1:17">
      <c r="B25" s="51" t="s">
        <v>55</v>
      </c>
      <c r="C25" s="52">
        <v>2022</v>
      </c>
      <c r="D25" s="52">
        <v>2023</v>
      </c>
      <c r="E25" s="52">
        <v>2024</v>
      </c>
      <c r="F25" s="52">
        <v>2025</v>
      </c>
      <c r="G25" s="52">
        <v>2026</v>
      </c>
      <c r="H25" s="52">
        <v>2027</v>
      </c>
      <c r="I25" s="52">
        <v>2028</v>
      </c>
      <c r="J25" s="52">
        <v>2029</v>
      </c>
      <c r="K25" s="52">
        <v>2030</v>
      </c>
      <c r="L25" s="52">
        <v>2031</v>
      </c>
      <c r="M25" s="52">
        <v>2032</v>
      </c>
      <c r="N25" s="52">
        <v>2033</v>
      </c>
      <c r="O25" s="53">
        <v>2034</v>
      </c>
      <c r="P25" s="52">
        <v>2044</v>
      </c>
      <c r="Q25" s="52">
        <v>2054</v>
      </c>
    </row>
    <row r="26" spans="1:17">
      <c r="B26" s="51">
        <v>1</v>
      </c>
      <c r="C26" s="54">
        <v>100</v>
      </c>
      <c r="D26" s="54">
        <v>100</v>
      </c>
      <c r="E26" s="54">
        <v>100</v>
      </c>
      <c r="F26" s="54">
        <v>42</v>
      </c>
      <c r="G26" s="54">
        <v>77</v>
      </c>
      <c r="H26" s="54">
        <v>87</v>
      </c>
      <c r="I26" s="54">
        <v>87</v>
      </c>
      <c r="J26" s="54">
        <v>79</v>
      </c>
      <c r="K26" s="54">
        <v>81</v>
      </c>
      <c r="L26" s="54">
        <v>89</v>
      </c>
      <c r="M26" s="54">
        <v>91</v>
      </c>
      <c r="N26" s="54">
        <v>91</v>
      </c>
      <c r="O26" s="55">
        <v>90</v>
      </c>
      <c r="P26" s="54">
        <v>96</v>
      </c>
      <c r="Q26" s="54">
        <v>97</v>
      </c>
    </row>
    <row r="27" spans="1:17">
      <c r="B27" s="51">
        <v>0.95</v>
      </c>
      <c r="C27" s="54">
        <v>100</v>
      </c>
      <c r="D27" s="54">
        <v>100</v>
      </c>
      <c r="E27" s="54">
        <v>100</v>
      </c>
      <c r="F27" s="54">
        <v>45</v>
      </c>
      <c r="G27" s="54">
        <v>79</v>
      </c>
      <c r="H27" s="54">
        <v>90</v>
      </c>
      <c r="I27" s="54">
        <v>90</v>
      </c>
      <c r="J27" s="54">
        <v>85</v>
      </c>
      <c r="K27" s="54">
        <v>85</v>
      </c>
      <c r="L27" s="54">
        <v>92</v>
      </c>
      <c r="M27" s="54">
        <v>93</v>
      </c>
      <c r="N27" s="54">
        <v>93</v>
      </c>
      <c r="O27" s="55">
        <v>93</v>
      </c>
      <c r="P27" s="54">
        <v>97</v>
      </c>
      <c r="Q27" s="54">
        <v>97</v>
      </c>
    </row>
    <row r="28" spans="1:17">
      <c r="B28" s="51">
        <v>0.9</v>
      </c>
      <c r="C28" s="54">
        <v>100</v>
      </c>
      <c r="D28" s="54">
        <v>100</v>
      </c>
      <c r="E28" s="54">
        <v>100</v>
      </c>
      <c r="F28" s="54">
        <v>49</v>
      </c>
      <c r="G28" s="54">
        <v>80</v>
      </c>
      <c r="H28" s="54">
        <v>93</v>
      </c>
      <c r="I28" s="54">
        <v>92</v>
      </c>
      <c r="J28" s="54">
        <v>89</v>
      </c>
      <c r="K28" s="54">
        <v>89</v>
      </c>
      <c r="L28" s="54">
        <v>94</v>
      </c>
      <c r="M28" s="54">
        <v>95</v>
      </c>
      <c r="N28" s="54">
        <v>95</v>
      </c>
      <c r="O28" s="55">
        <v>95</v>
      </c>
      <c r="P28" s="54">
        <v>98</v>
      </c>
      <c r="Q28" s="54">
        <v>98</v>
      </c>
    </row>
    <row r="29" spans="1:17">
      <c r="B29" s="51">
        <v>0.85</v>
      </c>
      <c r="C29" s="54">
        <v>100</v>
      </c>
      <c r="D29" s="54">
        <v>100</v>
      </c>
      <c r="E29" s="54">
        <v>100</v>
      </c>
      <c r="F29" s="54">
        <v>53</v>
      </c>
      <c r="G29" s="54">
        <v>82</v>
      </c>
      <c r="H29" s="54">
        <v>94</v>
      </c>
      <c r="I29" s="54">
        <v>94</v>
      </c>
      <c r="J29" s="54">
        <v>92</v>
      </c>
      <c r="K29" s="54">
        <v>92</v>
      </c>
      <c r="L29" s="54">
        <v>96</v>
      </c>
      <c r="M29" s="54">
        <v>96</v>
      </c>
      <c r="N29" s="54">
        <v>97</v>
      </c>
      <c r="O29" s="55">
        <v>97</v>
      </c>
      <c r="P29" s="54">
        <v>98</v>
      </c>
      <c r="Q29" s="54">
        <v>99</v>
      </c>
    </row>
    <row r="30" spans="1:17">
      <c r="B30" s="51">
        <v>0.8</v>
      </c>
      <c r="C30" s="54">
        <v>100</v>
      </c>
      <c r="D30" s="54">
        <v>100</v>
      </c>
      <c r="E30" s="54">
        <v>100</v>
      </c>
      <c r="F30" s="54">
        <v>57</v>
      </c>
      <c r="G30" s="54">
        <v>83</v>
      </c>
      <c r="H30" s="54">
        <v>95</v>
      </c>
      <c r="I30" s="54">
        <v>96</v>
      </c>
      <c r="J30" s="54">
        <v>94</v>
      </c>
      <c r="K30" s="54">
        <v>95</v>
      </c>
      <c r="L30" s="54">
        <v>97</v>
      </c>
      <c r="M30" s="54">
        <v>97</v>
      </c>
      <c r="N30" s="54">
        <v>98</v>
      </c>
      <c r="O30" s="55">
        <v>98</v>
      </c>
      <c r="P30" s="54">
        <v>99</v>
      </c>
      <c r="Q30" s="54">
        <v>99</v>
      </c>
    </row>
    <row r="31" spans="1:17">
      <c r="B31" s="51">
        <v>0.75</v>
      </c>
      <c r="C31" s="54">
        <v>100</v>
      </c>
      <c r="D31" s="54">
        <v>100</v>
      </c>
      <c r="E31" s="54">
        <v>100</v>
      </c>
      <c r="F31" s="54">
        <v>62</v>
      </c>
      <c r="G31" s="54">
        <v>85</v>
      </c>
      <c r="H31" s="54">
        <v>96</v>
      </c>
      <c r="I31" s="54">
        <v>97</v>
      </c>
      <c r="J31" s="54">
        <v>96</v>
      </c>
      <c r="K31" s="54">
        <v>97</v>
      </c>
      <c r="L31" s="54">
        <v>98</v>
      </c>
      <c r="M31" s="54">
        <v>99</v>
      </c>
      <c r="N31" s="54">
        <v>99</v>
      </c>
      <c r="O31" s="55">
        <v>99</v>
      </c>
      <c r="P31" s="54">
        <v>99</v>
      </c>
      <c r="Q31" s="54">
        <v>99</v>
      </c>
    </row>
    <row r="32" spans="1:17">
      <c r="B32" s="51">
        <v>0.7</v>
      </c>
      <c r="C32" s="54">
        <v>100</v>
      </c>
      <c r="D32" s="54">
        <v>100</v>
      </c>
      <c r="E32" s="54">
        <v>100</v>
      </c>
      <c r="F32" s="54">
        <v>69</v>
      </c>
      <c r="G32" s="54">
        <v>87</v>
      </c>
      <c r="H32" s="54">
        <v>97</v>
      </c>
      <c r="I32" s="54">
        <v>98</v>
      </c>
      <c r="J32" s="54">
        <v>98</v>
      </c>
      <c r="K32" s="54">
        <v>98</v>
      </c>
      <c r="L32" s="54">
        <v>99</v>
      </c>
      <c r="M32" s="54">
        <v>99</v>
      </c>
      <c r="N32" s="54">
        <v>99</v>
      </c>
      <c r="O32" s="55">
        <v>99</v>
      </c>
      <c r="P32" s="54">
        <v>99</v>
      </c>
      <c r="Q32" s="54">
        <v>99</v>
      </c>
    </row>
    <row r="33" spans="1:17">
      <c r="B33" s="51">
        <v>0.65</v>
      </c>
      <c r="C33" s="54">
        <v>100</v>
      </c>
      <c r="D33" s="54">
        <v>100</v>
      </c>
      <c r="E33" s="54">
        <v>100</v>
      </c>
      <c r="F33" s="54">
        <v>75</v>
      </c>
      <c r="G33" s="54">
        <v>90</v>
      </c>
      <c r="H33" s="54">
        <v>98</v>
      </c>
      <c r="I33" s="54">
        <v>99</v>
      </c>
      <c r="J33" s="54">
        <v>99</v>
      </c>
      <c r="K33" s="54">
        <v>99</v>
      </c>
      <c r="L33" s="54">
        <v>99</v>
      </c>
      <c r="M33" s="54">
        <v>100</v>
      </c>
      <c r="N33" s="54">
        <v>100</v>
      </c>
      <c r="O33" s="55">
        <v>100</v>
      </c>
      <c r="P33" s="54">
        <v>99</v>
      </c>
      <c r="Q33" s="54">
        <v>99</v>
      </c>
    </row>
    <row r="34" spans="1:17">
      <c r="B34" s="51">
        <v>0.6</v>
      </c>
      <c r="C34" s="54">
        <v>100</v>
      </c>
      <c r="D34" s="54">
        <v>100</v>
      </c>
      <c r="E34" s="54">
        <v>100</v>
      </c>
      <c r="F34" s="54">
        <v>81</v>
      </c>
      <c r="G34" s="54">
        <v>92</v>
      </c>
      <c r="H34" s="54">
        <v>98</v>
      </c>
      <c r="I34" s="54">
        <v>99</v>
      </c>
      <c r="J34" s="54">
        <v>100</v>
      </c>
      <c r="K34" s="54">
        <v>100</v>
      </c>
      <c r="L34" s="54">
        <v>100</v>
      </c>
      <c r="M34" s="54">
        <v>100</v>
      </c>
      <c r="N34" s="54">
        <v>100</v>
      </c>
      <c r="O34" s="55">
        <v>100</v>
      </c>
      <c r="P34" s="54">
        <v>99</v>
      </c>
      <c r="Q34" s="54">
        <v>99</v>
      </c>
    </row>
    <row r="35" spans="1:17">
      <c r="B35" s="51">
        <v>0.55000000000000004</v>
      </c>
      <c r="C35" s="54">
        <v>100</v>
      </c>
      <c r="D35" s="54">
        <v>100</v>
      </c>
      <c r="E35" s="54">
        <v>100</v>
      </c>
      <c r="F35" s="54">
        <v>90</v>
      </c>
      <c r="G35" s="54">
        <v>96</v>
      </c>
      <c r="H35" s="54">
        <v>100</v>
      </c>
      <c r="I35" s="54">
        <v>100</v>
      </c>
      <c r="J35" s="54">
        <v>100</v>
      </c>
      <c r="K35" s="54">
        <v>100</v>
      </c>
      <c r="L35" s="54">
        <v>100</v>
      </c>
      <c r="M35" s="54">
        <v>100</v>
      </c>
      <c r="N35" s="54">
        <v>100</v>
      </c>
      <c r="O35" s="55">
        <v>100</v>
      </c>
      <c r="P35" s="54">
        <v>99</v>
      </c>
      <c r="Q35" s="54">
        <v>99</v>
      </c>
    </row>
    <row r="36" spans="1:17">
      <c r="B36" s="51">
        <v>0.5</v>
      </c>
      <c r="C36" s="54">
        <v>100</v>
      </c>
      <c r="D36" s="54">
        <v>100</v>
      </c>
      <c r="E36" s="54">
        <v>100</v>
      </c>
      <c r="F36" s="54">
        <v>99</v>
      </c>
      <c r="G36" s="54">
        <v>99</v>
      </c>
      <c r="H36" s="54">
        <v>100</v>
      </c>
      <c r="I36" s="54">
        <v>100</v>
      </c>
      <c r="J36" s="54">
        <v>100</v>
      </c>
      <c r="K36" s="54">
        <v>100</v>
      </c>
      <c r="L36" s="54">
        <v>100</v>
      </c>
      <c r="M36" s="54">
        <v>100</v>
      </c>
      <c r="N36" s="54">
        <v>100</v>
      </c>
      <c r="O36" s="55">
        <v>100</v>
      </c>
      <c r="P36" s="54">
        <v>100</v>
      </c>
      <c r="Q36" s="54">
        <v>100</v>
      </c>
    </row>
    <row r="37" spans="1:17">
      <c r="B37" s="56">
        <v>0.4</v>
      </c>
      <c r="C37" s="54">
        <v>100</v>
      </c>
      <c r="D37" s="54">
        <v>100</v>
      </c>
      <c r="E37" s="54">
        <v>100</v>
      </c>
      <c r="F37" s="54">
        <v>100</v>
      </c>
      <c r="G37" s="54">
        <v>100</v>
      </c>
      <c r="H37" s="54">
        <v>100</v>
      </c>
      <c r="I37" s="54">
        <v>100</v>
      </c>
      <c r="J37" s="54">
        <v>100</v>
      </c>
      <c r="K37" s="54">
        <v>100</v>
      </c>
      <c r="L37" s="54">
        <v>100</v>
      </c>
      <c r="M37" s="54">
        <v>100</v>
      </c>
      <c r="N37" s="54">
        <v>100</v>
      </c>
      <c r="O37" s="55">
        <v>100</v>
      </c>
      <c r="P37" s="54">
        <v>100</v>
      </c>
      <c r="Q37" s="54">
        <v>100</v>
      </c>
    </row>
    <row r="38" spans="1:17">
      <c r="B38" s="56">
        <v>0.3</v>
      </c>
      <c r="C38" s="54">
        <v>100</v>
      </c>
      <c r="D38" s="54">
        <v>100</v>
      </c>
      <c r="E38" s="54">
        <v>100</v>
      </c>
      <c r="F38" s="54">
        <v>100</v>
      </c>
      <c r="G38" s="54">
        <v>100</v>
      </c>
      <c r="H38" s="54">
        <v>100</v>
      </c>
      <c r="I38" s="54">
        <v>100</v>
      </c>
      <c r="J38" s="54">
        <v>100</v>
      </c>
      <c r="K38" s="54">
        <v>100</v>
      </c>
      <c r="L38" s="54">
        <v>100</v>
      </c>
      <c r="M38" s="54">
        <v>100</v>
      </c>
      <c r="N38" s="54">
        <v>100</v>
      </c>
      <c r="O38" s="55">
        <v>100</v>
      </c>
      <c r="P38" s="54">
        <v>100</v>
      </c>
      <c r="Q38" s="54">
        <v>100</v>
      </c>
    </row>
    <row r="39" spans="1:17">
      <c r="B39" s="56">
        <v>0.2</v>
      </c>
      <c r="C39" s="54">
        <v>100</v>
      </c>
      <c r="D39" s="54">
        <v>100</v>
      </c>
      <c r="E39" s="54">
        <v>100</v>
      </c>
      <c r="F39" s="54">
        <v>100</v>
      </c>
      <c r="G39" s="54">
        <v>100</v>
      </c>
      <c r="H39" s="54">
        <v>100</v>
      </c>
      <c r="I39" s="54">
        <v>100</v>
      </c>
      <c r="J39" s="54">
        <v>100</v>
      </c>
      <c r="K39" s="54">
        <v>100</v>
      </c>
      <c r="L39" s="54">
        <v>100</v>
      </c>
      <c r="M39" s="54">
        <v>100</v>
      </c>
      <c r="N39" s="54">
        <v>100</v>
      </c>
      <c r="O39" s="55">
        <v>100</v>
      </c>
      <c r="P39" s="54">
        <v>100</v>
      </c>
      <c r="Q39" s="54">
        <v>100</v>
      </c>
    </row>
    <row r="40" spans="1:17">
      <c r="B40" s="56">
        <v>0.1</v>
      </c>
      <c r="C40" s="54">
        <v>100</v>
      </c>
      <c r="D40" s="54">
        <v>100</v>
      </c>
      <c r="E40" s="54">
        <v>100</v>
      </c>
      <c r="F40" s="54">
        <v>100</v>
      </c>
      <c r="G40" s="54">
        <v>100</v>
      </c>
      <c r="H40" s="54">
        <v>100</v>
      </c>
      <c r="I40" s="54">
        <v>100</v>
      </c>
      <c r="J40" s="54">
        <v>100</v>
      </c>
      <c r="K40" s="54">
        <v>100</v>
      </c>
      <c r="L40" s="54">
        <v>100</v>
      </c>
      <c r="M40" s="54">
        <v>100</v>
      </c>
      <c r="N40" s="54">
        <v>100</v>
      </c>
      <c r="O40" s="55">
        <v>100</v>
      </c>
      <c r="P40" s="54">
        <v>100</v>
      </c>
      <c r="Q40" s="54">
        <v>100</v>
      </c>
    </row>
    <row r="41" spans="1:17">
      <c r="B41" s="56">
        <v>0</v>
      </c>
      <c r="C41" s="54">
        <v>100</v>
      </c>
      <c r="D41" s="54">
        <v>100</v>
      </c>
      <c r="E41" s="54">
        <v>100</v>
      </c>
      <c r="F41" s="54">
        <v>100</v>
      </c>
      <c r="G41" s="54">
        <v>100</v>
      </c>
      <c r="H41" s="54">
        <v>100</v>
      </c>
      <c r="I41" s="54">
        <v>100</v>
      </c>
      <c r="J41" s="54">
        <v>100</v>
      </c>
      <c r="K41" s="54">
        <v>100</v>
      </c>
      <c r="L41" s="54">
        <v>100</v>
      </c>
      <c r="M41" s="54">
        <v>100</v>
      </c>
      <c r="N41" s="54">
        <v>100</v>
      </c>
      <c r="O41" s="55">
        <v>100</v>
      </c>
      <c r="P41" s="54">
        <v>100</v>
      </c>
      <c r="Q41" s="54">
        <v>100</v>
      </c>
    </row>
    <row r="42" spans="1:17" ht="30">
      <c r="B42" s="56" t="s">
        <v>56</v>
      </c>
      <c r="C42" s="54">
        <v>100</v>
      </c>
      <c r="D42" s="54">
        <v>100</v>
      </c>
      <c r="E42" s="54">
        <v>100</v>
      </c>
      <c r="F42" s="54">
        <v>49</v>
      </c>
      <c r="G42" s="54">
        <v>76</v>
      </c>
      <c r="H42" s="54">
        <v>89</v>
      </c>
      <c r="I42" s="54">
        <v>89</v>
      </c>
      <c r="J42" s="54">
        <v>86</v>
      </c>
      <c r="K42" s="54">
        <v>86</v>
      </c>
      <c r="L42" s="54">
        <v>92</v>
      </c>
      <c r="M42" s="54">
        <v>93</v>
      </c>
      <c r="N42" s="54">
        <v>93</v>
      </c>
      <c r="O42" s="55">
        <v>93</v>
      </c>
      <c r="P42" s="54">
        <v>97</v>
      </c>
      <c r="Q42" s="54">
        <v>98</v>
      </c>
    </row>
    <row r="44" spans="1:17">
      <c r="A44" t="s">
        <v>58</v>
      </c>
    </row>
  </sheetData>
  <phoneticPr fontId="2"/>
  <conditionalFormatting sqref="C6:Q22">
    <cfRule type="colorScale" priority="2">
      <colorScale>
        <cfvo type="min"/>
        <cfvo type="max"/>
        <color theme="0"/>
        <color theme="7"/>
      </colorScale>
    </cfRule>
  </conditionalFormatting>
  <conditionalFormatting sqref="C26:Q42">
    <cfRule type="colorScale" priority="1">
      <colorScale>
        <cfvo type="min"/>
        <cfvo type="max"/>
        <color theme="0"/>
        <color theme="7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035B-27C4-4793-B970-B4D773A41D86}">
  <dimension ref="A1:Q62"/>
  <sheetViews>
    <sheetView showGridLines="0" zoomScale="90" zoomScaleNormal="90" workbookViewId="0">
      <selection activeCell="F20" sqref="F20"/>
    </sheetView>
  </sheetViews>
  <sheetFormatPr defaultRowHeight="18.75"/>
  <cols>
    <col min="2" max="2" width="9.75" customWidth="1"/>
  </cols>
  <sheetData>
    <row r="1" spans="1:17">
      <c r="A1" t="s">
        <v>0</v>
      </c>
    </row>
    <row r="2" spans="1:17" ht="25.5">
      <c r="O2" s="302"/>
    </row>
    <row r="3" spans="1:17" s="174" customFormat="1" ht="13.5">
      <c r="A3" s="174" t="s">
        <v>59</v>
      </c>
    </row>
    <row r="4" spans="1:17" s="174" customFormat="1" ht="13.5">
      <c r="A4" s="174" t="s">
        <v>60</v>
      </c>
    </row>
    <row r="5" spans="1:17">
      <c r="B5" s="216" t="s">
        <v>55</v>
      </c>
      <c r="C5" s="217">
        <v>2022</v>
      </c>
      <c r="D5" s="217">
        <v>2023</v>
      </c>
      <c r="E5" s="217">
        <v>2024</v>
      </c>
      <c r="F5" s="217">
        <v>2025</v>
      </c>
      <c r="G5" s="217">
        <v>2026</v>
      </c>
      <c r="H5" s="217">
        <v>2027</v>
      </c>
      <c r="I5" s="217">
        <v>2028</v>
      </c>
      <c r="J5" s="217">
        <v>2029</v>
      </c>
      <c r="K5" s="217">
        <v>2030</v>
      </c>
      <c r="L5" s="217">
        <v>2031</v>
      </c>
      <c r="M5" s="217">
        <v>2032</v>
      </c>
      <c r="N5" s="217">
        <v>2033</v>
      </c>
      <c r="O5" s="218">
        <v>2034</v>
      </c>
      <c r="P5" s="217">
        <v>2044</v>
      </c>
      <c r="Q5" s="217">
        <v>2054</v>
      </c>
    </row>
    <row r="6" spans="1:17">
      <c r="B6" s="307">
        <v>1</v>
      </c>
      <c r="C6" s="251">
        <v>9.9</v>
      </c>
      <c r="D6" s="251">
        <v>10.7</v>
      </c>
      <c r="E6" s="251">
        <v>4.8</v>
      </c>
      <c r="F6" s="251">
        <v>3.3</v>
      </c>
      <c r="G6" s="251">
        <v>4.8</v>
      </c>
      <c r="H6" s="251">
        <v>5.6</v>
      </c>
      <c r="I6" s="251">
        <v>5.2</v>
      </c>
      <c r="J6" s="251">
        <v>4.5999999999999996</v>
      </c>
      <c r="K6" s="251">
        <v>5</v>
      </c>
      <c r="L6" s="251">
        <v>6.4</v>
      </c>
      <c r="M6" s="251">
        <v>7</v>
      </c>
      <c r="N6" s="251">
        <v>6.9</v>
      </c>
      <c r="O6" s="252">
        <v>6.9</v>
      </c>
      <c r="P6" s="251">
        <v>10.6</v>
      </c>
      <c r="Q6" s="251">
        <v>10.3</v>
      </c>
    </row>
    <row r="7" spans="1:17">
      <c r="B7" s="216">
        <v>0.95</v>
      </c>
      <c r="C7" s="251">
        <v>9.9</v>
      </c>
      <c r="D7" s="251">
        <v>10.7</v>
      </c>
      <c r="E7" s="251">
        <v>4.8</v>
      </c>
      <c r="F7" s="251">
        <v>3.4</v>
      </c>
      <c r="G7" s="253">
        <v>5</v>
      </c>
      <c r="H7" s="251">
        <v>5.9</v>
      </c>
      <c r="I7" s="251">
        <v>5.6</v>
      </c>
      <c r="J7" s="251">
        <v>5</v>
      </c>
      <c r="K7" s="251">
        <v>5.4</v>
      </c>
      <c r="L7" s="251">
        <v>6.9</v>
      </c>
      <c r="M7" s="251">
        <v>7.6</v>
      </c>
      <c r="N7" s="251">
        <v>7.6</v>
      </c>
      <c r="O7" s="252">
        <v>7.7</v>
      </c>
      <c r="P7" s="251">
        <v>11.5</v>
      </c>
      <c r="Q7" s="251">
        <v>11.1</v>
      </c>
    </row>
    <row r="8" spans="1:17">
      <c r="B8" s="216">
        <v>0.9</v>
      </c>
      <c r="C8" s="251">
        <v>9.9</v>
      </c>
      <c r="D8" s="251">
        <v>10.7</v>
      </c>
      <c r="E8" s="251">
        <v>4.8</v>
      </c>
      <c r="F8" s="251">
        <v>3.5</v>
      </c>
      <c r="G8" s="251">
        <v>5.2</v>
      </c>
      <c r="H8" s="251">
        <v>6.3</v>
      </c>
      <c r="I8" s="251">
        <v>6</v>
      </c>
      <c r="J8" s="251">
        <v>5.5</v>
      </c>
      <c r="K8" s="251">
        <v>5.9</v>
      </c>
      <c r="L8" s="251">
        <v>7.5</v>
      </c>
      <c r="M8" s="251">
        <v>8.4</v>
      </c>
      <c r="N8" s="251">
        <v>8.5</v>
      </c>
      <c r="O8" s="252">
        <v>8.5</v>
      </c>
      <c r="P8" s="251">
        <v>12.3</v>
      </c>
      <c r="Q8" s="251">
        <v>12</v>
      </c>
    </row>
    <row r="9" spans="1:17">
      <c r="B9" s="216">
        <v>0.85</v>
      </c>
      <c r="C9" s="251">
        <v>9.9</v>
      </c>
      <c r="D9" s="251">
        <v>10.7</v>
      </c>
      <c r="E9" s="251">
        <v>4.8</v>
      </c>
      <c r="F9" s="251">
        <v>3.7</v>
      </c>
      <c r="G9" s="251">
        <v>5.4</v>
      </c>
      <c r="H9" s="251">
        <v>6.7</v>
      </c>
      <c r="I9" s="251">
        <v>6.5</v>
      </c>
      <c r="J9" s="251">
        <v>6.1</v>
      </c>
      <c r="K9" s="251">
        <v>6.4</v>
      </c>
      <c r="L9" s="251">
        <v>8.1</v>
      </c>
      <c r="M9" s="251">
        <v>9.1999999999999993</v>
      </c>
      <c r="N9" s="251">
        <v>9.4</v>
      </c>
      <c r="O9" s="252">
        <v>9.4</v>
      </c>
      <c r="P9" s="251">
        <v>13.3</v>
      </c>
      <c r="Q9" s="251">
        <v>12.9</v>
      </c>
    </row>
    <row r="10" spans="1:17">
      <c r="B10" s="216">
        <v>0.8</v>
      </c>
      <c r="C10" s="251">
        <v>9.9</v>
      </c>
      <c r="D10" s="251">
        <v>10.7</v>
      </c>
      <c r="E10" s="251">
        <v>4.8</v>
      </c>
      <c r="F10" s="251">
        <v>3.8</v>
      </c>
      <c r="G10" s="251">
        <v>5.7</v>
      </c>
      <c r="H10" s="251">
        <v>7.1</v>
      </c>
      <c r="I10" s="251">
        <v>7.1</v>
      </c>
      <c r="J10" s="251">
        <v>6.7</v>
      </c>
      <c r="K10" s="251">
        <v>7</v>
      </c>
      <c r="L10" s="251">
        <v>8.8000000000000007</v>
      </c>
      <c r="M10" s="251">
        <v>10</v>
      </c>
      <c r="N10" s="251">
        <v>10.4</v>
      </c>
      <c r="O10" s="252">
        <v>10.4</v>
      </c>
      <c r="P10" s="251">
        <v>14.2</v>
      </c>
      <c r="Q10" s="251">
        <v>13.8</v>
      </c>
    </row>
    <row r="11" spans="1:17">
      <c r="B11" s="216">
        <v>0.75</v>
      </c>
      <c r="C11" s="251">
        <v>9.9</v>
      </c>
      <c r="D11" s="251">
        <v>10.7</v>
      </c>
      <c r="E11" s="251">
        <v>4.8</v>
      </c>
      <c r="F11" s="253">
        <v>4</v>
      </c>
      <c r="G11" s="251">
        <v>6</v>
      </c>
      <c r="H11" s="251">
        <v>7.6</v>
      </c>
      <c r="I11" s="251">
        <v>7.8</v>
      </c>
      <c r="J11" s="251">
        <v>7.4</v>
      </c>
      <c r="K11" s="251">
        <v>7.6</v>
      </c>
      <c r="L11" s="251">
        <v>9.6</v>
      </c>
      <c r="M11" s="251">
        <v>11</v>
      </c>
      <c r="N11" s="251">
        <v>11.5</v>
      </c>
      <c r="O11" s="252">
        <v>11.6</v>
      </c>
      <c r="P11" s="251">
        <v>15.2</v>
      </c>
      <c r="Q11" s="251">
        <v>14.8</v>
      </c>
    </row>
    <row r="12" spans="1:17">
      <c r="B12" s="216">
        <v>0.7</v>
      </c>
      <c r="C12" s="251">
        <v>9.9</v>
      </c>
      <c r="D12" s="251">
        <v>10.7</v>
      </c>
      <c r="E12" s="251">
        <v>4.8</v>
      </c>
      <c r="F12" s="251">
        <v>4.0999999999999996</v>
      </c>
      <c r="G12" s="251">
        <v>6.3</v>
      </c>
      <c r="H12" s="251">
        <v>8.1999999999999993</v>
      </c>
      <c r="I12" s="251">
        <v>8.5</v>
      </c>
      <c r="J12" s="251">
        <v>8.1999999999999993</v>
      </c>
      <c r="K12" s="251">
        <v>8.4</v>
      </c>
      <c r="L12" s="251">
        <v>10.4</v>
      </c>
      <c r="M12" s="251">
        <v>12.1</v>
      </c>
      <c r="N12" s="251">
        <v>12.7</v>
      </c>
      <c r="O12" s="252">
        <v>12.9</v>
      </c>
      <c r="P12" s="251">
        <v>16.3</v>
      </c>
      <c r="Q12" s="251">
        <v>15.9</v>
      </c>
    </row>
    <row r="13" spans="1:17">
      <c r="B13" s="216">
        <v>0.65</v>
      </c>
      <c r="C13" s="251">
        <v>9.9</v>
      </c>
      <c r="D13" s="251">
        <v>10.7</v>
      </c>
      <c r="E13" s="251">
        <v>4.8</v>
      </c>
      <c r="F13" s="251">
        <v>4.3</v>
      </c>
      <c r="G13" s="251">
        <v>6.7</v>
      </c>
      <c r="H13" s="251">
        <v>8.8000000000000007</v>
      </c>
      <c r="I13" s="251">
        <v>9.3000000000000007</v>
      </c>
      <c r="J13" s="251">
        <v>9.1</v>
      </c>
      <c r="K13" s="251">
        <v>9.3000000000000007</v>
      </c>
      <c r="L13" s="251">
        <v>11.4</v>
      </c>
      <c r="M13" s="251">
        <v>13.3</v>
      </c>
      <c r="N13" s="251">
        <v>14</v>
      </c>
      <c r="O13" s="252">
        <v>14.2</v>
      </c>
      <c r="P13" s="251">
        <v>17.399999999999999</v>
      </c>
      <c r="Q13" s="251">
        <v>17</v>
      </c>
    </row>
    <row r="14" spans="1:17">
      <c r="B14" s="216">
        <v>0.6</v>
      </c>
      <c r="C14" s="251">
        <v>9.9</v>
      </c>
      <c r="D14" s="251">
        <v>10.7</v>
      </c>
      <c r="E14" s="251">
        <v>4.8</v>
      </c>
      <c r="F14" s="251">
        <v>4.5</v>
      </c>
      <c r="G14" s="251">
        <v>7</v>
      </c>
      <c r="H14" s="251">
        <v>9.5</v>
      </c>
      <c r="I14" s="251">
        <v>10.3</v>
      </c>
      <c r="J14" s="251">
        <v>10.1</v>
      </c>
      <c r="K14" s="251">
        <v>10.3</v>
      </c>
      <c r="L14" s="251">
        <v>12.5</v>
      </c>
      <c r="M14" s="251">
        <v>14.6</v>
      </c>
      <c r="N14" s="251">
        <v>15.4</v>
      </c>
      <c r="O14" s="252">
        <v>15.7</v>
      </c>
      <c r="P14" s="251">
        <v>18.7</v>
      </c>
      <c r="Q14" s="251">
        <v>18.2</v>
      </c>
    </row>
    <row r="15" spans="1:17">
      <c r="B15" s="216">
        <v>0.55000000000000004</v>
      </c>
      <c r="C15" s="251">
        <v>9.9</v>
      </c>
      <c r="D15" s="251">
        <v>10.7</v>
      </c>
      <c r="E15" s="251">
        <v>4.8</v>
      </c>
      <c r="F15" s="251">
        <v>4.5999999999999996</v>
      </c>
      <c r="G15" s="251">
        <v>7.4</v>
      </c>
      <c r="H15" s="251">
        <v>10.3</v>
      </c>
      <c r="I15" s="251">
        <v>11.3</v>
      </c>
      <c r="J15" s="251">
        <v>11.3</v>
      </c>
      <c r="K15" s="251">
        <v>11.5</v>
      </c>
      <c r="L15" s="251">
        <v>13.8</v>
      </c>
      <c r="M15" s="251">
        <v>15.9</v>
      </c>
      <c r="N15" s="251">
        <v>16.899999999999999</v>
      </c>
      <c r="O15" s="252">
        <v>17.2</v>
      </c>
      <c r="P15" s="251">
        <v>20.100000000000001</v>
      </c>
      <c r="Q15" s="251">
        <v>19.5</v>
      </c>
    </row>
    <row r="16" spans="1:17">
      <c r="B16" s="216">
        <v>0.5</v>
      </c>
      <c r="C16" s="251">
        <v>9.9</v>
      </c>
      <c r="D16" s="251">
        <v>10.7</v>
      </c>
      <c r="E16" s="251">
        <v>4.8</v>
      </c>
      <c r="F16" s="251">
        <v>4.8</v>
      </c>
      <c r="G16" s="251">
        <v>7.9</v>
      </c>
      <c r="H16" s="251">
        <v>11.2</v>
      </c>
      <c r="I16" s="251">
        <v>12.5</v>
      </c>
      <c r="J16" s="251">
        <v>12.7</v>
      </c>
      <c r="K16" s="251">
        <v>13</v>
      </c>
      <c r="L16" s="251">
        <v>15.2</v>
      </c>
      <c r="M16" s="251">
        <v>17.5</v>
      </c>
      <c r="N16" s="251">
        <v>18.399999999999999</v>
      </c>
      <c r="O16" s="252">
        <v>18.7</v>
      </c>
      <c r="P16" s="251">
        <v>21.7</v>
      </c>
      <c r="Q16" s="251">
        <v>21</v>
      </c>
    </row>
    <row r="17" spans="1:17">
      <c r="B17" s="219">
        <v>0.4</v>
      </c>
      <c r="C17" s="251">
        <v>9.9</v>
      </c>
      <c r="D17" s="251">
        <v>10.7</v>
      </c>
      <c r="E17" s="251">
        <v>4.8</v>
      </c>
      <c r="F17" s="251">
        <v>5.2</v>
      </c>
      <c r="G17" s="251">
        <v>8.8000000000000007</v>
      </c>
      <c r="H17" s="251">
        <v>13.2</v>
      </c>
      <c r="I17" s="251">
        <v>15.5</v>
      </c>
      <c r="J17" s="251">
        <v>16.2</v>
      </c>
      <c r="K17" s="251">
        <v>16.600000000000001</v>
      </c>
      <c r="L17" s="251">
        <v>18.7</v>
      </c>
      <c r="M17" s="251">
        <v>20.9</v>
      </c>
      <c r="N17" s="251">
        <v>21.5</v>
      </c>
      <c r="O17" s="252">
        <v>21.5</v>
      </c>
      <c r="P17" s="251">
        <v>25.3</v>
      </c>
      <c r="Q17" s="251">
        <v>24.5</v>
      </c>
    </row>
    <row r="18" spans="1:17">
      <c r="B18" s="219">
        <v>0.3</v>
      </c>
      <c r="C18" s="251">
        <v>9.9</v>
      </c>
      <c r="D18" s="251">
        <v>10.7</v>
      </c>
      <c r="E18" s="251">
        <v>4.8</v>
      </c>
      <c r="F18" s="251">
        <v>5.6</v>
      </c>
      <c r="G18" s="251">
        <v>10</v>
      </c>
      <c r="H18" s="251">
        <v>15.7</v>
      </c>
      <c r="I18" s="251">
        <v>19.399999999999999</v>
      </c>
      <c r="J18" s="251">
        <v>20.9</v>
      </c>
      <c r="K18" s="251">
        <v>21.6</v>
      </c>
      <c r="L18" s="251">
        <v>23.4</v>
      </c>
      <c r="M18" s="251">
        <v>24.9</v>
      </c>
      <c r="N18" s="251">
        <v>24.6</v>
      </c>
      <c r="O18" s="252">
        <v>23.6</v>
      </c>
      <c r="P18" s="251">
        <v>29.7</v>
      </c>
      <c r="Q18" s="251">
        <v>29.4</v>
      </c>
    </row>
    <row r="19" spans="1:17">
      <c r="B19" s="219">
        <v>0.2</v>
      </c>
      <c r="C19" s="251">
        <v>9.9</v>
      </c>
      <c r="D19" s="251">
        <v>10.7</v>
      </c>
      <c r="E19" s="251">
        <v>4.8</v>
      </c>
      <c r="F19" s="251">
        <v>6.1</v>
      </c>
      <c r="G19" s="251">
        <v>11.2</v>
      </c>
      <c r="H19" s="251">
        <v>18.8</v>
      </c>
      <c r="I19" s="251">
        <v>24.6</v>
      </c>
      <c r="J19" s="251">
        <v>27.5</v>
      </c>
      <c r="K19" s="251">
        <v>29</v>
      </c>
      <c r="L19" s="251">
        <v>30.2</v>
      </c>
      <c r="M19" s="251">
        <v>30.3</v>
      </c>
      <c r="N19" s="251">
        <v>27.9</v>
      </c>
      <c r="O19" s="252">
        <v>24.7</v>
      </c>
      <c r="P19" s="251">
        <v>36</v>
      </c>
      <c r="Q19" s="251">
        <v>38.9</v>
      </c>
    </row>
    <row r="20" spans="1:17">
      <c r="B20" s="219">
        <v>0.1</v>
      </c>
      <c r="C20" s="251">
        <v>9.9</v>
      </c>
      <c r="D20" s="251">
        <v>10.7</v>
      </c>
      <c r="E20" s="251">
        <v>4.8</v>
      </c>
      <c r="F20" s="251">
        <v>6.6</v>
      </c>
      <c r="G20" s="251">
        <v>12.7</v>
      </c>
      <c r="H20" s="251">
        <v>22.6</v>
      </c>
      <c r="I20" s="251">
        <v>31.5</v>
      </c>
      <c r="J20" s="251">
        <v>36.9</v>
      </c>
      <c r="K20" s="251">
        <v>39.9</v>
      </c>
      <c r="L20" s="251">
        <v>40.6</v>
      </c>
      <c r="M20" s="251">
        <v>38.4</v>
      </c>
      <c r="N20" s="251">
        <v>32.799999999999997</v>
      </c>
      <c r="O20" s="252">
        <v>26.6</v>
      </c>
      <c r="P20" s="251">
        <v>49.9</v>
      </c>
      <c r="Q20" s="251">
        <v>59</v>
      </c>
    </row>
    <row r="21" spans="1:17">
      <c r="B21" s="308">
        <v>0</v>
      </c>
      <c r="C21" s="251">
        <v>9.9</v>
      </c>
      <c r="D21" s="251">
        <v>10.7</v>
      </c>
      <c r="E21" s="251">
        <v>4.8</v>
      </c>
      <c r="F21" s="251">
        <v>7.1</v>
      </c>
      <c r="G21" s="251">
        <v>14.3</v>
      </c>
      <c r="H21" s="251">
        <v>27.3</v>
      </c>
      <c r="I21" s="251">
        <v>40.799999999999997</v>
      </c>
      <c r="J21" s="251">
        <v>50.6</v>
      </c>
      <c r="K21" s="251">
        <v>56.7</v>
      </c>
      <c r="L21" s="251">
        <v>57.7</v>
      </c>
      <c r="M21" s="251">
        <v>53.1</v>
      </c>
      <c r="N21" s="251">
        <v>44.1</v>
      </c>
      <c r="O21" s="252">
        <v>34.299999999999997</v>
      </c>
      <c r="P21" s="251">
        <v>80.3</v>
      </c>
      <c r="Q21" s="251">
        <v>64.8</v>
      </c>
    </row>
    <row r="22" spans="1:17">
      <c r="B22" s="219" t="s">
        <v>56</v>
      </c>
      <c r="C22" s="251">
        <v>9.9</v>
      </c>
      <c r="D22" s="251">
        <v>10.7</v>
      </c>
      <c r="E22" s="251">
        <v>4.8</v>
      </c>
      <c r="F22" s="251">
        <v>3.5</v>
      </c>
      <c r="G22" s="251">
        <v>4.9000000000000004</v>
      </c>
      <c r="H22" s="251">
        <v>5.8</v>
      </c>
      <c r="I22" s="251">
        <v>5.6</v>
      </c>
      <c r="J22" s="251">
        <v>5.2</v>
      </c>
      <c r="K22" s="251">
        <v>5.6</v>
      </c>
      <c r="L22" s="251">
        <v>7.1</v>
      </c>
      <c r="M22" s="251">
        <v>8</v>
      </c>
      <c r="N22" s="251">
        <v>8.1</v>
      </c>
      <c r="O22" s="252">
        <v>8.1999999999999993</v>
      </c>
      <c r="P22" s="251">
        <v>12.3</v>
      </c>
      <c r="Q22" s="251">
        <v>11.9</v>
      </c>
    </row>
    <row r="24" spans="1:17" s="174" customFormat="1" ht="13.5">
      <c r="A24" s="174" t="s">
        <v>61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</row>
    <row r="25" spans="1:17">
      <c r="B25" s="51" t="s">
        <v>55</v>
      </c>
      <c r="C25" s="52">
        <v>2022</v>
      </c>
      <c r="D25" s="52">
        <v>2023</v>
      </c>
      <c r="E25" s="52">
        <v>2024</v>
      </c>
      <c r="F25" s="52">
        <v>2025</v>
      </c>
      <c r="G25" s="52">
        <v>2026</v>
      </c>
      <c r="H25" s="52">
        <v>2027</v>
      </c>
      <c r="I25" s="52">
        <v>2028</v>
      </c>
      <c r="J25" s="52">
        <v>2029</v>
      </c>
      <c r="K25" s="52">
        <v>2030</v>
      </c>
      <c r="L25" s="52">
        <v>2031</v>
      </c>
      <c r="M25" s="52">
        <v>2032</v>
      </c>
      <c r="N25" s="52">
        <v>2033</v>
      </c>
      <c r="O25" s="53">
        <v>2034</v>
      </c>
      <c r="P25" s="52">
        <v>2044</v>
      </c>
      <c r="Q25" s="52">
        <v>2054</v>
      </c>
    </row>
    <row r="26" spans="1:17">
      <c r="B26" s="309">
        <v>1</v>
      </c>
      <c r="C26" s="57">
        <v>6.5</v>
      </c>
      <c r="D26" s="57">
        <v>7.9</v>
      </c>
      <c r="E26" s="57">
        <v>7.3</v>
      </c>
      <c r="F26" s="57">
        <v>6.2</v>
      </c>
      <c r="G26" s="57">
        <v>7.7</v>
      </c>
      <c r="H26" s="57">
        <v>7.5</v>
      </c>
      <c r="I26" s="57">
        <v>7.6</v>
      </c>
      <c r="J26" s="57">
        <v>9.1999999999999993</v>
      </c>
      <c r="K26" s="57">
        <v>10.3</v>
      </c>
      <c r="L26" s="57">
        <v>11.3</v>
      </c>
      <c r="M26" s="57">
        <v>11.7</v>
      </c>
      <c r="N26" s="57">
        <v>12.3</v>
      </c>
      <c r="O26" s="254">
        <v>14.4</v>
      </c>
      <c r="P26" s="57">
        <v>19.899999999999999</v>
      </c>
      <c r="Q26" s="57">
        <v>19.8</v>
      </c>
    </row>
    <row r="27" spans="1:17">
      <c r="B27" s="51">
        <v>0.95</v>
      </c>
      <c r="C27" s="57">
        <v>6.5</v>
      </c>
      <c r="D27" s="57">
        <v>7.9</v>
      </c>
      <c r="E27" s="57">
        <v>7.1</v>
      </c>
      <c r="F27" s="57">
        <v>6.3</v>
      </c>
      <c r="G27" s="57">
        <v>7.6</v>
      </c>
      <c r="H27" s="57">
        <v>7.6</v>
      </c>
      <c r="I27" s="57">
        <v>7.7</v>
      </c>
      <c r="J27" s="57">
        <v>9.5</v>
      </c>
      <c r="K27" s="57">
        <v>10.6</v>
      </c>
      <c r="L27" s="57">
        <v>11.7</v>
      </c>
      <c r="M27" s="57">
        <v>12.1</v>
      </c>
      <c r="N27" s="57">
        <v>12.7</v>
      </c>
      <c r="O27" s="254">
        <v>14.8</v>
      </c>
      <c r="P27" s="57">
        <v>19.899999999999999</v>
      </c>
      <c r="Q27" s="57">
        <v>19.8</v>
      </c>
    </row>
    <row r="28" spans="1:17">
      <c r="B28" s="51">
        <v>0.9</v>
      </c>
      <c r="C28" s="57">
        <v>6.5</v>
      </c>
      <c r="D28" s="57">
        <v>7.9</v>
      </c>
      <c r="E28" s="57">
        <v>6.8</v>
      </c>
      <c r="F28" s="57">
        <v>6.3</v>
      </c>
      <c r="G28" s="57">
        <v>7.6</v>
      </c>
      <c r="H28" s="57">
        <v>7.7</v>
      </c>
      <c r="I28" s="57">
        <v>7.9</v>
      </c>
      <c r="J28" s="57">
        <v>9.6999999999999993</v>
      </c>
      <c r="K28" s="57">
        <v>10.9</v>
      </c>
      <c r="L28" s="57">
        <v>12</v>
      </c>
      <c r="M28" s="57">
        <v>12.5</v>
      </c>
      <c r="N28" s="57">
        <v>13.1</v>
      </c>
      <c r="O28" s="254">
        <v>15.1</v>
      </c>
      <c r="P28" s="57">
        <v>19.8</v>
      </c>
      <c r="Q28" s="57">
        <v>19.7</v>
      </c>
    </row>
    <row r="29" spans="1:17">
      <c r="B29" s="51">
        <v>0.85</v>
      </c>
      <c r="C29" s="57">
        <v>6.5</v>
      </c>
      <c r="D29" s="57">
        <v>7.9</v>
      </c>
      <c r="E29" s="57">
        <v>6.6</v>
      </c>
      <c r="F29" s="57">
        <v>6.3</v>
      </c>
      <c r="G29" s="57">
        <v>7.6</v>
      </c>
      <c r="H29" s="57">
        <v>7.8</v>
      </c>
      <c r="I29" s="57">
        <v>8.1</v>
      </c>
      <c r="J29" s="57">
        <v>9.9</v>
      </c>
      <c r="K29" s="57">
        <v>11.1</v>
      </c>
      <c r="L29" s="57">
        <v>12.3</v>
      </c>
      <c r="M29" s="57">
        <v>12.9</v>
      </c>
      <c r="N29" s="57">
        <v>13.4</v>
      </c>
      <c r="O29" s="254">
        <v>15.3</v>
      </c>
      <c r="P29" s="57">
        <v>19.7</v>
      </c>
      <c r="Q29" s="57">
        <v>19.5</v>
      </c>
    </row>
    <row r="30" spans="1:17">
      <c r="B30" s="51">
        <v>0.8</v>
      </c>
      <c r="C30" s="57">
        <v>6.5</v>
      </c>
      <c r="D30" s="57">
        <v>7.9</v>
      </c>
      <c r="E30" s="57">
        <v>6.3</v>
      </c>
      <c r="F30" s="57">
        <v>6.3</v>
      </c>
      <c r="G30" s="57">
        <v>7.5</v>
      </c>
      <c r="H30" s="57">
        <v>7.9</v>
      </c>
      <c r="I30" s="57">
        <v>8.3000000000000007</v>
      </c>
      <c r="J30" s="57">
        <v>10</v>
      </c>
      <c r="K30" s="57">
        <v>11.4</v>
      </c>
      <c r="L30" s="57">
        <v>12.6</v>
      </c>
      <c r="M30" s="57">
        <v>13.3</v>
      </c>
      <c r="N30" s="57">
        <v>13.8</v>
      </c>
      <c r="O30" s="254">
        <v>15.5</v>
      </c>
      <c r="P30" s="57">
        <v>19.399999999999999</v>
      </c>
      <c r="Q30" s="57">
        <v>19.3</v>
      </c>
    </row>
    <row r="31" spans="1:17">
      <c r="B31" s="51">
        <v>0.75</v>
      </c>
      <c r="C31" s="57">
        <v>6.5</v>
      </c>
      <c r="D31" s="57">
        <v>7.9</v>
      </c>
      <c r="E31" s="57">
        <v>6</v>
      </c>
      <c r="F31" s="57">
        <v>6.2</v>
      </c>
      <c r="G31" s="57">
        <v>7.4</v>
      </c>
      <c r="H31" s="57">
        <v>8</v>
      </c>
      <c r="I31" s="57">
        <v>8.4</v>
      </c>
      <c r="J31" s="57">
        <v>10.199999999999999</v>
      </c>
      <c r="K31" s="57">
        <v>11.5</v>
      </c>
      <c r="L31" s="57">
        <v>12.8</v>
      </c>
      <c r="M31" s="57">
        <v>13.6</v>
      </c>
      <c r="N31" s="57">
        <v>14</v>
      </c>
      <c r="O31" s="254">
        <v>15.6</v>
      </c>
      <c r="P31" s="57">
        <v>19.100000000000001</v>
      </c>
      <c r="Q31" s="57">
        <v>18.899999999999999</v>
      </c>
    </row>
    <row r="32" spans="1:17">
      <c r="B32" s="51">
        <v>0.7</v>
      </c>
      <c r="C32" s="57">
        <v>6.5</v>
      </c>
      <c r="D32" s="57">
        <v>7.9</v>
      </c>
      <c r="E32" s="57">
        <v>5.8</v>
      </c>
      <c r="F32" s="57">
        <v>6.2</v>
      </c>
      <c r="G32" s="57">
        <v>7.4</v>
      </c>
      <c r="H32" s="57">
        <v>8</v>
      </c>
      <c r="I32" s="57">
        <v>8.6</v>
      </c>
      <c r="J32" s="57">
        <v>10.3</v>
      </c>
      <c r="K32" s="57">
        <v>11.6</v>
      </c>
      <c r="L32" s="57">
        <v>13</v>
      </c>
      <c r="M32" s="57">
        <v>13.8</v>
      </c>
      <c r="N32" s="57">
        <v>14.2</v>
      </c>
      <c r="O32" s="254">
        <v>15.6</v>
      </c>
      <c r="P32" s="57">
        <v>18.600000000000001</v>
      </c>
      <c r="Q32" s="57">
        <v>18.399999999999999</v>
      </c>
    </row>
    <row r="33" spans="1:17">
      <c r="B33" s="51">
        <v>0.65</v>
      </c>
      <c r="C33" s="57">
        <v>6.5</v>
      </c>
      <c r="D33" s="57">
        <v>7.9</v>
      </c>
      <c r="E33" s="57">
        <v>5.5</v>
      </c>
      <c r="F33" s="57">
        <v>6.1</v>
      </c>
      <c r="G33" s="57">
        <v>7.3</v>
      </c>
      <c r="H33" s="57">
        <v>8.1</v>
      </c>
      <c r="I33" s="57">
        <v>8.6999999999999993</v>
      </c>
      <c r="J33" s="57">
        <v>10.3</v>
      </c>
      <c r="K33" s="57">
        <v>11.7</v>
      </c>
      <c r="L33" s="57">
        <v>13</v>
      </c>
      <c r="M33" s="57">
        <v>13.9</v>
      </c>
      <c r="N33" s="57">
        <v>14.2</v>
      </c>
      <c r="O33" s="254">
        <v>15.4</v>
      </c>
      <c r="P33" s="57">
        <v>18.100000000000001</v>
      </c>
      <c r="Q33" s="57">
        <v>17.899999999999999</v>
      </c>
    </row>
    <row r="34" spans="1:17">
      <c r="B34" s="51">
        <v>0.6</v>
      </c>
      <c r="C34" s="57">
        <v>6.5</v>
      </c>
      <c r="D34" s="57">
        <v>7.9</v>
      </c>
      <c r="E34" s="57">
        <v>5.0999999999999996</v>
      </c>
      <c r="F34" s="57">
        <v>5.9</v>
      </c>
      <c r="G34" s="57">
        <v>7.1</v>
      </c>
      <c r="H34" s="57">
        <v>8.1</v>
      </c>
      <c r="I34" s="57">
        <v>8.8000000000000007</v>
      </c>
      <c r="J34" s="57">
        <v>10.4</v>
      </c>
      <c r="K34" s="57">
        <v>11.7</v>
      </c>
      <c r="L34" s="57">
        <v>13</v>
      </c>
      <c r="M34" s="57">
        <v>13.9</v>
      </c>
      <c r="N34" s="57">
        <v>14.1</v>
      </c>
      <c r="O34" s="254">
        <v>15.2</v>
      </c>
      <c r="P34" s="57">
        <v>17.5</v>
      </c>
      <c r="Q34" s="57">
        <v>17.3</v>
      </c>
    </row>
    <row r="35" spans="1:17">
      <c r="B35" s="51">
        <v>0.55000000000000004</v>
      </c>
      <c r="C35" s="57">
        <v>6.5</v>
      </c>
      <c r="D35" s="57">
        <v>7.9</v>
      </c>
      <c r="E35" s="57">
        <v>4.8</v>
      </c>
      <c r="F35" s="57">
        <v>5.7</v>
      </c>
      <c r="G35" s="57">
        <v>7</v>
      </c>
      <c r="H35" s="57">
        <v>8.1</v>
      </c>
      <c r="I35" s="57">
        <v>8.8000000000000007</v>
      </c>
      <c r="J35" s="57">
        <v>10.3</v>
      </c>
      <c r="K35" s="57">
        <v>11.5</v>
      </c>
      <c r="L35" s="57">
        <v>12.8</v>
      </c>
      <c r="M35" s="57">
        <v>13.7</v>
      </c>
      <c r="N35" s="57">
        <v>13.9</v>
      </c>
      <c r="O35" s="254">
        <v>14.7</v>
      </c>
      <c r="P35" s="57">
        <v>15.1</v>
      </c>
      <c r="Q35" s="57">
        <v>16.899999999999999</v>
      </c>
    </row>
    <row r="36" spans="1:17">
      <c r="B36" s="51">
        <v>0.5</v>
      </c>
      <c r="C36" s="57">
        <v>6.5</v>
      </c>
      <c r="D36" s="57">
        <v>7.9</v>
      </c>
      <c r="E36" s="57">
        <v>4.5</v>
      </c>
      <c r="F36" s="57">
        <v>5.5</v>
      </c>
      <c r="G36" s="57">
        <v>6.8</v>
      </c>
      <c r="H36" s="57">
        <v>8</v>
      </c>
      <c r="I36" s="57">
        <v>8.9</v>
      </c>
      <c r="J36" s="57">
        <v>10.199999999999999</v>
      </c>
      <c r="K36" s="57">
        <v>11.3</v>
      </c>
      <c r="L36" s="57">
        <v>12.5</v>
      </c>
      <c r="M36" s="57">
        <v>13.3</v>
      </c>
      <c r="N36" s="57">
        <v>13.4</v>
      </c>
      <c r="O36" s="254">
        <v>14.1</v>
      </c>
      <c r="P36" s="57">
        <v>16.2</v>
      </c>
      <c r="Q36" s="57">
        <v>15.9</v>
      </c>
    </row>
    <row r="37" spans="1:17">
      <c r="B37" s="51">
        <v>0.4</v>
      </c>
      <c r="C37" s="57">
        <v>6.5</v>
      </c>
      <c r="D37" s="57">
        <v>7.9</v>
      </c>
      <c r="E37" s="57">
        <v>3.7</v>
      </c>
      <c r="F37" s="57">
        <v>4.9000000000000004</v>
      </c>
      <c r="G37" s="57">
        <v>6.2</v>
      </c>
      <c r="H37" s="57">
        <v>7.7</v>
      </c>
      <c r="I37" s="57">
        <v>8.6999999999999993</v>
      </c>
      <c r="J37" s="57">
        <v>9.9</v>
      </c>
      <c r="K37" s="57">
        <v>10.6</v>
      </c>
      <c r="L37" s="57">
        <v>11.4</v>
      </c>
      <c r="M37" s="57">
        <v>12</v>
      </c>
      <c r="N37" s="57">
        <v>11.9</v>
      </c>
      <c r="O37" s="254">
        <v>12.3</v>
      </c>
      <c r="P37" s="57">
        <v>14.5</v>
      </c>
      <c r="Q37" s="57">
        <v>14.3</v>
      </c>
    </row>
    <row r="38" spans="1:17">
      <c r="B38" s="56">
        <v>0.3</v>
      </c>
      <c r="C38" s="57">
        <v>6.5</v>
      </c>
      <c r="D38" s="57">
        <v>7.9</v>
      </c>
      <c r="E38" s="57">
        <v>2.9</v>
      </c>
      <c r="F38" s="57">
        <v>4</v>
      </c>
      <c r="G38" s="57">
        <v>5.4</v>
      </c>
      <c r="H38" s="57">
        <v>7</v>
      </c>
      <c r="I38" s="57">
        <v>8.1999999999999993</v>
      </c>
      <c r="J38" s="57">
        <v>9.1</v>
      </c>
      <c r="K38" s="57">
        <v>9.5</v>
      </c>
      <c r="L38" s="57">
        <v>9.8000000000000007</v>
      </c>
      <c r="M38" s="57">
        <v>9.9</v>
      </c>
      <c r="N38" s="57">
        <v>9.6</v>
      </c>
      <c r="O38" s="254">
        <v>9.6</v>
      </c>
      <c r="P38" s="57">
        <v>12</v>
      </c>
      <c r="Q38" s="57">
        <v>12.3</v>
      </c>
    </row>
    <row r="39" spans="1:17">
      <c r="B39" s="51">
        <v>0.2</v>
      </c>
      <c r="C39" s="57">
        <v>6.5</v>
      </c>
      <c r="D39" s="57">
        <v>7.9</v>
      </c>
      <c r="E39" s="57">
        <v>2</v>
      </c>
      <c r="F39" s="57">
        <v>3</v>
      </c>
      <c r="G39" s="57">
        <v>4.2</v>
      </c>
      <c r="H39" s="57">
        <v>5.7</v>
      </c>
      <c r="I39" s="57">
        <v>7</v>
      </c>
      <c r="J39" s="57">
        <v>7.7</v>
      </c>
      <c r="K39" s="57">
        <v>7.9</v>
      </c>
      <c r="L39" s="57">
        <v>7.8</v>
      </c>
      <c r="M39" s="57">
        <v>7.5</v>
      </c>
      <c r="N39" s="57">
        <v>6.8</v>
      </c>
      <c r="O39" s="254">
        <v>6.4</v>
      </c>
      <c r="P39" s="57">
        <v>9.1</v>
      </c>
      <c r="Q39" s="57">
        <v>10.3</v>
      </c>
    </row>
    <row r="40" spans="1:17">
      <c r="B40" s="51">
        <v>0.1</v>
      </c>
      <c r="C40" s="57">
        <v>6.5</v>
      </c>
      <c r="D40" s="57">
        <v>7.9</v>
      </c>
      <c r="E40" s="57">
        <v>1.1000000000000001</v>
      </c>
      <c r="F40" s="57">
        <v>1.7</v>
      </c>
      <c r="G40" s="57">
        <v>2.5</v>
      </c>
      <c r="H40" s="57">
        <v>3.6</v>
      </c>
      <c r="I40" s="57">
        <v>4.5</v>
      </c>
      <c r="J40" s="57">
        <v>5.0999999999999996</v>
      </c>
      <c r="K40" s="57">
        <v>5.2</v>
      </c>
      <c r="L40" s="57">
        <v>5</v>
      </c>
      <c r="M40" s="57">
        <v>4.5</v>
      </c>
      <c r="N40" s="57">
        <v>3.9</v>
      </c>
      <c r="O40" s="254">
        <v>3.3</v>
      </c>
      <c r="P40" s="57">
        <v>6</v>
      </c>
      <c r="Q40" s="57">
        <v>7.7</v>
      </c>
    </row>
    <row r="41" spans="1:17">
      <c r="B41" s="310">
        <v>0</v>
      </c>
      <c r="C41" s="296">
        <v>6.5</v>
      </c>
      <c r="D41" s="296">
        <v>7.9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8">
        <v>0</v>
      </c>
      <c r="P41" s="297">
        <v>0</v>
      </c>
      <c r="Q41" s="297">
        <v>0</v>
      </c>
    </row>
    <row r="42" spans="1:17">
      <c r="B42" s="216" t="s">
        <v>56</v>
      </c>
      <c r="C42" s="299">
        <v>6.5</v>
      </c>
      <c r="D42" s="299">
        <v>7.9</v>
      </c>
      <c r="E42" s="299">
        <v>6.8</v>
      </c>
      <c r="F42" s="299">
        <v>6.9</v>
      </c>
      <c r="G42" s="299">
        <v>7.4</v>
      </c>
      <c r="H42" s="299">
        <v>7.3</v>
      </c>
      <c r="I42" s="299">
        <v>7.6</v>
      </c>
      <c r="J42" s="299">
        <v>9.4</v>
      </c>
      <c r="K42" s="299">
        <v>10.6</v>
      </c>
      <c r="L42" s="299">
        <v>11.5</v>
      </c>
      <c r="M42" s="299">
        <v>12.1</v>
      </c>
      <c r="N42" s="299">
        <v>12.8</v>
      </c>
      <c r="O42" s="300">
        <v>14.9</v>
      </c>
      <c r="P42" s="299">
        <v>19.899999999999999</v>
      </c>
      <c r="Q42" s="299">
        <v>19.8</v>
      </c>
    </row>
    <row r="43" spans="1:17">
      <c r="D43" s="6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255"/>
      <c r="P43" s="63"/>
      <c r="Q43" s="63"/>
    </row>
    <row r="44" spans="1:17">
      <c r="A44" t="s">
        <v>62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</row>
    <row r="45" spans="1:17"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</row>
    <row r="46" spans="1:17"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spans="1:17"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</row>
    <row r="48" spans="1:17"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</row>
    <row r="49" spans="3:17"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spans="3:17"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</row>
    <row r="51" spans="3:17"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</row>
    <row r="52" spans="3:17"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spans="3:17"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spans="3:17"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</row>
    <row r="55" spans="3:17"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spans="3:17"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</row>
    <row r="57" spans="3:17"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spans="3:17"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</row>
    <row r="59" spans="3:17"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</row>
    <row r="60" spans="3:17"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</row>
    <row r="61" spans="3:17"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spans="3:17"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</row>
  </sheetData>
  <phoneticPr fontId="2"/>
  <conditionalFormatting sqref="C6:Q22">
    <cfRule type="colorScale" priority="14">
      <colorScale>
        <cfvo type="min"/>
        <cfvo type="max"/>
        <color theme="0"/>
        <color rgb="FF3AA8DA"/>
      </colorScale>
    </cfRule>
    <cfRule type="colorScale" priority="15">
      <colorScale>
        <cfvo type="min"/>
        <cfvo type="max"/>
        <color rgb="FF3AA8DA"/>
        <color theme="0"/>
      </colorScale>
    </cfRule>
    <cfRule type="colorScale" priority="16">
      <colorScale>
        <cfvo type="min"/>
        <cfvo type="max"/>
        <color theme="0"/>
        <color theme="9"/>
      </colorScale>
    </cfRule>
  </conditionalFormatting>
  <conditionalFormatting sqref="C26:Q42 D43:Q43">
    <cfRule type="colorScale" priority="17">
      <colorScale>
        <cfvo type="min"/>
        <cfvo type="max"/>
        <color theme="0"/>
        <color rgb="FF92D050"/>
      </colorScale>
    </cfRule>
    <cfRule type="colorScale" priority="18">
      <colorScale>
        <cfvo type="min"/>
        <cfvo type="max"/>
        <color theme="0"/>
        <color rgb="FF3AA8DA"/>
      </colorScale>
    </cfRule>
    <cfRule type="colorScale" priority="19">
      <colorScale>
        <cfvo type="min"/>
        <cfvo type="max"/>
        <color theme="0"/>
        <color rgb="FF60A3E6"/>
      </colorScale>
    </cfRule>
    <cfRule type="colorScale" priority="20">
      <colorScale>
        <cfvo type="min"/>
        <cfvo type="max"/>
        <color theme="0"/>
        <color rgb="FF6BB0EF"/>
      </colorScale>
    </cfRule>
    <cfRule type="colorScale" priority="21">
      <colorScale>
        <cfvo type="min"/>
        <cfvo type="max"/>
        <color theme="0"/>
        <color theme="8"/>
      </colorScale>
    </cfRule>
    <cfRule type="colorScale" priority="22">
      <colorScale>
        <cfvo type="min"/>
        <cfvo type="max"/>
        <color theme="0"/>
        <color rgb="FF0099FF"/>
      </colorScale>
    </cfRule>
    <cfRule type="colorScale" priority="23">
      <colorScale>
        <cfvo type="min"/>
        <cfvo type="max"/>
        <color theme="0"/>
        <color rgb="FF0066FF"/>
      </colorScale>
    </cfRule>
    <cfRule type="colorScale" priority="24">
      <colorScale>
        <cfvo type="min"/>
        <cfvo type="max"/>
        <color theme="0"/>
        <color rgb="FF0099FF"/>
      </colorScale>
    </cfRule>
    <cfRule type="colorScale" priority="25">
      <colorScale>
        <cfvo type="min"/>
        <cfvo type="max"/>
        <color theme="0"/>
        <color rgb="FFAFB8ED"/>
      </colorScale>
    </cfRule>
    <cfRule type="colorScale" priority="26">
      <colorScale>
        <cfvo type="min"/>
        <cfvo type="max"/>
        <color theme="0"/>
        <color rgb="FF3399FF"/>
      </colorScale>
    </cfRule>
    <cfRule type="colorScale" priority="27">
      <colorScale>
        <cfvo type="min"/>
        <cfvo type="max"/>
        <color theme="0"/>
        <color rgb="FFB4BFE8"/>
      </colorScale>
    </cfRule>
    <cfRule type="colorScale" priority="28">
      <colorScale>
        <cfvo type="min"/>
        <cfvo type="max"/>
        <color theme="0"/>
        <color rgb="FF00B0F0"/>
      </colorScale>
    </cfRule>
    <cfRule type="colorScale" priority="29">
      <colorScale>
        <cfvo type="min"/>
        <cfvo type="max"/>
        <color theme="0"/>
        <color rgb="FF3399FF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FF36-5A93-4B63-8C3E-7C15A00B6F6F}">
  <dimension ref="A1:N18"/>
  <sheetViews>
    <sheetView workbookViewId="0">
      <selection activeCell="F20" sqref="F20"/>
    </sheetView>
  </sheetViews>
  <sheetFormatPr defaultRowHeight="18.75"/>
  <cols>
    <col min="4" max="4" width="9.875" customWidth="1"/>
  </cols>
  <sheetData>
    <row r="1" spans="1:14">
      <c r="A1" t="s">
        <v>0</v>
      </c>
    </row>
    <row r="3" spans="1:14">
      <c r="A3" s="59" t="s">
        <v>63</v>
      </c>
    </row>
    <row r="4" spans="1:14" ht="19.5" thickBot="1"/>
    <row r="5" spans="1:14" s="63" customFormat="1" ht="27">
      <c r="A5" s="176"/>
      <c r="B5" s="176" t="s">
        <v>64</v>
      </c>
      <c r="C5" s="176" t="s">
        <v>65</v>
      </c>
      <c r="D5" s="176" t="s">
        <v>66</v>
      </c>
      <c r="E5" s="176" t="s">
        <v>67</v>
      </c>
      <c r="F5" s="176" t="s">
        <v>68</v>
      </c>
      <c r="G5" s="176" t="s">
        <v>69</v>
      </c>
      <c r="H5" s="62"/>
      <c r="I5" s="183"/>
      <c r="K5"/>
      <c r="L5" s="62"/>
      <c r="M5" s="62"/>
      <c r="N5" s="62"/>
    </row>
    <row r="6" spans="1:14">
      <c r="A6" s="60" t="s">
        <v>70</v>
      </c>
      <c r="B6" s="183">
        <v>0.16</v>
      </c>
      <c r="C6" s="183">
        <v>0.23</v>
      </c>
      <c r="D6" s="313">
        <v>0.51</v>
      </c>
      <c r="E6" s="183">
        <v>285</v>
      </c>
      <c r="F6" s="183">
        <v>0.35699999999999998</v>
      </c>
      <c r="G6" s="183">
        <v>0</v>
      </c>
      <c r="H6" s="58"/>
      <c r="I6" s="58"/>
      <c r="J6" s="311"/>
      <c r="K6" s="58"/>
      <c r="L6" s="58"/>
      <c r="M6" s="58"/>
      <c r="N6" s="58"/>
    </row>
    <row r="7" spans="1:14">
      <c r="A7" s="60" t="s">
        <v>71</v>
      </c>
      <c r="B7" s="183">
        <v>0.53</v>
      </c>
      <c r="C7" s="183">
        <v>0.75</v>
      </c>
      <c r="D7" s="183">
        <v>0.45</v>
      </c>
      <c r="E7" s="185">
        <v>1239</v>
      </c>
      <c r="F7" s="183">
        <v>0.35699999999999998</v>
      </c>
      <c r="G7" s="183">
        <v>0</v>
      </c>
      <c r="H7" s="58"/>
      <c r="I7" s="312"/>
      <c r="J7" s="303"/>
      <c r="K7" s="58"/>
      <c r="L7" s="58"/>
      <c r="M7" s="58"/>
      <c r="N7" s="58"/>
    </row>
    <row r="8" spans="1:14">
      <c r="A8" s="60" t="s">
        <v>72</v>
      </c>
      <c r="B8" s="183">
        <v>0.48</v>
      </c>
      <c r="C8" s="183">
        <v>0.69</v>
      </c>
      <c r="D8" s="184">
        <v>0.4</v>
      </c>
      <c r="E8" s="185">
        <v>2402</v>
      </c>
      <c r="F8" s="183">
        <v>0.35699999999999998</v>
      </c>
      <c r="G8" s="183" t="s">
        <v>73</v>
      </c>
      <c r="H8" s="58"/>
      <c r="I8" s="58"/>
      <c r="J8" s="58"/>
      <c r="K8" s="58"/>
      <c r="L8" s="58"/>
      <c r="M8" s="58"/>
      <c r="N8" s="58"/>
    </row>
    <row r="9" spans="1:14">
      <c r="A9" s="60" t="s">
        <v>74</v>
      </c>
      <c r="B9" s="183">
        <v>0.66</v>
      </c>
      <c r="C9" s="183">
        <v>0.95</v>
      </c>
      <c r="D9" s="183">
        <v>0.56999999999999995</v>
      </c>
      <c r="E9" s="185">
        <v>3999</v>
      </c>
      <c r="F9" s="183">
        <v>0.35699999999999998</v>
      </c>
      <c r="G9" s="183" t="s">
        <v>75</v>
      </c>
      <c r="H9" s="58"/>
      <c r="L9" s="58"/>
      <c r="M9" s="58"/>
      <c r="N9" s="58"/>
    </row>
    <row r="10" spans="1:14">
      <c r="A10" s="60" t="s">
        <v>76</v>
      </c>
      <c r="B10" s="184">
        <v>1</v>
      </c>
      <c r="C10" s="183">
        <v>1.42</v>
      </c>
      <c r="D10" s="183">
        <v>0.91</v>
      </c>
      <c r="E10" s="185">
        <v>5788</v>
      </c>
      <c r="F10" s="183">
        <v>0.35699999999999998</v>
      </c>
      <c r="G10" s="183">
        <v>1</v>
      </c>
      <c r="H10" s="58"/>
      <c r="I10" s="58"/>
      <c r="J10" s="58"/>
      <c r="K10" s="58"/>
      <c r="L10" s="58"/>
      <c r="M10" s="58"/>
      <c r="N10" s="58"/>
    </row>
    <row r="11" spans="1:14" ht="19.5" thickBot="1">
      <c r="A11" s="61" t="s">
        <v>77</v>
      </c>
      <c r="B11" s="186">
        <v>1</v>
      </c>
      <c r="C11" s="187">
        <v>1.42</v>
      </c>
      <c r="D11" s="187">
        <v>0.91</v>
      </c>
      <c r="E11" s="188">
        <v>8065</v>
      </c>
      <c r="F11" s="187">
        <v>0.35699999999999998</v>
      </c>
      <c r="G11" s="187">
        <v>1</v>
      </c>
      <c r="H11" s="58"/>
      <c r="I11" s="58"/>
      <c r="J11" s="58"/>
      <c r="K11" s="58"/>
      <c r="L11" s="58"/>
      <c r="M11" s="311"/>
      <c r="N11" s="58"/>
    </row>
    <row r="12" spans="1:14">
      <c r="C12" s="58"/>
    </row>
    <row r="13" spans="1:14">
      <c r="A13" t="s">
        <v>78</v>
      </c>
    </row>
    <row r="14" spans="1:14">
      <c r="A14" t="s">
        <v>79</v>
      </c>
    </row>
    <row r="15" spans="1:14">
      <c r="A15" t="s">
        <v>80</v>
      </c>
    </row>
    <row r="16" spans="1:14">
      <c r="A16" t="s">
        <v>81</v>
      </c>
    </row>
    <row r="17" spans="1:12" ht="20.25">
      <c r="A17" t="s">
        <v>82</v>
      </c>
    </row>
    <row r="18" spans="1:12" ht="20.25">
      <c r="A18" t="s">
        <v>83</v>
      </c>
      <c r="C18" s="256"/>
      <c r="L18" s="30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4F11-1643-496C-ADAA-C93A8AF865B1}">
  <dimension ref="A1:J8"/>
  <sheetViews>
    <sheetView workbookViewId="0">
      <selection activeCell="F20" sqref="F20"/>
    </sheetView>
  </sheetViews>
  <sheetFormatPr defaultRowHeight="18.75"/>
  <cols>
    <col min="2" max="2" width="12.375" bestFit="1" customWidth="1"/>
    <col min="3" max="3" width="10.375" bestFit="1" customWidth="1"/>
    <col min="4" max="4" width="8.5" bestFit="1" customWidth="1"/>
    <col min="5" max="5" width="6.375" customWidth="1"/>
    <col min="6" max="6" width="11.375" bestFit="1" customWidth="1"/>
    <col min="7" max="8" width="5" bestFit="1" customWidth="1"/>
  </cols>
  <sheetData>
    <row r="1" spans="1:10">
      <c r="A1" t="s">
        <v>0</v>
      </c>
    </row>
    <row r="3" spans="1:10" s="174" customFormat="1" ht="13.5">
      <c r="A3" s="177" t="s">
        <v>84</v>
      </c>
    </row>
    <row r="5" spans="1:10">
      <c r="B5" s="290" t="s">
        <v>85</v>
      </c>
      <c r="C5" s="290" t="s">
        <v>86</v>
      </c>
      <c r="D5" s="290" t="s">
        <v>87</v>
      </c>
      <c r="E5" s="291" t="s">
        <v>88</v>
      </c>
      <c r="F5" s="291" t="s">
        <v>89</v>
      </c>
      <c r="G5" s="291" t="s">
        <v>90</v>
      </c>
      <c r="H5" s="291" t="s">
        <v>91</v>
      </c>
      <c r="J5" s="257"/>
    </row>
    <row r="6" spans="1:10">
      <c r="B6" s="292" t="s">
        <v>92</v>
      </c>
      <c r="C6" s="292" t="s">
        <v>93</v>
      </c>
      <c r="D6" s="292" t="s">
        <v>94</v>
      </c>
      <c r="E6" s="293">
        <v>9116</v>
      </c>
      <c r="F6" s="294" t="s">
        <v>95</v>
      </c>
      <c r="G6" s="295">
        <v>0.36</v>
      </c>
      <c r="H6" s="295">
        <v>0.63</v>
      </c>
    </row>
    <row r="8" spans="1:10">
      <c r="B8" s="271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65B7-63CC-4161-9120-AB7937696501}">
  <dimension ref="A1:C15"/>
  <sheetViews>
    <sheetView workbookViewId="0">
      <selection activeCell="F20" sqref="F20"/>
    </sheetView>
  </sheetViews>
  <sheetFormatPr defaultRowHeight="18.75"/>
  <cols>
    <col min="1" max="2" width="21.375" customWidth="1"/>
    <col min="3" max="3" width="28.625" customWidth="1"/>
  </cols>
  <sheetData>
    <row r="1" spans="1:3">
      <c r="A1" t="s">
        <v>0</v>
      </c>
    </row>
    <row r="3" spans="1:3" s="64" customFormat="1">
      <c r="A3" s="59" t="s">
        <v>96</v>
      </c>
    </row>
    <row r="4" spans="1:3" ht="19.5" thickBot="1">
      <c r="A4" s="59"/>
    </row>
    <row r="5" spans="1:3" ht="19.5" thickBot="1">
      <c r="A5" s="65" t="s">
        <v>97</v>
      </c>
      <c r="B5" s="66" t="s">
        <v>98</v>
      </c>
      <c r="C5" s="66" t="s">
        <v>99</v>
      </c>
    </row>
    <row r="6" spans="1:3" ht="28.5" customHeight="1" thickBot="1">
      <c r="A6" s="67" t="s">
        <v>100</v>
      </c>
      <c r="B6" s="68" t="s">
        <v>101</v>
      </c>
      <c r="C6" s="69" t="s">
        <v>102</v>
      </c>
    </row>
    <row r="7" spans="1:3" ht="28.5" customHeight="1" thickBot="1">
      <c r="A7" s="67" t="s">
        <v>103</v>
      </c>
      <c r="B7" s="68" t="s">
        <v>104</v>
      </c>
      <c r="C7" s="69" t="s">
        <v>105</v>
      </c>
    </row>
    <row r="8" spans="1:3" ht="28.5" customHeight="1">
      <c r="A8" s="329" t="s">
        <v>106</v>
      </c>
      <c r="B8" s="331" t="s">
        <v>107</v>
      </c>
      <c r="C8" s="258" t="s">
        <v>108</v>
      </c>
    </row>
    <row r="9" spans="1:3" ht="28.5" customHeight="1" thickBot="1">
      <c r="A9" s="330"/>
      <c r="B9" s="332"/>
      <c r="C9" s="69" t="s">
        <v>109</v>
      </c>
    </row>
    <row r="10" spans="1:3" ht="28.5" customHeight="1">
      <c r="A10" s="329" t="s">
        <v>110</v>
      </c>
      <c r="B10" s="334" t="s">
        <v>111</v>
      </c>
      <c r="C10" s="335"/>
    </row>
    <row r="11" spans="1:3" ht="28.5" customHeight="1">
      <c r="A11" s="333"/>
      <c r="B11" s="336" t="s">
        <v>112</v>
      </c>
      <c r="C11" s="337"/>
    </row>
    <row r="12" spans="1:3" ht="28.5" customHeight="1" thickBot="1">
      <c r="A12" s="330"/>
      <c r="B12" s="338" t="s">
        <v>113</v>
      </c>
      <c r="C12" s="339"/>
    </row>
    <row r="13" spans="1:3" ht="28.5" customHeight="1" thickBot="1">
      <c r="A13" s="67" t="s">
        <v>114</v>
      </c>
      <c r="B13" s="73">
        <v>5.8999999999999997E-2</v>
      </c>
      <c r="C13" s="70" t="s">
        <v>115</v>
      </c>
    </row>
    <row r="14" spans="1:3" ht="28.5" customHeight="1" thickBot="1">
      <c r="A14" s="67" t="s">
        <v>116</v>
      </c>
      <c r="B14" s="68" t="s">
        <v>117</v>
      </c>
      <c r="C14" s="69" t="s">
        <v>118</v>
      </c>
    </row>
    <row r="15" spans="1:3">
      <c r="A15" s="72"/>
    </row>
  </sheetData>
  <mergeCells count="6">
    <mergeCell ref="A8:A9"/>
    <mergeCell ref="B8:B9"/>
    <mergeCell ref="A10:A12"/>
    <mergeCell ref="B10:C10"/>
    <mergeCell ref="B11:C11"/>
    <mergeCell ref="B12:C12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41CD-B784-41EB-BC39-CEDFF3607181}">
  <dimension ref="A1:C20"/>
  <sheetViews>
    <sheetView workbookViewId="0">
      <selection activeCell="F20" sqref="F20"/>
    </sheetView>
  </sheetViews>
  <sheetFormatPr defaultRowHeight="18.75"/>
  <cols>
    <col min="1" max="1" width="21.375" customWidth="1"/>
    <col min="2" max="2" width="14.5" customWidth="1"/>
    <col min="3" max="3" width="28.625" customWidth="1"/>
  </cols>
  <sheetData>
    <row r="1" spans="1:3">
      <c r="A1" t="s">
        <v>0</v>
      </c>
    </row>
    <row r="3" spans="1:3" s="64" customFormat="1" ht="19.5" thickBot="1">
      <c r="A3" s="59" t="s">
        <v>119</v>
      </c>
      <c r="B3"/>
      <c r="C3"/>
    </row>
    <row r="4" spans="1:3" ht="19.5" thickBot="1">
      <c r="A4" s="74" t="s">
        <v>97</v>
      </c>
      <c r="B4" s="75" t="s">
        <v>98</v>
      </c>
      <c r="C4" s="75" t="s">
        <v>99</v>
      </c>
    </row>
    <row r="5" spans="1:3" ht="19.5" thickBot="1">
      <c r="A5" s="67" t="s">
        <v>120</v>
      </c>
      <c r="B5" s="68" t="s">
        <v>121</v>
      </c>
      <c r="C5" s="70" t="s">
        <v>122</v>
      </c>
    </row>
    <row r="6" spans="1:3" ht="28.5" customHeight="1">
      <c r="A6" s="329" t="s">
        <v>123</v>
      </c>
      <c r="B6" s="342" t="s">
        <v>124</v>
      </c>
      <c r="C6" s="343"/>
    </row>
    <row r="7" spans="1:3" ht="28.5" customHeight="1">
      <c r="A7" s="333"/>
      <c r="B7" s="336" t="s">
        <v>125</v>
      </c>
      <c r="C7" s="337"/>
    </row>
    <row r="8" spans="1:3" ht="28.5" customHeight="1" thickBot="1">
      <c r="A8" s="330"/>
      <c r="B8" s="344" t="s">
        <v>126</v>
      </c>
      <c r="C8" s="345"/>
    </row>
    <row r="9" spans="1:3" ht="28.5" customHeight="1" thickBot="1">
      <c r="A9" s="67" t="s">
        <v>127</v>
      </c>
      <c r="B9" s="76">
        <v>0.37</v>
      </c>
      <c r="C9" s="70" t="s">
        <v>128</v>
      </c>
    </row>
    <row r="10" spans="1:3" ht="28.5" customHeight="1" thickBot="1">
      <c r="A10" s="67" t="s">
        <v>129</v>
      </c>
      <c r="B10" s="73">
        <v>8.1000000000000003E-2</v>
      </c>
      <c r="C10" s="70" t="s">
        <v>130</v>
      </c>
    </row>
    <row r="11" spans="1:3" ht="28.5" customHeight="1" thickBot="1">
      <c r="A11" s="67" t="s">
        <v>131</v>
      </c>
      <c r="B11" s="73">
        <v>7.6999999999999999E-2</v>
      </c>
      <c r="C11" s="69" t="s">
        <v>132</v>
      </c>
    </row>
    <row r="12" spans="1:3" ht="28.5" customHeight="1" thickBot="1">
      <c r="A12" s="346" t="s">
        <v>133</v>
      </c>
      <c r="B12" s="347"/>
      <c r="C12" s="348"/>
    </row>
    <row r="13" spans="1:3" ht="28.5" customHeight="1">
      <c r="A13" s="71" t="s">
        <v>134</v>
      </c>
      <c r="B13" s="331">
        <v>0.91</v>
      </c>
      <c r="C13" s="349" t="s">
        <v>135</v>
      </c>
    </row>
    <row r="14" spans="1:3" ht="28.5" customHeight="1" thickBot="1">
      <c r="A14" s="67" t="s">
        <v>136</v>
      </c>
      <c r="B14" s="332"/>
      <c r="C14" s="350"/>
    </row>
    <row r="15" spans="1:3" ht="27" thickBot="1">
      <c r="A15" s="67" t="s">
        <v>137</v>
      </c>
      <c r="B15" s="68">
        <v>0.85</v>
      </c>
      <c r="C15" s="69" t="s">
        <v>138</v>
      </c>
    </row>
    <row r="16" spans="1:3" ht="18.95" customHeight="1" thickBot="1">
      <c r="A16" s="77" t="s">
        <v>139</v>
      </c>
      <c r="B16" s="351" t="s">
        <v>140</v>
      </c>
      <c r="C16" s="352"/>
    </row>
    <row r="17" spans="1:3" ht="18.95" customHeight="1" thickBot="1">
      <c r="A17" s="77" t="s">
        <v>141</v>
      </c>
      <c r="B17" s="351" t="s">
        <v>140</v>
      </c>
      <c r="C17" s="352"/>
    </row>
    <row r="18" spans="1:3" ht="18.95" customHeight="1" thickBot="1">
      <c r="A18" s="77" t="s">
        <v>142</v>
      </c>
      <c r="B18" s="340" t="s">
        <v>143</v>
      </c>
      <c r="C18" s="341"/>
    </row>
    <row r="19" spans="1:3">
      <c r="A19" s="63" t="s">
        <v>144</v>
      </c>
    </row>
    <row r="20" spans="1:3">
      <c r="A20" s="78"/>
    </row>
  </sheetData>
  <mergeCells count="10">
    <mergeCell ref="B18:C18"/>
    <mergeCell ref="A6:A8"/>
    <mergeCell ref="B6:C6"/>
    <mergeCell ref="B7:C7"/>
    <mergeCell ref="B8:C8"/>
    <mergeCell ref="A12:C12"/>
    <mergeCell ref="B13:B14"/>
    <mergeCell ref="C13:C14"/>
    <mergeCell ref="B16:C16"/>
    <mergeCell ref="B17:C17"/>
  </mergeCells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075C-1CAB-4DBC-9A43-9CCA535D9360}">
  <dimension ref="A1:F16"/>
  <sheetViews>
    <sheetView workbookViewId="0">
      <selection activeCell="F20" sqref="F20"/>
    </sheetView>
  </sheetViews>
  <sheetFormatPr defaultRowHeight="18.75"/>
  <cols>
    <col min="1" max="5" width="16" customWidth="1"/>
  </cols>
  <sheetData>
    <row r="1" spans="1:6">
      <c r="A1" t="s">
        <v>0</v>
      </c>
    </row>
    <row r="3" spans="1:6" ht="19.5" thickBot="1">
      <c r="A3" s="59" t="s">
        <v>145</v>
      </c>
    </row>
    <row r="4" spans="1:6" ht="18.95" customHeight="1" thickBot="1">
      <c r="A4" s="353" t="s">
        <v>146</v>
      </c>
      <c r="B4" s="354"/>
      <c r="C4" s="354"/>
      <c r="D4" s="355"/>
      <c r="E4" s="79"/>
    </row>
    <row r="5" spans="1:6">
      <c r="A5" s="356" t="s">
        <v>97</v>
      </c>
      <c r="B5" s="80" t="s">
        <v>147</v>
      </c>
      <c r="C5" s="81" t="s">
        <v>148</v>
      </c>
      <c r="D5" s="83" t="s">
        <v>147</v>
      </c>
    </row>
    <row r="6" spans="1:6">
      <c r="A6" s="357"/>
      <c r="B6" s="81" t="s">
        <v>149</v>
      </c>
      <c r="C6" s="81" t="s">
        <v>150</v>
      </c>
      <c r="D6" s="84" t="s">
        <v>151</v>
      </c>
    </row>
    <row r="7" spans="1:6" ht="19.5" thickBot="1">
      <c r="A7" s="358"/>
      <c r="B7" s="82" t="s">
        <v>152</v>
      </c>
      <c r="C7" s="82" t="s">
        <v>153</v>
      </c>
      <c r="D7" s="85"/>
    </row>
    <row r="8" spans="1:6" ht="19.5" thickBot="1">
      <c r="A8" s="86" t="s">
        <v>154</v>
      </c>
      <c r="B8" s="259">
        <v>7.3</v>
      </c>
      <c r="C8" s="221">
        <v>1.1100000000000001</v>
      </c>
      <c r="D8" s="87">
        <v>43</v>
      </c>
    </row>
    <row r="9" spans="1:6" ht="19.5" thickBot="1">
      <c r="A9" s="86" t="s">
        <v>155</v>
      </c>
      <c r="B9" s="259">
        <v>6.8</v>
      </c>
      <c r="C9" s="221">
        <v>1</v>
      </c>
      <c r="D9" s="87">
        <v>41</v>
      </c>
      <c r="E9" s="79"/>
    </row>
    <row r="10" spans="1:6" ht="19.5" thickBot="1">
      <c r="A10" s="88" t="s">
        <v>156</v>
      </c>
      <c r="B10" s="260">
        <v>6.3</v>
      </c>
      <c r="C10" s="221">
        <v>0.89</v>
      </c>
      <c r="D10" s="87">
        <v>38</v>
      </c>
      <c r="E10" s="79"/>
    </row>
    <row r="11" spans="1:6" ht="19.5" thickBot="1">
      <c r="A11" s="88" t="s">
        <v>157</v>
      </c>
      <c r="B11" s="261">
        <v>6</v>
      </c>
      <c r="C11" s="221">
        <v>0.83</v>
      </c>
      <c r="D11" s="87">
        <v>36</v>
      </c>
      <c r="E11" s="79"/>
      <c r="F11" s="247"/>
    </row>
    <row r="12" spans="1:6" ht="19.5" thickBot="1">
      <c r="A12" s="88" t="s">
        <v>158</v>
      </c>
      <c r="B12" s="260">
        <v>5.8</v>
      </c>
      <c r="C12" s="221">
        <v>0.78</v>
      </c>
      <c r="D12" s="87">
        <v>34</v>
      </c>
      <c r="E12" s="79"/>
    </row>
    <row r="13" spans="1:6" ht="19.5" thickBot="1">
      <c r="A13" s="88" t="s">
        <v>159</v>
      </c>
      <c r="B13" s="260">
        <v>5.0999999999999996</v>
      </c>
      <c r="C13" s="221">
        <v>0.67</v>
      </c>
      <c r="D13" s="87">
        <v>31</v>
      </c>
      <c r="E13" s="79"/>
    </row>
    <row r="14" spans="1:6" ht="19.5" thickBot="1">
      <c r="A14" s="88" t="s">
        <v>160</v>
      </c>
      <c r="B14" s="260">
        <v>4.5</v>
      </c>
      <c r="C14" s="221">
        <v>0.55000000000000004</v>
      </c>
      <c r="D14" s="87">
        <v>27</v>
      </c>
      <c r="E14" s="79"/>
    </row>
    <row r="15" spans="1:6" ht="19.5" thickBot="1">
      <c r="A15" s="88" t="s">
        <v>56</v>
      </c>
      <c r="B15" s="260">
        <v>6.8</v>
      </c>
      <c r="C15" s="221">
        <v>1</v>
      </c>
      <c r="D15" s="87">
        <v>41</v>
      </c>
    </row>
    <row r="16" spans="1:6">
      <c r="A16" s="59"/>
    </row>
  </sheetData>
  <mergeCells count="2">
    <mergeCell ref="A4:D4"/>
    <mergeCell ref="A5:A7"/>
  </mergeCells>
  <phoneticPr fontId="2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DCB2-12E8-4069-840A-135F5B5CBAB9}">
  <dimension ref="A1:G31"/>
  <sheetViews>
    <sheetView workbookViewId="0">
      <selection activeCell="F20" sqref="F20"/>
    </sheetView>
  </sheetViews>
  <sheetFormatPr defaultRowHeight="18.75"/>
  <cols>
    <col min="1" max="6" width="19.625" customWidth="1"/>
  </cols>
  <sheetData>
    <row r="1" spans="1:7">
      <c r="A1" t="s">
        <v>0</v>
      </c>
    </row>
    <row r="3" spans="1:7" ht="25.5">
      <c r="A3" s="59" t="s">
        <v>161</v>
      </c>
      <c r="F3" s="302"/>
    </row>
    <row r="4" spans="1:7" ht="19.5" thickBot="1"/>
    <row r="5" spans="1:7" ht="19.5" thickBot="1">
      <c r="A5" s="362" t="s">
        <v>162</v>
      </c>
      <c r="B5" s="363"/>
      <c r="C5" s="363"/>
      <c r="D5" s="363"/>
      <c r="E5" s="363"/>
      <c r="F5" s="364"/>
    </row>
    <row r="6" spans="1:7">
      <c r="A6" s="365" t="s">
        <v>55</v>
      </c>
      <c r="B6" s="89" t="s">
        <v>163</v>
      </c>
      <c r="C6" s="92">
        <v>0.9</v>
      </c>
      <c r="D6" s="374" t="s">
        <v>164</v>
      </c>
      <c r="E6" s="375"/>
      <c r="F6" s="376"/>
    </row>
    <row r="7" spans="1:7" ht="19.5" thickBot="1">
      <c r="A7" s="366"/>
      <c r="B7" s="90" t="s">
        <v>165</v>
      </c>
      <c r="C7" s="84" t="s">
        <v>166</v>
      </c>
      <c r="D7" s="368" t="s">
        <v>167</v>
      </c>
      <c r="E7" s="369"/>
      <c r="F7" s="370"/>
    </row>
    <row r="8" spans="1:7">
      <c r="A8" s="366"/>
      <c r="B8" s="90" t="s">
        <v>152</v>
      </c>
      <c r="C8" s="84" t="s">
        <v>152</v>
      </c>
      <c r="D8" s="371" t="s">
        <v>100</v>
      </c>
      <c r="E8" s="89" t="s">
        <v>168</v>
      </c>
      <c r="F8" s="89" t="s">
        <v>169</v>
      </c>
      <c r="G8" s="271"/>
    </row>
    <row r="9" spans="1:7" ht="19.5" thickBot="1">
      <c r="A9" s="367"/>
      <c r="B9" s="91"/>
      <c r="C9" s="93"/>
      <c r="D9" s="372"/>
      <c r="E9" s="94" t="s">
        <v>170</v>
      </c>
      <c r="F9" s="94" t="s">
        <v>170</v>
      </c>
    </row>
    <row r="10" spans="1:7" ht="19.5" thickBot="1">
      <c r="A10" s="88" t="s">
        <v>154</v>
      </c>
      <c r="B10" s="261">
        <v>6.9</v>
      </c>
      <c r="C10" s="263" t="s">
        <v>171</v>
      </c>
      <c r="D10" s="264">
        <v>13</v>
      </c>
      <c r="E10" s="263">
        <v>90</v>
      </c>
      <c r="F10" s="263">
        <v>100</v>
      </c>
    </row>
    <row r="11" spans="1:7" ht="19.5" thickBot="1">
      <c r="A11" s="88" t="s">
        <v>155</v>
      </c>
      <c r="B11" s="260">
        <v>8.5</v>
      </c>
      <c r="C11" s="87" t="s">
        <v>172</v>
      </c>
      <c r="D11" s="262">
        <v>25</v>
      </c>
      <c r="E11" s="87">
        <v>95</v>
      </c>
      <c r="F11" s="87">
        <v>100</v>
      </c>
    </row>
    <row r="12" spans="1:7" ht="19.5" thickBot="1">
      <c r="A12" s="88" t="s">
        <v>156</v>
      </c>
      <c r="B12" s="260">
        <v>10.4</v>
      </c>
      <c r="C12" s="87" t="s">
        <v>173</v>
      </c>
      <c r="D12" s="262">
        <v>41</v>
      </c>
      <c r="E12" s="87">
        <v>98</v>
      </c>
      <c r="F12" s="87">
        <v>100</v>
      </c>
    </row>
    <row r="13" spans="1:7" ht="19.5" thickBot="1">
      <c r="A13" s="88" t="s">
        <v>157</v>
      </c>
      <c r="B13" s="260">
        <v>11.6</v>
      </c>
      <c r="C13" s="87" t="s">
        <v>174</v>
      </c>
      <c r="D13" s="262">
        <v>50</v>
      </c>
      <c r="E13" s="87">
        <v>99</v>
      </c>
      <c r="F13" s="87">
        <v>100</v>
      </c>
    </row>
    <row r="14" spans="1:7" ht="19.5" thickBot="1">
      <c r="A14" s="88" t="s">
        <v>158</v>
      </c>
      <c r="B14" s="260">
        <v>12.9</v>
      </c>
      <c r="C14" s="87" t="s">
        <v>175</v>
      </c>
      <c r="D14" s="262">
        <v>59</v>
      </c>
      <c r="E14" s="87">
        <v>99</v>
      </c>
      <c r="F14" s="87">
        <v>100</v>
      </c>
    </row>
    <row r="15" spans="1:7" ht="19.5" thickBot="1">
      <c r="A15" s="88" t="s">
        <v>159</v>
      </c>
      <c r="B15" s="260">
        <v>15.7</v>
      </c>
      <c r="C15" s="87" t="s">
        <v>176</v>
      </c>
      <c r="D15" s="262">
        <v>74</v>
      </c>
      <c r="E15" s="87">
        <v>100</v>
      </c>
      <c r="F15" s="87">
        <v>100</v>
      </c>
    </row>
    <row r="16" spans="1:7" ht="19.5" thickBot="1">
      <c r="A16" s="88" t="s">
        <v>160</v>
      </c>
      <c r="B16" s="260">
        <v>18.7</v>
      </c>
      <c r="C16" s="87" t="s">
        <v>177</v>
      </c>
      <c r="D16" s="262">
        <v>85</v>
      </c>
      <c r="E16" s="87">
        <v>100</v>
      </c>
      <c r="F16" s="87">
        <v>100</v>
      </c>
    </row>
    <row r="17" spans="1:6" ht="19.5" thickBot="1">
      <c r="A17" s="88" t="s">
        <v>56</v>
      </c>
      <c r="B17" s="260">
        <v>8.1999999999999993</v>
      </c>
      <c r="C17" s="87" t="s">
        <v>178</v>
      </c>
      <c r="D17" s="262">
        <v>24</v>
      </c>
      <c r="E17" s="87">
        <v>93</v>
      </c>
      <c r="F17" s="87">
        <v>100</v>
      </c>
    </row>
    <row r="18" spans="1:6">
      <c r="A18" s="95"/>
    </row>
    <row r="19" spans="1:6" ht="19.5" thickBot="1">
      <c r="A19" s="59" t="s">
        <v>179</v>
      </c>
    </row>
    <row r="20" spans="1:6" ht="19.5" thickBot="1">
      <c r="A20" s="362" t="s">
        <v>180</v>
      </c>
      <c r="B20" s="363"/>
      <c r="C20" s="363"/>
      <c r="D20" s="373"/>
    </row>
    <row r="21" spans="1:6" ht="19.5" thickBot="1">
      <c r="A21" s="365" t="s">
        <v>55</v>
      </c>
      <c r="B21" s="359" t="s">
        <v>181</v>
      </c>
      <c r="C21" s="360"/>
      <c r="D21" s="361"/>
    </row>
    <row r="22" spans="1:6" ht="19.5" thickBot="1">
      <c r="A22" s="367"/>
      <c r="B22" s="96" t="s">
        <v>100</v>
      </c>
      <c r="C22" s="96" t="s">
        <v>103</v>
      </c>
      <c r="D22" s="96" t="s">
        <v>106</v>
      </c>
    </row>
    <row r="23" spans="1:6" ht="19.5" thickBot="1">
      <c r="A23" s="86" t="s">
        <v>154</v>
      </c>
      <c r="B23" s="88" t="s">
        <v>182</v>
      </c>
      <c r="C23" s="97" t="s">
        <v>183</v>
      </c>
      <c r="D23" s="97" t="s">
        <v>183</v>
      </c>
    </row>
    <row r="24" spans="1:6" ht="19.5" thickBot="1">
      <c r="A24" s="86" t="s">
        <v>155</v>
      </c>
      <c r="B24" s="88" t="s">
        <v>184</v>
      </c>
      <c r="C24" s="97" t="s">
        <v>183</v>
      </c>
      <c r="D24" s="97" t="s">
        <v>183</v>
      </c>
    </row>
    <row r="25" spans="1:6" ht="19.5" thickBot="1">
      <c r="A25" s="86" t="s">
        <v>156</v>
      </c>
      <c r="B25" s="88" t="s">
        <v>184</v>
      </c>
      <c r="C25" s="97" t="s">
        <v>183</v>
      </c>
      <c r="D25" s="97" t="s">
        <v>183</v>
      </c>
    </row>
    <row r="26" spans="1:6" ht="19.5" thickBot="1">
      <c r="A26" s="86" t="s">
        <v>157</v>
      </c>
      <c r="B26" s="88" t="s">
        <v>185</v>
      </c>
      <c r="C26" s="97" t="s">
        <v>183</v>
      </c>
      <c r="D26" s="97" t="s">
        <v>183</v>
      </c>
    </row>
    <row r="27" spans="1:6" ht="19.5" thickBot="1">
      <c r="A27" s="86" t="s">
        <v>158</v>
      </c>
      <c r="B27" s="88" t="s">
        <v>186</v>
      </c>
      <c r="C27" s="97" t="s">
        <v>183</v>
      </c>
      <c r="D27" s="97" t="s">
        <v>183</v>
      </c>
    </row>
    <row r="28" spans="1:6" ht="19.5" thickBot="1">
      <c r="A28" s="86" t="s">
        <v>159</v>
      </c>
      <c r="B28" s="88" t="s">
        <v>187</v>
      </c>
      <c r="C28" s="97" t="s">
        <v>183</v>
      </c>
      <c r="D28" s="97" t="s">
        <v>183</v>
      </c>
    </row>
    <row r="29" spans="1:6" ht="19.5" thickBot="1">
      <c r="A29" s="86" t="s">
        <v>160</v>
      </c>
      <c r="B29" s="88" t="s">
        <v>188</v>
      </c>
      <c r="C29" s="97" t="s">
        <v>183</v>
      </c>
      <c r="D29" s="97" t="s">
        <v>183</v>
      </c>
    </row>
    <row r="30" spans="1:6" ht="19.5" thickBot="1">
      <c r="A30" s="86" t="s">
        <v>56</v>
      </c>
      <c r="B30" s="88" t="s">
        <v>184</v>
      </c>
      <c r="C30" s="97" t="s">
        <v>183</v>
      </c>
      <c r="D30" s="97" t="s">
        <v>183</v>
      </c>
    </row>
    <row r="31" spans="1:6">
      <c r="A31" s="220"/>
    </row>
  </sheetData>
  <mergeCells count="8">
    <mergeCell ref="B21:D21"/>
    <mergeCell ref="A5:F5"/>
    <mergeCell ref="A6:A9"/>
    <mergeCell ref="D7:F7"/>
    <mergeCell ref="D8:D9"/>
    <mergeCell ref="A20:D20"/>
    <mergeCell ref="A21:A22"/>
    <mergeCell ref="D6:F6"/>
  </mergeCells>
  <phoneticPr fontId="2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9617-5C64-438F-8824-23E295EF0B73}">
  <dimension ref="A1:AB32"/>
  <sheetViews>
    <sheetView workbookViewId="0">
      <selection activeCell="G21" sqref="G21"/>
    </sheetView>
  </sheetViews>
  <sheetFormatPr defaultRowHeight="18.75"/>
  <sheetData>
    <row r="1" spans="1:28" ht="25.5">
      <c r="A1" t="s">
        <v>0</v>
      </c>
      <c r="O1" s="302"/>
    </row>
    <row r="3" spans="1:28" s="226" customFormat="1" ht="24">
      <c r="A3" s="327" t="s">
        <v>189</v>
      </c>
      <c r="B3" s="98"/>
      <c r="C3" s="98"/>
      <c r="D3" s="98"/>
      <c r="E3" s="98"/>
      <c r="F3" s="98"/>
      <c r="G3" s="99"/>
      <c r="H3" s="99"/>
      <c r="I3" s="100"/>
      <c r="J3" s="101"/>
      <c r="K3" s="101"/>
      <c r="L3" s="101"/>
      <c r="M3" s="101"/>
      <c r="N3" s="101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</row>
    <row r="4" spans="1:28" s="226" customFormat="1">
      <c r="A4" s="102" t="s">
        <v>190</v>
      </c>
      <c r="B4" s="103">
        <v>1996</v>
      </c>
      <c r="C4" s="103">
        <v>1997</v>
      </c>
      <c r="D4" s="103">
        <v>1998</v>
      </c>
      <c r="E4" s="103">
        <v>1999</v>
      </c>
      <c r="F4" s="103">
        <v>2000</v>
      </c>
      <c r="G4" s="103">
        <v>2001</v>
      </c>
      <c r="H4" s="103">
        <v>2002</v>
      </c>
      <c r="I4" s="103">
        <v>2003</v>
      </c>
      <c r="J4" s="103">
        <v>2004</v>
      </c>
      <c r="K4" s="103">
        <v>2005</v>
      </c>
      <c r="L4" s="103">
        <v>2006</v>
      </c>
      <c r="M4" s="103">
        <v>2007</v>
      </c>
      <c r="N4" s="103">
        <v>2008</v>
      </c>
      <c r="O4" s="103">
        <v>2009</v>
      </c>
      <c r="P4" s="103">
        <v>2010</v>
      </c>
      <c r="Q4" s="103">
        <v>2011</v>
      </c>
      <c r="R4" s="103">
        <v>2012</v>
      </c>
      <c r="S4" s="103">
        <v>2013</v>
      </c>
      <c r="T4" s="103">
        <v>2014</v>
      </c>
      <c r="U4" s="103">
        <v>2015</v>
      </c>
      <c r="V4" s="103">
        <v>2016</v>
      </c>
      <c r="W4" s="103">
        <v>2017</v>
      </c>
      <c r="X4" s="103">
        <v>2018</v>
      </c>
      <c r="Y4" s="103">
        <v>2019</v>
      </c>
      <c r="Z4" s="103">
        <v>2020</v>
      </c>
      <c r="AA4" s="103">
        <v>2021</v>
      </c>
      <c r="AB4" s="103">
        <v>2022</v>
      </c>
    </row>
    <row r="5" spans="1:28" s="226" customFormat="1">
      <c r="A5" s="104">
        <v>1</v>
      </c>
      <c r="B5" s="105">
        <v>2760</v>
      </c>
      <c r="C5" s="105">
        <v>15806</v>
      </c>
      <c r="D5" s="105">
        <v>15848</v>
      </c>
      <c r="E5" s="105">
        <v>38757</v>
      </c>
      <c r="F5" s="105">
        <v>2630</v>
      </c>
      <c r="G5" s="105">
        <v>2247</v>
      </c>
      <c r="H5" s="105">
        <v>2196</v>
      </c>
      <c r="I5" s="105">
        <v>11253</v>
      </c>
      <c r="J5" s="105">
        <v>3509</v>
      </c>
      <c r="K5" s="105">
        <v>22042</v>
      </c>
      <c r="L5" s="105">
        <v>14743</v>
      </c>
      <c r="M5" s="105">
        <v>16866</v>
      </c>
      <c r="N5" s="105">
        <v>893</v>
      </c>
      <c r="O5" s="105">
        <v>12057</v>
      </c>
      <c r="P5" s="105">
        <v>23066</v>
      </c>
      <c r="Q5" s="105">
        <v>68679</v>
      </c>
      <c r="R5" s="111">
        <v>49374</v>
      </c>
      <c r="S5" s="105">
        <v>10688</v>
      </c>
      <c r="T5" s="105">
        <v>13297</v>
      </c>
      <c r="U5" s="105">
        <v>29436</v>
      </c>
      <c r="V5" s="105">
        <v>22036</v>
      </c>
      <c r="W5" s="105">
        <v>20272</v>
      </c>
      <c r="X5" s="105">
        <v>30588</v>
      </c>
      <c r="Y5" s="105">
        <v>7803</v>
      </c>
      <c r="Z5" s="105">
        <v>8449</v>
      </c>
      <c r="AA5" s="105">
        <v>372</v>
      </c>
      <c r="AB5" s="105">
        <v>4189</v>
      </c>
    </row>
    <row r="6" spans="1:28" s="226" customFormat="1">
      <c r="A6" s="104">
        <v>2</v>
      </c>
      <c r="B6" s="105">
        <v>3871</v>
      </c>
      <c r="C6" s="105">
        <v>518</v>
      </c>
      <c r="D6" s="105">
        <v>5695</v>
      </c>
      <c r="E6" s="105">
        <v>3452</v>
      </c>
      <c r="F6" s="105">
        <v>9758</v>
      </c>
      <c r="G6" s="105">
        <v>332</v>
      </c>
      <c r="H6" s="105">
        <v>1798</v>
      </c>
      <c r="I6" s="105">
        <v>1060</v>
      </c>
      <c r="J6" s="105">
        <v>5570</v>
      </c>
      <c r="K6" s="105">
        <v>2018</v>
      </c>
      <c r="L6" s="105">
        <v>4936</v>
      </c>
      <c r="M6" s="105">
        <v>2219</v>
      </c>
      <c r="N6" s="105">
        <v>7449</v>
      </c>
      <c r="O6" s="105">
        <v>921</v>
      </c>
      <c r="P6" s="105">
        <v>10863</v>
      </c>
      <c r="Q6" s="105">
        <v>8487</v>
      </c>
      <c r="R6" s="111">
        <v>57884</v>
      </c>
      <c r="S6" s="105">
        <v>23993</v>
      </c>
      <c r="T6" s="105">
        <v>14172</v>
      </c>
      <c r="U6" s="105">
        <v>15807</v>
      </c>
      <c r="V6" s="105">
        <v>12327</v>
      </c>
      <c r="W6" s="105">
        <v>6957</v>
      </c>
      <c r="X6" s="105">
        <v>6559</v>
      </c>
      <c r="Y6" s="105">
        <v>6088</v>
      </c>
      <c r="Z6" s="105">
        <v>10026</v>
      </c>
      <c r="AA6" s="105">
        <v>4249</v>
      </c>
      <c r="AB6" s="105">
        <v>96</v>
      </c>
    </row>
    <row r="7" spans="1:28" s="226" customFormat="1">
      <c r="A7" s="104">
        <v>3</v>
      </c>
      <c r="B7" s="105">
        <v>752</v>
      </c>
      <c r="C7" s="105">
        <v>749</v>
      </c>
      <c r="D7" s="105">
        <v>74</v>
      </c>
      <c r="E7" s="105">
        <v>1519</v>
      </c>
      <c r="F7" s="105">
        <v>360</v>
      </c>
      <c r="G7" s="105">
        <v>1125</v>
      </c>
      <c r="H7" s="105">
        <v>286</v>
      </c>
      <c r="I7" s="105">
        <v>1287</v>
      </c>
      <c r="J7" s="105">
        <v>1313</v>
      </c>
      <c r="K7" s="105">
        <v>1779</v>
      </c>
      <c r="L7" s="105">
        <v>1736</v>
      </c>
      <c r="M7" s="105">
        <v>550</v>
      </c>
      <c r="N7" s="105">
        <v>597</v>
      </c>
      <c r="O7" s="105">
        <v>1957</v>
      </c>
      <c r="P7" s="105">
        <v>299</v>
      </c>
      <c r="Q7" s="105">
        <v>3685</v>
      </c>
      <c r="R7" s="111">
        <v>2718</v>
      </c>
      <c r="S7" s="105">
        <v>18083</v>
      </c>
      <c r="T7" s="105">
        <v>11600</v>
      </c>
      <c r="U7" s="105">
        <v>5842</v>
      </c>
      <c r="V7" s="105">
        <v>6096</v>
      </c>
      <c r="W7" s="105">
        <v>3554</v>
      </c>
      <c r="X7" s="105">
        <v>2377</v>
      </c>
      <c r="Y7" s="105">
        <v>1243</v>
      </c>
      <c r="Z7" s="105">
        <v>2665</v>
      </c>
      <c r="AA7" s="105">
        <v>3157</v>
      </c>
      <c r="AB7" s="105">
        <v>346</v>
      </c>
    </row>
    <row r="8" spans="1:28" s="226" customFormat="1">
      <c r="A8" s="104">
        <v>4</v>
      </c>
      <c r="B8" s="105">
        <v>554</v>
      </c>
      <c r="C8" s="105">
        <v>123</v>
      </c>
      <c r="D8" s="105">
        <v>0</v>
      </c>
      <c r="E8" s="105">
        <v>49</v>
      </c>
      <c r="F8" s="105">
        <v>105</v>
      </c>
      <c r="G8" s="105">
        <v>96</v>
      </c>
      <c r="H8" s="105">
        <v>128</v>
      </c>
      <c r="I8" s="105">
        <v>103</v>
      </c>
      <c r="J8" s="105">
        <v>69</v>
      </c>
      <c r="K8" s="105">
        <v>156</v>
      </c>
      <c r="L8" s="105">
        <v>223</v>
      </c>
      <c r="M8" s="105">
        <v>107</v>
      </c>
      <c r="N8" s="105">
        <v>111</v>
      </c>
      <c r="O8" s="105">
        <v>190</v>
      </c>
      <c r="P8" s="105">
        <v>237</v>
      </c>
      <c r="Q8" s="105">
        <v>343</v>
      </c>
      <c r="R8" s="111">
        <v>899</v>
      </c>
      <c r="S8" s="105">
        <v>1327</v>
      </c>
      <c r="T8" s="105">
        <v>5091</v>
      </c>
      <c r="U8" s="105">
        <v>4362</v>
      </c>
      <c r="V8" s="105">
        <v>2105</v>
      </c>
      <c r="W8" s="105">
        <v>1442</v>
      </c>
      <c r="X8" s="105">
        <v>1180</v>
      </c>
      <c r="Y8" s="105">
        <v>262</v>
      </c>
      <c r="Z8" s="105">
        <v>7</v>
      </c>
      <c r="AA8" s="105">
        <v>481</v>
      </c>
      <c r="AB8" s="105">
        <v>786</v>
      </c>
    </row>
    <row r="9" spans="1:28" s="226" customFormat="1">
      <c r="A9" s="106">
        <v>5</v>
      </c>
      <c r="B9" s="105">
        <v>103</v>
      </c>
      <c r="C9" s="105">
        <v>123</v>
      </c>
      <c r="D9" s="105">
        <v>0</v>
      </c>
      <c r="E9" s="105">
        <v>0</v>
      </c>
      <c r="F9" s="105">
        <v>0</v>
      </c>
      <c r="G9" s="105">
        <v>0</v>
      </c>
      <c r="H9" s="105">
        <v>0</v>
      </c>
      <c r="I9" s="105">
        <v>14</v>
      </c>
      <c r="J9" s="105">
        <v>21</v>
      </c>
      <c r="K9" s="105">
        <v>0</v>
      </c>
      <c r="L9" s="105">
        <v>244</v>
      </c>
      <c r="M9" s="105">
        <v>36</v>
      </c>
      <c r="N9" s="105">
        <v>16</v>
      </c>
      <c r="O9" s="105">
        <v>29</v>
      </c>
      <c r="P9" s="105">
        <v>39</v>
      </c>
      <c r="Q9" s="105">
        <v>49</v>
      </c>
      <c r="R9" s="111">
        <v>105</v>
      </c>
      <c r="S9" s="105">
        <v>357</v>
      </c>
      <c r="T9" s="105">
        <v>680</v>
      </c>
      <c r="U9" s="105">
        <v>1230</v>
      </c>
      <c r="V9" s="105">
        <v>1015</v>
      </c>
      <c r="W9" s="105">
        <v>187</v>
      </c>
      <c r="X9" s="105">
        <v>282</v>
      </c>
      <c r="Y9" s="105">
        <v>23</v>
      </c>
      <c r="Z9" s="105">
        <v>0</v>
      </c>
      <c r="AA9" s="105">
        <v>98</v>
      </c>
      <c r="AB9" s="105">
        <v>319</v>
      </c>
    </row>
    <row r="10" spans="1:28" s="226" customFormat="1">
      <c r="A10" s="107" t="s">
        <v>191</v>
      </c>
      <c r="B10" s="108">
        <v>0</v>
      </c>
      <c r="C10" s="108">
        <v>62</v>
      </c>
      <c r="D10" s="108">
        <v>0</v>
      </c>
      <c r="E10" s="108">
        <v>0</v>
      </c>
      <c r="F10" s="108">
        <v>0</v>
      </c>
      <c r="G10" s="108">
        <v>25</v>
      </c>
      <c r="H10" s="108">
        <v>0</v>
      </c>
      <c r="I10" s="108">
        <v>18</v>
      </c>
      <c r="J10" s="108">
        <v>24</v>
      </c>
      <c r="K10" s="108">
        <v>0</v>
      </c>
      <c r="L10" s="108">
        <v>20</v>
      </c>
      <c r="M10" s="108">
        <v>0</v>
      </c>
      <c r="N10" s="108">
        <v>0</v>
      </c>
      <c r="O10" s="108">
        <v>0</v>
      </c>
      <c r="P10" s="108">
        <v>25</v>
      </c>
      <c r="Q10" s="108">
        <v>0</v>
      </c>
      <c r="R10" s="112">
        <v>40</v>
      </c>
      <c r="S10" s="108">
        <v>97</v>
      </c>
      <c r="T10" s="108">
        <v>111</v>
      </c>
      <c r="U10" s="108">
        <v>189</v>
      </c>
      <c r="V10" s="108">
        <v>476</v>
      </c>
      <c r="W10" s="108">
        <v>82</v>
      </c>
      <c r="X10" s="108">
        <v>111</v>
      </c>
      <c r="Y10" s="108">
        <v>33</v>
      </c>
      <c r="Z10" s="108">
        <v>0</v>
      </c>
      <c r="AA10" s="108">
        <v>81</v>
      </c>
      <c r="AB10" s="108">
        <v>67</v>
      </c>
    </row>
    <row r="11" spans="1:28" s="226" customFormat="1">
      <c r="A11" s="109" t="s">
        <v>192</v>
      </c>
      <c r="B11" s="110">
        <v>8040</v>
      </c>
      <c r="C11" s="110">
        <v>17381</v>
      </c>
      <c r="D11" s="110">
        <v>21618</v>
      </c>
      <c r="E11" s="110">
        <v>43777</v>
      </c>
      <c r="F11" s="110">
        <v>12853</v>
      </c>
      <c r="G11" s="110">
        <v>3826</v>
      </c>
      <c r="H11" s="110">
        <v>4407</v>
      </c>
      <c r="I11" s="110">
        <v>13734</v>
      </c>
      <c r="J11" s="110">
        <v>10508</v>
      </c>
      <c r="K11" s="110">
        <v>25995</v>
      </c>
      <c r="L11" s="110">
        <v>21901</v>
      </c>
      <c r="M11" s="110">
        <v>19779</v>
      </c>
      <c r="N11" s="110">
        <v>9066</v>
      </c>
      <c r="O11" s="110">
        <v>15155</v>
      </c>
      <c r="P11" s="110">
        <v>34529</v>
      </c>
      <c r="Q11" s="110">
        <v>81243</v>
      </c>
      <c r="R11" s="110">
        <v>111019</v>
      </c>
      <c r="S11" s="110">
        <v>54546</v>
      </c>
      <c r="T11" s="110">
        <v>44949</v>
      </c>
      <c r="U11" s="110">
        <v>56866</v>
      </c>
      <c r="V11" s="110">
        <v>44055</v>
      </c>
      <c r="W11" s="110">
        <v>32493</v>
      </c>
      <c r="X11" s="110">
        <v>41098</v>
      </c>
      <c r="Y11" s="110">
        <v>15453</v>
      </c>
      <c r="Z11" s="110">
        <v>21148</v>
      </c>
      <c r="AA11" s="110">
        <v>8437</v>
      </c>
      <c r="AB11" s="110">
        <v>5802</v>
      </c>
    </row>
    <row r="12" spans="1:28">
      <c r="A12" s="222" t="s">
        <v>193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</row>
    <row r="13" spans="1:28">
      <c r="A13" s="222" t="s">
        <v>194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</row>
    <row r="14" spans="1:28" ht="24">
      <c r="A14" s="265" t="s">
        <v>195</v>
      </c>
      <c r="B14" s="114"/>
      <c r="C14" s="114"/>
      <c r="D14" s="114"/>
      <c r="E14" s="114"/>
      <c r="F14" s="114"/>
      <c r="G14" s="178"/>
      <c r="H14" s="178"/>
      <c r="I14" s="178"/>
      <c r="J14" s="266"/>
      <c r="K14" s="114"/>
      <c r="L14" s="114"/>
      <c r="M14" s="114"/>
      <c r="N14" s="114"/>
    </row>
    <row r="15" spans="1:28">
      <c r="A15" s="113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</row>
    <row r="17" spans="2:14"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</row>
    <row r="18" spans="2:14"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</row>
    <row r="19" spans="2:14"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</row>
    <row r="20" spans="2:14"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</row>
    <row r="21" spans="2:14"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2:14"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2:14"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</row>
    <row r="26" spans="2:14"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</row>
    <row r="27" spans="2:14"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</row>
    <row r="28" spans="2:14"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</row>
    <row r="29" spans="2:14"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</row>
    <row r="30" spans="2:14"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2:14"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</row>
    <row r="32" spans="2:14"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713E-ACAA-4DE3-B661-FE1801E3ED4A}">
  <dimension ref="A1:AB17"/>
  <sheetViews>
    <sheetView workbookViewId="0">
      <selection activeCell="A12" sqref="A12:XFD12"/>
    </sheetView>
  </sheetViews>
  <sheetFormatPr defaultRowHeight="18.75"/>
  <sheetData>
    <row r="1" spans="1:28" ht="25.5">
      <c r="A1" t="s">
        <v>0</v>
      </c>
      <c r="O1" s="302"/>
    </row>
    <row r="3" spans="1:28" s="226" customFormat="1" ht="20.25">
      <c r="A3" s="223" t="s">
        <v>196</v>
      </c>
      <c r="B3" s="224"/>
      <c r="C3" s="224"/>
      <c r="D3" s="224"/>
      <c r="E3" s="224"/>
      <c r="F3" s="224"/>
      <c r="G3" s="225"/>
      <c r="H3" s="225"/>
      <c r="I3" s="224"/>
      <c r="J3" s="224"/>
      <c r="K3" s="224"/>
      <c r="L3" s="224"/>
      <c r="M3" s="224"/>
      <c r="N3" s="224"/>
    </row>
    <row r="4" spans="1:28" s="226" customFormat="1">
      <c r="A4" s="102" t="s">
        <v>197</v>
      </c>
      <c r="B4" s="103">
        <v>1996</v>
      </c>
      <c r="C4" s="103">
        <v>1997</v>
      </c>
      <c r="D4" s="103">
        <v>1998</v>
      </c>
      <c r="E4" s="103">
        <v>1999</v>
      </c>
      <c r="F4" s="103">
        <v>2000</v>
      </c>
      <c r="G4" s="103">
        <v>2001</v>
      </c>
      <c r="H4" s="103">
        <v>2002</v>
      </c>
      <c r="I4" s="103">
        <v>2003</v>
      </c>
      <c r="J4" s="103">
        <v>2004</v>
      </c>
      <c r="K4" s="103">
        <v>2005</v>
      </c>
      <c r="L4" s="103">
        <v>2006</v>
      </c>
      <c r="M4" s="103">
        <v>2007</v>
      </c>
      <c r="N4" s="103">
        <v>2008</v>
      </c>
      <c r="O4" s="103">
        <v>2009</v>
      </c>
      <c r="P4" s="103">
        <v>2010</v>
      </c>
      <c r="Q4" s="103">
        <v>2011</v>
      </c>
      <c r="R4" s="103">
        <v>2012</v>
      </c>
      <c r="S4" s="103">
        <v>2013</v>
      </c>
      <c r="T4" s="103">
        <v>2014</v>
      </c>
      <c r="U4" s="103">
        <v>2015</v>
      </c>
      <c r="V4" s="103">
        <v>2016</v>
      </c>
      <c r="W4" s="103">
        <v>2017</v>
      </c>
      <c r="X4" s="103">
        <v>2018</v>
      </c>
      <c r="Y4" s="103">
        <v>2019</v>
      </c>
      <c r="Z4" s="103">
        <v>2020</v>
      </c>
      <c r="AA4" s="103">
        <v>2021</v>
      </c>
      <c r="AB4" s="103">
        <v>2022</v>
      </c>
    </row>
    <row r="5" spans="1:28" s="226" customFormat="1">
      <c r="A5" s="104">
        <v>1</v>
      </c>
      <c r="B5" s="105">
        <v>301</v>
      </c>
      <c r="C5" s="105">
        <v>4451</v>
      </c>
      <c r="D5" s="105">
        <v>5895</v>
      </c>
      <c r="E5" s="105">
        <v>11509</v>
      </c>
      <c r="F5" s="105">
        <v>1212</v>
      </c>
      <c r="G5" s="105">
        <v>1272</v>
      </c>
      <c r="H5" s="105">
        <v>1262</v>
      </c>
      <c r="I5" s="105">
        <v>5530</v>
      </c>
      <c r="J5" s="105">
        <v>1591</v>
      </c>
      <c r="K5" s="105">
        <v>8434</v>
      </c>
      <c r="L5" s="105">
        <v>6285</v>
      </c>
      <c r="M5" s="105">
        <v>5661</v>
      </c>
      <c r="N5" s="105">
        <v>448</v>
      </c>
      <c r="O5" s="105">
        <v>4882</v>
      </c>
      <c r="P5" s="105">
        <v>6362</v>
      </c>
      <c r="Q5" s="105">
        <v>22846</v>
      </c>
      <c r="R5" s="105">
        <v>15017</v>
      </c>
      <c r="S5" s="105">
        <v>4046</v>
      </c>
      <c r="T5" s="105">
        <v>4303</v>
      </c>
      <c r="U5" s="105">
        <v>9692</v>
      </c>
      <c r="V5" s="105">
        <v>4513</v>
      </c>
      <c r="W5" s="105">
        <v>5794</v>
      </c>
      <c r="X5" s="105">
        <v>5836</v>
      </c>
      <c r="Y5" s="105">
        <v>2441</v>
      </c>
      <c r="Z5" s="105">
        <v>1744</v>
      </c>
      <c r="AA5" s="105">
        <v>149</v>
      </c>
      <c r="AB5" s="105">
        <v>1495</v>
      </c>
    </row>
    <row r="6" spans="1:28" s="226" customFormat="1">
      <c r="A6" s="104">
        <v>2</v>
      </c>
      <c r="B6" s="105">
        <v>4141</v>
      </c>
      <c r="C6" s="105">
        <v>692</v>
      </c>
      <c r="D6" s="105">
        <v>8191</v>
      </c>
      <c r="E6" s="105">
        <v>4663</v>
      </c>
      <c r="F6" s="105">
        <v>11485</v>
      </c>
      <c r="G6" s="105">
        <v>539</v>
      </c>
      <c r="H6" s="105">
        <v>3146</v>
      </c>
      <c r="I6" s="105">
        <v>1914</v>
      </c>
      <c r="J6" s="105">
        <v>7763</v>
      </c>
      <c r="K6" s="105">
        <v>3033</v>
      </c>
      <c r="L6" s="105">
        <v>6462</v>
      </c>
      <c r="M6" s="105">
        <v>3098</v>
      </c>
      <c r="N6" s="105">
        <v>22259</v>
      </c>
      <c r="O6" s="105">
        <v>1446</v>
      </c>
      <c r="P6" s="105">
        <v>14211</v>
      </c>
      <c r="Q6" s="105">
        <v>11287</v>
      </c>
      <c r="R6" s="105">
        <v>64404</v>
      </c>
      <c r="S6" s="105">
        <v>23311</v>
      </c>
      <c r="T6" s="105">
        <v>14498</v>
      </c>
      <c r="U6" s="105">
        <v>14432</v>
      </c>
      <c r="V6" s="105">
        <v>10462</v>
      </c>
      <c r="W6" s="105">
        <v>6559</v>
      </c>
      <c r="X6" s="105">
        <v>5275</v>
      </c>
      <c r="Y6" s="105">
        <v>5248</v>
      </c>
      <c r="Z6" s="105">
        <v>11682</v>
      </c>
      <c r="AA6" s="105">
        <v>3636</v>
      </c>
      <c r="AB6" s="105">
        <v>81</v>
      </c>
    </row>
    <row r="7" spans="1:28" s="226" customFormat="1">
      <c r="A7" s="104">
        <v>3</v>
      </c>
      <c r="B7" s="105">
        <v>869</v>
      </c>
      <c r="C7" s="105">
        <v>1843</v>
      </c>
      <c r="D7" s="105">
        <v>330</v>
      </c>
      <c r="E7" s="105">
        <v>4096</v>
      </c>
      <c r="F7" s="105">
        <v>588</v>
      </c>
      <c r="G7" s="105">
        <v>3190</v>
      </c>
      <c r="H7" s="105">
        <v>795</v>
      </c>
      <c r="I7" s="105">
        <v>3220</v>
      </c>
      <c r="J7" s="105">
        <v>2828</v>
      </c>
      <c r="K7" s="105">
        <v>4415</v>
      </c>
      <c r="L7" s="105">
        <v>3292</v>
      </c>
      <c r="M7" s="105">
        <v>1233</v>
      </c>
      <c r="N7" s="105">
        <v>1507</v>
      </c>
      <c r="O7" s="105">
        <v>5573</v>
      </c>
      <c r="P7" s="105">
        <v>655</v>
      </c>
      <c r="Q7" s="105">
        <v>9018</v>
      </c>
      <c r="R7" s="105">
        <v>6054</v>
      </c>
      <c r="S7" s="105">
        <v>38816</v>
      </c>
      <c r="T7" s="105">
        <v>21478</v>
      </c>
      <c r="U7" s="105">
        <v>10967</v>
      </c>
      <c r="V7" s="105">
        <v>10341</v>
      </c>
      <c r="W7" s="105">
        <v>6300</v>
      </c>
      <c r="X7" s="105">
        <v>3707</v>
      </c>
      <c r="Y7" s="105">
        <v>2410</v>
      </c>
      <c r="Z7" s="105">
        <v>4837</v>
      </c>
      <c r="AA7" s="105">
        <v>5455</v>
      </c>
      <c r="AB7" s="105">
        <v>711</v>
      </c>
    </row>
    <row r="8" spans="1:28" s="226" customFormat="1">
      <c r="A8" s="104">
        <v>4</v>
      </c>
      <c r="B8" s="105">
        <v>1371</v>
      </c>
      <c r="C8" s="105">
        <v>662</v>
      </c>
      <c r="D8" s="105">
        <v>0</v>
      </c>
      <c r="E8" s="105">
        <v>374</v>
      </c>
      <c r="F8" s="105">
        <v>367</v>
      </c>
      <c r="G8" s="105">
        <v>326</v>
      </c>
      <c r="H8" s="105">
        <v>615</v>
      </c>
      <c r="I8" s="105">
        <v>362</v>
      </c>
      <c r="J8" s="105">
        <v>300</v>
      </c>
      <c r="K8" s="105">
        <v>693</v>
      </c>
      <c r="L8" s="105">
        <v>812</v>
      </c>
      <c r="M8" s="105">
        <v>439</v>
      </c>
      <c r="N8" s="105">
        <v>592</v>
      </c>
      <c r="O8" s="105">
        <v>762</v>
      </c>
      <c r="P8" s="105">
        <v>1071</v>
      </c>
      <c r="Q8" s="105">
        <v>1127</v>
      </c>
      <c r="R8" s="105">
        <v>3748</v>
      </c>
      <c r="S8" s="105">
        <v>4445</v>
      </c>
      <c r="T8" s="105">
        <v>16033</v>
      </c>
      <c r="U8" s="105">
        <v>13142</v>
      </c>
      <c r="V8" s="105">
        <v>5576</v>
      </c>
      <c r="W8" s="105">
        <v>4082</v>
      </c>
      <c r="X8" s="105">
        <v>2917</v>
      </c>
      <c r="Y8" s="105">
        <v>837</v>
      </c>
      <c r="Z8" s="105">
        <v>23</v>
      </c>
      <c r="AA8" s="105">
        <v>1445</v>
      </c>
      <c r="AB8" s="105">
        <v>1948</v>
      </c>
    </row>
    <row r="9" spans="1:28" s="226" customFormat="1">
      <c r="A9" s="106">
        <v>5</v>
      </c>
      <c r="B9" s="105">
        <v>635</v>
      </c>
      <c r="C9" s="105">
        <v>978</v>
      </c>
      <c r="D9" s="105">
        <v>0</v>
      </c>
      <c r="E9" s="105">
        <v>0</v>
      </c>
      <c r="F9" s="105">
        <v>0</v>
      </c>
      <c r="G9" s="105">
        <v>0</v>
      </c>
      <c r="H9" s="105">
        <v>0</v>
      </c>
      <c r="I9" s="105">
        <v>81</v>
      </c>
      <c r="J9" s="105">
        <v>177</v>
      </c>
      <c r="K9" s="105">
        <v>0</v>
      </c>
      <c r="L9" s="105">
        <v>1307</v>
      </c>
      <c r="M9" s="105">
        <v>219</v>
      </c>
      <c r="N9" s="105">
        <v>110</v>
      </c>
      <c r="O9" s="105">
        <v>240</v>
      </c>
      <c r="P9" s="105">
        <v>203</v>
      </c>
      <c r="Q9" s="105">
        <v>217</v>
      </c>
      <c r="R9" s="105">
        <v>601</v>
      </c>
      <c r="S9" s="105">
        <v>1907</v>
      </c>
      <c r="T9" s="105">
        <v>3332</v>
      </c>
      <c r="U9" s="105">
        <v>5251</v>
      </c>
      <c r="V9" s="105">
        <v>4115</v>
      </c>
      <c r="W9" s="105">
        <v>780</v>
      </c>
      <c r="X9" s="105">
        <v>1001</v>
      </c>
      <c r="Y9" s="105">
        <v>107</v>
      </c>
      <c r="Z9" s="105">
        <v>0</v>
      </c>
      <c r="AA9" s="105">
        <v>417</v>
      </c>
      <c r="AB9" s="105">
        <v>1309</v>
      </c>
    </row>
    <row r="10" spans="1:28" s="226" customFormat="1">
      <c r="A10" s="107" t="s">
        <v>198</v>
      </c>
      <c r="B10" s="108">
        <v>0</v>
      </c>
      <c r="C10" s="108">
        <v>467</v>
      </c>
      <c r="D10" s="108">
        <v>0</v>
      </c>
      <c r="E10" s="108">
        <v>0</v>
      </c>
      <c r="F10" s="108">
        <v>0</v>
      </c>
      <c r="G10" s="108">
        <v>250</v>
      </c>
      <c r="H10" s="108">
        <v>0</v>
      </c>
      <c r="I10" s="108">
        <v>188</v>
      </c>
      <c r="J10" s="108">
        <v>225</v>
      </c>
      <c r="K10" s="108">
        <v>0</v>
      </c>
      <c r="L10" s="108">
        <v>263</v>
      </c>
      <c r="M10" s="108">
        <v>0</v>
      </c>
      <c r="N10" s="108">
        <v>0</v>
      </c>
      <c r="O10" s="108">
        <v>0</v>
      </c>
      <c r="P10" s="108">
        <v>262</v>
      </c>
      <c r="Q10" s="108">
        <v>0</v>
      </c>
      <c r="R10" s="108">
        <v>443</v>
      </c>
      <c r="S10" s="108">
        <v>854</v>
      </c>
      <c r="T10" s="108">
        <v>722</v>
      </c>
      <c r="U10" s="108">
        <v>1304</v>
      </c>
      <c r="V10" s="108">
        <v>3235</v>
      </c>
      <c r="W10" s="108">
        <v>549</v>
      </c>
      <c r="X10" s="108">
        <v>761</v>
      </c>
      <c r="Y10" s="108">
        <v>178</v>
      </c>
      <c r="Z10" s="108">
        <v>0</v>
      </c>
      <c r="AA10" s="108">
        <v>426</v>
      </c>
      <c r="AB10" s="108">
        <v>422</v>
      </c>
    </row>
    <row r="11" spans="1:28" s="226" customFormat="1">
      <c r="A11" s="116" t="s">
        <v>199</v>
      </c>
      <c r="B11" s="117">
        <v>7316</v>
      </c>
      <c r="C11" s="117">
        <v>9094</v>
      </c>
      <c r="D11" s="117">
        <v>14416</v>
      </c>
      <c r="E11" s="117">
        <v>20643</v>
      </c>
      <c r="F11" s="117">
        <v>13653</v>
      </c>
      <c r="G11" s="117">
        <v>5577</v>
      </c>
      <c r="H11" s="117">
        <v>5819</v>
      </c>
      <c r="I11" s="117">
        <v>11295</v>
      </c>
      <c r="J11" s="117">
        <v>12883</v>
      </c>
      <c r="K11" s="117">
        <v>16575</v>
      </c>
      <c r="L11" s="117">
        <v>18421</v>
      </c>
      <c r="M11" s="117">
        <v>10650</v>
      </c>
      <c r="N11" s="117">
        <v>24916</v>
      </c>
      <c r="O11" s="117">
        <v>12902</v>
      </c>
      <c r="P11" s="117">
        <v>22764</v>
      </c>
      <c r="Q11" s="117">
        <v>44494</v>
      </c>
      <c r="R11" s="117">
        <v>90267</v>
      </c>
      <c r="S11" s="117">
        <v>73380</v>
      </c>
      <c r="T11" s="117">
        <v>60366</v>
      </c>
      <c r="U11" s="117">
        <v>54789</v>
      </c>
      <c r="V11" s="117">
        <v>38242</v>
      </c>
      <c r="W11" s="117">
        <v>24064</v>
      </c>
      <c r="X11" s="117">
        <v>19497</v>
      </c>
      <c r="Y11" s="117">
        <v>11221</v>
      </c>
      <c r="Z11" s="117">
        <v>18285</v>
      </c>
      <c r="AA11" s="117">
        <v>11527</v>
      </c>
      <c r="AB11" s="117">
        <v>5966</v>
      </c>
    </row>
    <row r="12" spans="1:28">
      <c r="A12" s="267" t="s">
        <v>200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</row>
    <row r="13" spans="1:28">
      <c r="A13" s="268" t="s">
        <v>201</v>
      </c>
      <c r="B13" s="179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</row>
    <row r="14" spans="1:28"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</row>
    <row r="15" spans="1:28"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</row>
    <row r="16" spans="1:28"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</row>
    <row r="17" spans="2:14"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1C65-1CAD-453D-AF57-C3CEAC577923}">
  <dimension ref="A1:AB12"/>
  <sheetViews>
    <sheetView zoomScale="77" zoomScaleNormal="77" workbookViewId="0">
      <selection activeCell="D27" sqref="D27"/>
    </sheetView>
  </sheetViews>
  <sheetFormatPr defaultRowHeight="18.75"/>
  <cols>
    <col min="1" max="1" width="23.875" customWidth="1"/>
  </cols>
  <sheetData>
    <row r="1" spans="1:28">
      <c r="A1" t="s">
        <v>0</v>
      </c>
    </row>
    <row r="3" spans="1:28" s="174" customFormat="1" ht="17.25">
      <c r="A3" s="305" t="s">
        <v>245</v>
      </c>
    </row>
    <row r="4" spans="1:28">
      <c r="A4" s="269" t="s">
        <v>244</v>
      </c>
    </row>
    <row r="5" spans="1:28">
      <c r="A5" s="119" t="s">
        <v>202</v>
      </c>
      <c r="B5" s="120">
        <v>1996</v>
      </c>
      <c r="C5" s="120">
        <v>1997</v>
      </c>
      <c r="D5" s="120">
        <v>1998</v>
      </c>
      <c r="E5" s="120">
        <v>1999</v>
      </c>
      <c r="F5" s="120">
        <v>2000</v>
      </c>
      <c r="G5" s="120">
        <v>2001</v>
      </c>
      <c r="H5" s="314">
        <v>2002</v>
      </c>
      <c r="I5" s="120">
        <v>2003</v>
      </c>
      <c r="J5" s="120">
        <v>2004</v>
      </c>
      <c r="K5" s="120">
        <v>2005</v>
      </c>
      <c r="L5" s="120">
        <v>2006</v>
      </c>
      <c r="M5" s="120">
        <v>2007</v>
      </c>
      <c r="N5" s="120">
        <v>2008</v>
      </c>
      <c r="O5" s="120">
        <v>2009</v>
      </c>
      <c r="P5" s="120">
        <v>2010</v>
      </c>
      <c r="Q5" s="120">
        <v>2011</v>
      </c>
      <c r="R5" s="120">
        <v>2012</v>
      </c>
      <c r="S5" s="120">
        <v>2013</v>
      </c>
      <c r="T5" s="120">
        <v>2014</v>
      </c>
      <c r="U5" s="120">
        <v>2015</v>
      </c>
      <c r="V5" s="120">
        <v>2016</v>
      </c>
      <c r="W5" s="120">
        <v>2017</v>
      </c>
      <c r="X5" s="120">
        <v>2018</v>
      </c>
      <c r="Y5" s="120">
        <v>2019</v>
      </c>
      <c r="Z5" s="120">
        <v>2020</v>
      </c>
      <c r="AA5" s="120">
        <v>2021</v>
      </c>
      <c r="AB5" s="120">
        <v>2022</v>
      </c>
    </row>
    <row r="6" spans="1:28">
      <c r="A6" s="121" t="s">
        <v>203</v>
      </c>
      <c r="B6" s="122">
        <v>22</v>
      </c>
      <c r="C6" s="122">
        <v>36</v>
      </c>
      <c r="D6" s="122">
        <v>37</v>
      </c>
      <c r="E6" s="122">
        <v>35</v>
      </c>
      <c r="F6" s="122">
        <v>50</v>
      </c>
      <c r="G6" s="122">
        <v>55</v>
      </c>
      <c r="H6" s="122">
        <v>47</v>
      </c>
      <c r="I6" s="122">
        <v>56</v>
      </c>
      <c r="J6" s="122">
        <v>80</v>
      </c>
      <c r="K6" s="122">
        <v>80</v>
      </c>
      <c r="L6" s="122">
        <v>79</v>
      </c>
      <c r="M6" s="122">
        <v>81</v>
      </c>
      <c r="N6" s="122">
        <v>81</v>
      </c>
      <c r="O6" s="122">
        <v>71</v>
      </c>
      <c r="P6" s="122">
        <v>67</v>
      </c>
      <c r="Q6" s="122">
        <v>66</v>
      </c>
      <c r="R6" s="122">
        <v>60</v>
      </c>
      <c r="S6" s="122">
        <v>64</v>
      </c>
      <c r="T6" s="122">
        <v>61</v>
      </c>
      <c r="U6" s="122">
        <v>65</v>
      </c>
      <c r="V6" s="122">
        <v>64</v>
      </c>
      <c r="W6" s="122">
        <v>60</v>
      </c>
      <c r="X6" s="122">
        <v>62</v>
      </c>
      <c r="Y6" s="122">
        <v>60</v>
      </c>
      <c r="Z6" s="122">
        <v>79</v>
      </c>
      <c r="AA6" s="127">
        <v>71</v>
      </c>
      <c r="AB6" s="127">
        <v>75</v>
      </c>
    </row>
    <row r="7" spans="1:28">
      <c r="A7" s="121" t="s">
        <v>204</v>
      </c>
      <c r="B7" s="122">
        <v>3497</v>
      </c>
      <c r="C7" s="122">
        <v>17381</v>
      </c>
      <c r="D7" s="122">
        <v>21618</v>
      </c>
      <c r="E7" s="122">
        <v>43777</v>
      </c>
      <c r="F7" s="122">
        <v>12853</v>
      </c>
      <c r="G7" s="122">
        <v>3826</v>
      </c>
      <c r="H7" s="122">
        <v>4407</v>
      </c>
      <c r="I7" s="122">
        <v>13734</v>
      </c>
      <c r="J7" s="122">
        <v>10508</v>
      </c>
      <c r="K7" s="122">
        <v>25995</v>
      </c>
      <c r="L7" s="122">
        <v>21901</v>
      </c>
      <c r="M7" s="122">
        <v>19779</v>
      </c>
      <c r="N7" s="122">
        <v>9066</v>
      </c>
      <c r="O7" s="122">
        <v>15115</v>
      </c>
      <c r="P7" s="122">
        <v>34529</v>
      </c>
      <c r="Q7" s="122">
        <v>81242</v>
      </c>
      <c r="R7" s="122">
        <v>159256</v>
      </c>
      <c r="S7" s="122">
        <v>74541</v>
      </c>
      <c r="T7" s="122">
        <v>56759</v>
      </c>
      <c r="U7" s="122">
        <v>70038</v>
      </c>
      <c r="V7" s="122">
        <v>54327</v>
      </c>
      <c r="W7" s="122">
        <v>38290</v>
      </c>
      <c r="X7" s="122">
        <v>46563</v>
      </c>
      <c r="Y7" s="122">
        <v>20526</v>
      </c>
      <c r="Z7" s="122">
        <v>29503</v>
      </c>
      <c r="AA7" s="127">
        <v>11977</v>
      </c>
      <c r="AB7" s="127">
        <v>5882</v>
      </c>
    </row>
    <row r="8" spans="1:28">
      <c r="A8" s="121" t="s">
        <v>205</v>
      </c>
      <c r="B8" s="123">
        <v>0.51100000000000001</v>
      </c>
      <c r="C8" s="123">
        <v>0.127</v>
      </c>
      <c r="D8" s="123">
        <v>0.188</v>
      </c>
      <c r="E8" s="123">
        <v>0.17599999999999999</v>
      </c>
      <c r="F8" s="123">
        <v>0.218</v>
      </c>
      <c r="G8" s="123">
        <v>0.34899999999999998</v>
      </c>
      <c r="H8" s="123">
        <v>0.32100000000000001</v>
      </c>
      <c r="I8" s="123">
        <v>0.24</v>
      </c>
      <c r="J8" s="123">
        <v>0.2</v>
      </c>
      <c r="K8" s="123">
        <v>0.20499999999999999</v>
      </c>
      <c r="L8" s="123">
        <v>0.14000000000000001</v>
      </c>
      <c r="M8" s="123">
        <v>0.16600000000000001</v>
      </c>
      <c r="N8" s="123">
        <v>0.224</v>
      </c>
      <c r="O8" s="123">
        <v>0.26700000000000002</v>
      </c>
      <c r="P8" s="123">
        <v>0.22500000000000001</v>
      </c>
      <c r="Q8" s="126">
        <v>0.46600000000000003</v>
      </c>
      <c r="R8" s="123">
        <v>0.111</v>
      </c>
      <c r="S8" s="123">
        <v>0.193</v>
      </c>
      <c r="T8" s="123">
        <v>0.18099999999999999</v>
      </c>
      <c r="U8" s="123">
        <v>0.16700000000000001</v>
      </c>
      <c r="V8" s="123">
        <v>0.14699999999999999</v>
      </c>
      <c r="W8" s="123">
        <v>0.17799999999999999</v>
      </c>
      <c r="X8" s="123">
        <v>0.28999999999999998</v>
      </c>
      <c r="Y8" s="123">
        <v>0.25600000000000001</v>
      </c>
      <c r="Z8" s="123">
        <v>0.23899999999999999</v>
      </c>
      <c r="AA8" s="128">
        <v>0.42</v>
      </c>
      <c r="AB8" s="128">
        <v>0.33100000000000002</v>
      </c>
    </row>
    <row r="9" spans="1:28">
      <c r="A9" s="121" t="s">
        <v>206</v>
      </c>
      <c r="B9" s="122">
        <v>1787</v>
      </c>
      <c r="C9" s="122">
        <v>2205</v>
      </c>
      <c r="D9" s="122">
        <v>4059</v>
      </c>
      <c r="E9" s="122">
        <v>7720</v>
      </c>
      <c r="F9" s="122">
        <v>2799</v>
      </c>
      <c r="G9" s="122">
        <v>1335</v>
      </c>
      <c r="H9" s="122">
        <v>1417</v>
      </c>
      <c r="I9" s="122">
        <v>3300</v>
      </c>
      <c r="J9" s="122">
        <v>2100</v>
      </c>
      <c r="K9" s="122">
        <v>5337</v>
      </c>
      <c r="L9" s="122">
        <v>3061</v>
      </c>
      <c r="M9" s="122">
        <v>3291</v>
      </c>
      <c r="N9" s="122">
        <v>2034</v>
      </c>
      <c r="O9" s="122">
        <v>4042</v>
      </c>
      <c r="P9" s="122">
        <v>7761</v>
      </c>
      <c r="Q9" s="122">
        <v>37862</v>
      </c>
      <c r="R9" s="122">
        <v>17725</v>
      </c>
      <c r="S9" s="122">
        <v>14349</v>
      </c>
      <c r="T9" s="122">
        <v>10284</v>
      </c>
      <c r="U9" s="122">
        <v>11695</v>
      </c>
      <c r="V9" s="122">
        <v>8009</v>
      </c>
      <c r="W9" s="122">
        <v>6801</v>
      </c>
      <c r="X9" s="122">
        <v>13516</v>
      </c>
      <c r="Y9" s="122">
        <v>5251</v>
      </c>
      <c r="Z9" s="122">
        <v>7045</v>
      </c>
      <c r="AA9" s="127">
        <v>5027</v>
      </c>
      <c r="AB9" s="127">
        <v>1948</v>
      </c>
    </row>
    <row r="10" spans="1:28">
      <c r="A10" s="121" t="s">
        <v>207</v>
      </c>
      <c r="B10" s="122">
        <v>1285</v>
      </c>
      <c r="C10" s="122">
        <v>13556</v>
      </c>
      <c r="D10" s="122">
        <v>14962</v>
      </c>
      <c r="E10" s="122">
        <v>30984</v>
      </c>
      <c r="F10" s="122">
        <v>8387</v>
      </c>
      <c r="G10" s="122">
        <v>1930</v>
      </c>
      <c r="H10" s="122">
        <v>2347</v>
      </c>
      <c r="I10" s="122">
        <v>8575</v>
      </c>
      <c r="J10" s="122">
        <v>7103</v>
      </c>
      <c r="K10" s="122">
        <v>17383</v>
      </c>
      <c r="L10" s="122">
        <v>16653</v>
      </c>
      <c r="M10" s="122">
        <v>14275</v>
      </c>
      <c r="N10" s="122">
        <v>5843</v>
      </c>
      <c r="O10" s="122">
        <v>8986</v>
      </c>
      <c r="P10" s="122">
        <v>22227</v>
      </c>
      <c r="Q10" s="122">
        <v>32590</v>
      </c>
      <c r="R10" s="122">
        <v>128042</v>
      </c>
      <c r="S10" s="122">
        <v>51113</v>
      </c>
      <c r="T10" s="122">
        <v>39793</v>
      </c>
      <c r="U10" s="122">
        <v>50488</v>
      </c>
      <c r="V10" s="122">
        <v>40694</v>
      </c>
      <c r="W10" s="122">
        <v>27033</v>
      </c>
      <c r="X10" s="122">
        <v>26361</v>
      </c>
      <c r="Y10" s="122">
        <v>12433</v>
      </c>
      <c r="Z10" s="122">
        <v>18476</v>
      </c>
      <c r="AA10" s="127">
        <v>5261</v>
      </c>
      <c r="AB10" s="127">
        <v>3073</v>
      </c>
    </row>
    <row r="11" spans="1:28">
      <c r="A11" s="124" t="s">
        <v>208</v>
      </c>
      <c r="B11" s="125">
        <v>9520</v>
      </c>
      <c r="C11" s="125">
        <v>22287</v>
      </c>
      <c r="D11" s="125">
        <v>31235</v>
      </c>
      <c r="E11" s="125">
        <v>61852</v>
      </c>
      <c r="F11" s="125">
        <v>19698</v>
      </c>
      <c r="G11" s="125">
        <v>7583</v>
      </c>
      <c r="H11" s="125">
        <v>8276</v>
      </c>
      <c r="I11" s="125">
        <v>21997</v>
      </c>
      <c r="J11" s="125">
        <v>15546</v>
      </c>
      <c r="K11" s="125">
        <v>38874</v>
      </c>
      <c r="L11" s="125">
        <v>28802</v>
      </c>
      <c r="M11" s="125">
        <v>27405</v>
      </c>
      <c r="N11" s="125">
        <v>14074</v>
      </c>
      <c r="O11" s="125">
        <v>25561</v>
      </c>
      <c r="P11" s="125">
        <v>53642</v>
      </c>
      <c r="Q11" s="125">
        <v>202530</v>
      </c>
      <c r="R11" s="125">
        <v>198078</v>
      </c>
      <c r="S11" s="125">
        <v>108706</v>
      </c>
      <c r="T11" s="125">
        <v>80959</v>
      </c>
      <c r="U11" s="125">
        <v>97157</v>
      </c>
      <c r="V11" s="125">
        <v>72528</v>
      </c>
      <c r="W11" s="125">
        <v>54235</v>
      </c>
      <c r="X11" s="125">
        <v>82249</v>
      </c>
      <c r="Y11" s="125">
        <v>33888</v>
      </c>
      <c r="Z11" s="125">
        <v>47111</v>
      </c>
      <c r="AA11" s="129">
        <v>27266</v>
      </c>
      <c r="AB11" s="129">
        <v>11258</v>
      </c>
    </row>
    <row r="12" spans="1:28">
      <c r="A12" s="130" t="s">
        <v>209</v>
      </c>
    </row>
  </sheetData>
  <phoneticPr fontId="2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EF26-5073-498A-B28F-9637BAD258A2}">
  <dimension ref="A1:L31"/>
  <sheetViews>
    <sheetView zoomScaleNormal="100" workbookViewId="0">
      <selection activeCell="F20" sqref="F20"/>
    </sheetView>
  </sheetViews>
  <sheetFormatPr defaultRowHeight="18.75"/>
  <cols>
    <col min="1" max="1" width="13.875" customWidth="1"/>
    <col min="7" max="7" width="2.75" customWidth="1"/>
    <col min="8" max="8" width="11.5" customWidth="1"/>
    <col min="9" max="9" width="14.25" customWidth="1"/>
  </cols>
  <sheetData>
    <row r="1" spans="1:12">
      <c r="A1" t="s">
        <v>0</v>
      </c>
    </row>
    <row r="3" spans="1:12">
      <c r="A3" s="244" t="s">
        <v>240</v>
      </c>
      <c r="B3" s="18"/>
      <c r="C3" s="18"/>
      <c r="D3" s="18"/>
      <c r="E3" s="18"/>
      <c r="F3" s="18"/>
      <c r="G3" s="18"/>
      <c r="H3" s="18"/>
      <c r="I3" s="18"/>
      <c r="L3" s="303"/>
    </row>
    <row r="4" spans="1:12">
      <c r="A4" s="315" t="s">
        <v>210</v>
      </c>
      <c r="B4" s="207">
        <v>2018</v>
      </c>
      <c r="C4" s="207">
        <v>2019</v>
      </c>
      <c r="D4" s="207">
        <v>2020</v>
      </c>
      <c r="E4" s="207">
        <v>2021</v>
      </c>
      <c r="F4" s="207">
        <v>2022</v>
      </c>
      <c r="G4" s="207"/>
      <c r="H4" s="316" t="s">
        <v>211</v>
      </c>
      <c r="I4" s="317" t="s">
        <v>212</v>
      </c>
      <c r="L4" s="303"/>
    </row>
    <row r="5" spans="1:12">
      <c r="A5" s="211">
        <v>4</v>
      </c>
      <c r="B5" s="318">
        <v>633</v>
      </c>
      <c r="C5" s="318">
        <v>586</v>
      </c>
      <c r="D5" s="318">
        <v>711</v>
      </c>
      <c r="E5" s="318">
        <v>956</v>
      </c>
      <c r="F5" s="318">
        <v>308</v>
      </c>
      <c r="G5" s="318"/>
      <c r="H5" s="318">
        <v>639</v>
      </c>
      <c r="I5" s="319">
        <v>0.08</v>
      </c>
      <c r="J5" s="320"/>
    </row>
    <row r="6" spans="1:12">
      <c r="A6" s="211">
        <v>5</v>
      </c>
      <c r="B6" s="318">
        <v>1042</v>
      </c>
      <c r="C6" s="318">
        <v>584</v>
      </c>
      <c r="D6" s="318">
        <v>771</v>
      </c>
      <c r="E6" s="318">
        <v>634</v>
      </c>
      <c r="F6" s="318">
        <v>295</v>
      </c>
      <c r="G6" s="318"/>
      <c r="H6" s="318">
        <v>665</v>
      </c>
      <c r="I6" s="319">
        <v>0.09</v>
      </c>
      <c r="J6" s="320"/>
      <c r="L6" s="301"/>
    </row>
    <row r="7" spans="1:12">
      <c r="A7" s="211">
        <v>6</v>
      </c>
      <c r="B7" s="318">
        <v>1000</v>
      </c>
      <c r="C7" s="318">
        <v>410</v>
      </c>
      <c r="D7" s="318">
        <v>289</v>
      </c>
      <c r="E7" s="318">
        <v>467</v>
      </c>
      <c r="F7" s="318">
        <v>189</v>
      </c>
      <c r="G7" s="318"/>
      <c r="H7" s="318">
        <v>471</v>
      </c>
      <c r="I7" s="319">
        <v>0.06</v>
      </c>
      <c r="J7" s="320"/>
    </row>
    <row r="8" spans="1:12">
      <c r="A8" s="211">
        <v>7</v>
      </c>
      <c r="B8" s="318">
        <v>231</v>
      </c>
      <c r="C8" s="318">
        <v>280</v>
      </c>
      <c r="D8" s="318">
        <v>153</v>
      </c>
      <c r="E8" s="318">
        <v>105</v>
      </c>
      <c r="F8" s="318">
        <v>55</v>
      </c>
      <c r="G8" s="318"/>
      <c r="H8" s="318">
        <v>165</v>
      </c>
      <c r="I8" s="319">
        <v>0.02</v>
      </c>
      <c r="J8" s="320"/>
      <c r="L8" s="321"/>
    </row>
    <row r="9" spans="1:12">
      <c r="A9" s="211">
        <v>8</v>
      </c>
      <c r="B9" s="318">
        <v>191</v>
      </c>
      <c r="C9" s="318">
        <v>201</v>
      </c>
      <c r="D9" s="318">
        <v>182</v>
      </c>
      <c r="E9" s="318">
        <v>61</v>
      </c>
      <c r="F9" s="318">
        <v>28</v>
      </c>
      <c r="G9" s="318"/>
      <c r="H9" s="318">
        <v>133</v>
      </c>
      <c r="I9" s="319">
        <v>0.02</v>
      </c>
      <c r="J9" s="320"/>
    </row>
    <row r="10" spans="1:12">
      <c r="A10" s="211">
        <v>9</v>
      </c>
      <c r="B10" s="318">
        <v>507</v>
      </c>
      <c r="C10" s="318">
        <v>465</v>
      </c>
      <c r="D10" s="318">
        <v>236</v>
      </c>
      <c r="E10" s="318">
        <v>99</v>
      </c>
      <c r="F10" s="318">
        <v>79</v>
      </c>
      <c r="G10" s="318"/>
      <c r="H10" s="318">
        <v>277</v>
      </c>
      <c r="I10" s="319">
        <v>0.04</v>
      </c>
      <c r="J10" s="320"/>
    </row>
    <row r="11" spans="1:12">
      <c r="A11" s="211">
        <v>10</v>
      </c>
      <c r="B11" s="318">
        <v>484</v>
      </c>
      <c r="C11" s="318">
        <v>391</v>
      </c>
      <c r="D11" s="318">
        <v>295</v>
      </c>
      <c r="E11" s="318">
        <v>173</v>
      </c>
      <c r="F11" s="318">
        <v>118</v>
      </c>
      <c r="G11" s="318"/>
      <c r="H11" s="318">
        <v>292</v>
      </c>
      <c r="I11" s="319">
        <v>0.04</v>
      </c>
      <c r="J11" s="320"/>
    </row>
    <row r="12" spans="1:12">
      <c r="A12" s="211">
        <v>11</v>
      </c>
      <c r="B12" s="318">
        <v>635</v>
      </c>
      <c r="C12" s="318">
        <v>244</v>
      </c>
      <c r="D12" s="318">
        <v>304</v>
      </c>
      <c r="E12" s="318">
        <v>288</v>
      </c>
      <c r="F12" s="318">
        <v>126</v>
      </c>
      <c r="G12" s="318"/>
      <c r="H12" s="318">
        <v>320</v>
      </c>
      <c r="I12" s="319">
        <v>0.04</v>
      </c>
      <c r="J12" s="320"/>
    </row>
    <row r="13" spans="1:12">
      <c r="A13" s="211">
        <v>12</v>
      </c>
      <c r="B13" s="318">
        <v>600</v>
      </c>
      <c r="C13" s="318">
        <v>390</v>
      </c>
      <c r="D13" s="318">
        <v>361</v>
      </c>
      <c r="E13" s="318">
        <v>552</v>
      </c>
      <c r="F13" s="318">
        <v>657</v>
      </c>
      <c r="G13" s="318"/>
      <c r="H13" s="318">
        <v>512</v>
      </c>
      <c r="I13" s="319">
        <v>7.0000000000000007E-2</v>
      </c>
      <c r="J13" s="320"/>
    </row>
    <row r="14" spans="1:12">
      <c r="A14" s="211">
        <v>1</v>
      </c>
      <c r="B14" s="318">
        <v>2084</v>
      </c>
      <c r="C14" s="318">
        <v>1166</v>
      </c>
      <c r="D14" s="318">
        <v>1399</v>
      </c>
      <c r="E14" s="318">
        <v>2086</v>
      </c>
      <c r="F14" s="318">
        <v>2895</v>
      </c>
      <c r="G14" s="318"/>
      <c r="H14" s="318">
        <v>1926</v>
      </c>
      <c r="I14" s="319">
        <v>0.25</v>
      </c>
      <c r="J14" s="320"/>
    </row>
    <row r="15" spans="1:12">
      <c r="A15" s="211">
        <v>2</v>
      </c>
      <c r="B15" s="318">
        <v>2043</v>
      </c>
      <c r="C15" s="318">
        <v>1149</v>
      </c>
      <c r="D15" s="318">
        <v>1435</v>
      </c>
      <c r="E15" s="318">
        <v>1407</v>
      </c>
      <c r="F15" s="318">
        <v>1323</v>
      </c>
      <c r="G15" s="318"/>
      <c r="H15" s="318">
        <v>1472</v>
      </c>
      <c r="I15" s="319">
        <v>0.19</v>
      </c>
      <c r="J15" s="320"/>
    </row>
    <row r="16" spans="1:12">
      <c r="A16" s="228">
        <v>3</v>
      </c>
      <c r="B16" s="322">
        <v>944</v>
      </c>
      <c r="C16" s="322">
        <v>699</v>
      </c>
      <c r="D16" s="322">
        <v>1002</v>
      </c>
      <c r="E16" s="322">
        <v>422</v>
      </c>
      <c r="F16" s="322">
        <v>405</v>
      </c>
      <c r="G16" s="322"/>
      <c r="H16" s="322">
        <v>694</v>
      </c>
      <c r="I16" s="323">
        <v>0.09</v>
      </c>
      <c r="J16" s="320"/>
    </row>
    <row r="17" spans="1:9">
      <c r="A17" s="212" t="s">
        <v>213</v>
      </c>
      <c r="B17" s="324">
        <v>10393</v>
      </c>
      <c r="C17" s="324">
        <v>6567</v>
      </c>
      <c r="D17" s="324">
        <v>7138</v>
      </c>
      <c r="E17" s="324">
        <v>7251</v>
      </c>
      <c r="F17" s="324">
        <v>6478</v>
      </c>
      <c r="G17" s="324"/>
      <c r="H17" s="324">
        <v>37827</v>
      </c>
      <c r="I17" s="325">
        <v>1</v>
      </c>
    </row>
    <row r="19" spans="1:9">
      <c r="B19" s="232"/>
      <c r="C19" s="232"/>
      <c r="D19" s="232"/>
      <c r="E19" s="232"/>
      <c r="F19" s="232"/>
      <c r="G19" s="232"/>
      <c r="H19" s="232"/>
      <c r="I19" s="232"/>
    </row>
    <row r="20" spans="1:9">
      <c r="B20" s="232"/>
      <c r="C20" s="232"/>
      <c r="D20" s="232"/>
      <c r="E20" s="232"/>
      <c r="F20" s="232"/>
      <c r="G20" s="232"/>
      <c r="H20" s="232"/>
      <c r="I20" s="232"/>
    </row>
    <row r="21" spans="1:9">
      <c r="B21" s="232"/>
      <c r="C21" s="232"/>
      <c r="D21" s="232"/>
      <c r="E21" s="232"/>
      <c r="F21" s="232"/>
      <c r="G21" s="232"/>
      <c r="H21" s="232"/>
      <c r="I21" s="232"/>
    </row>
    <row r="22" spans="1:9">
      <c r="B22" s="232"/>
      <c r="C22" s="232"/>
      <c r="D22" s="232"/>
      <c r="E22" s="232"/>
      <c r="F22" s="232"/>
      <c r="G22" s="232"/>
      <c r="H22" s="232"/>
      <c r="I22" s="232"/>
    </row>
    <row r="23" spans="1:9">
      <c r="B23" s="232"/>
      <c r="C23" s="232"/>
      <c r="D23" s="232"/>
      <c r="E23" s="232"/>
      <c r="F23" s="232"/>
      <c r="G23" s="232"/>
      <c r="H23" s="232"/>
      <c r="I23" s="232"/>
    </row>
    <row r="24" spans="1:9">
      <c r="B24" s="232"/>
      <c r="C24" s="232"/>
      <c r="D24" s="232"/>
      <c r="E24" s="232"/>
      <c r="F24" s="232"/>
      <c r="G24" s="232"/>
      <c r="H24" s="232"/>
      <c r="I24" s="232"/>
    </row>
    <row r="25" spans="1:9">
      <c r="B25" s="232"/>
      <c r="C25" s="232"/>
      <c r="D25" s="232"/>
      <c r="E25" s="232"/>
      <c r="F25" s="232"/>
      <c r="G25" s="232"/>
      <c r="H25" s="232"/>
      <c r="I25" s="232"/>
    </row>
    <row r="26" spans="1:9">
      <c r="B26" s="232"/>
      <c r="C26" s="232"/>
      <c r="D26" s="232"/>
      <c r="E26" s="232"/>
      <c r="F26" s="232"/>
      <c r="G26" s="232"/>
      <c r="H26" s="232"/>
      <c r="I26" s="232"/>
    </row>
    <row r="27" spans="1:9">
      <c r="B27" s="232"/>
      <c r="C27" s="232"/>
      <c r="D27" s="232"/>
      <c r="E27" s="232"/>
      <c r="F27" s="232"/>
      <c r="G27" s="232"/>
      <c r="H27" s="232"/>
      <c r="I27" s="232"/>
    </row>
    <row r="28" spans="1:9">
      <c r="B28" s="232"/>
      <c r="C28" s="232"/>
      <c r="D28" s="232"/>
      <c r="E28" s="232"/>
      <c r="F28" s="232"/>
      <c r="G28" s="232"/>
      <c r="H28" s="232"/>
      <c r="I28" s="232"/>
    </row>
    <row r="29" spans="1:9">
      <c r="B29" s="232"/>
      <c r="C29" s="232"/>
      <c r="D29" s="232"/>
      <c r="E29" s="232"/>
      <c r="F29" s="232"/>
      <c r="G29" s="232"/>
      <c r="H29" s="232"/>
      <c r="I29" s="232"/>
    </row>
    <row r="30" spans="1:9">
      <c r="B30" s="232"/>
      <c r="C30" s="232"/>
      <c r="D30" s="232"/>
      <c r="E30" s="232"/>
      <c r="F30" s="232"/>
      <c r="G30" s="232"/>
      <c r="H30" s="232"/>
      <c r="I30" s="232"/>
    </row>
    <row r="31" spans="1:9">
      <c r="B31" s="232"/>
      <c r="C31" s="232"/>
      <c r="D31" s="232"/>
      <c r="E31" s="232"/>
      <c r="F31" s="232"/>
      <c r="G31" s="232"/>
      <c r="H31" s="232"/>
      <c r="I31" s="23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2661-49B9-403A-A85E-9E5E0C428274}">
  <dimension ref="A1:N33"/>
  <sheetViews>
    <sheetView zoomScale="93" zoomScaleNormal="93" workbookViewId="0">
      <selection activeCell="F20" sqref="F20"/>
    </sheetView>
  </sheetViews>
  <sheetFormatPr defaultRowHeight="18.75"/>
  <cols>
    <col min="1" max="1" width="13.75" customWidth="1"/>
    <col min="2" max="2" width="25.625" customWidth="1"/>
  </cols>
  <sheetData>
    <row r="1" spans="1:14">
      <c r="A1" t="s">
        <v>0</v>
      </c>
    </row>
    <row r="3" spans="1:14" s="63" customFormat="1" ht="15">
      <c r="A3" s="304" t="s">
        <v>241</v>
      </c>
      <c r="F3" s="326"/>
    </row>
    <row r="4" spans="1:14" ht="19.5">
      <c r="A4" s="169" t="s">
        <v>214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4">
      <c r="A5" s="158" t="s">
        <v>97</v>
      </c>
      <c r="B5" s="158" t="s">
        <v>215</v>
      </c>
      <c r="C5" s="233" t="s">
        <v>216</v>
      </c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</row>
    <row r="6" spans="1:14">
      <c r="A6" s="159"/>
      <c r="B6" s="234" t="s">
        <v>217</v>
      </c>
      <c r="C6" s="235" t="s">
        <v>218</v>
      </c>
      <c r="D6" s="235" t="s">
        <v>219</v>
      </c>
      <c r="E6" s="235" t="s">
        <v>220</v>
      </c>
      <c r="F6" s="235" t="s">
        <v>221</v>
      </c>
      <c r="G6" s="235" t="s">
        <v>222</v>
      </c>
      <c r="H6" s="235" t="s">
        <v>223</v>
      </c>
      <c r="I6" s="235" t="s">
        <v>224</v>
      </c>
      <c r="J6" s="235" t="s">
        <v>225</v>
      </c>
      <c r="K6" s="235" t="s">
        <v>226</v>
      </c>
      <c r="L6" s="235" t="s">
        <v>227</v>
      </c>
      <c r="M6" s="235" t="s">
        <v>228</v>
      </c>
      <c r="N6" s="235" t="s">
        <v>229</v>
      </c>
    </row>
    <row r="7" spans="1:14">
      <c r="A7" s="158" t="s">
        <v>230</v>
      </c>
      <c r="B7" s="236">
        <v>7.3</v>
      </c>
      <c r="C7" s="237">
        <v>0.62</v>
      </c>
      <c r="D7" s="237">
        <v>0.64</v>
      </c>
      <c r="E7" s="237">
        <v>0.45</v>
      </c>
      <c r="F7" s="237">
        <v>0.16</v>
      </c>
      <c r="G7" s="237">
        <v>0.13</v>
      </c>
      <c r="H7" s="237">
        <v>0.27</v>
      </c>
      <c r="I7" s="237">
        <v>0.28000000000000003</v>
      </c>
      <c r="J7" s="237">
        <v>0.31</v>
      </c>
      <c r="K7" s="237">
        <v>0.49</v>
      </c>
      <c r="L7" s="237">
        <v>1.86</v>
      </c>
      <c r="M7" s="237">
        <v>1.42</v>
      </c>
      <c r="N7" s="237">
        <v>0.67</v>
      </c>
    </row>
    <row r="8" spans="1:14">
      <c r="A8" s="158" t="s">
        <v>231</v>
      </c>
      <c r="B8" s="236">
        <v>6.3</v>
      </c>
      <c r="C8" s="237">
        <v>0.53</v>
      </c>
      <c r="D8" s="237">
        <v>0.55000000000000004</v>
      </c>
      <c r="E8" s="237">
        <v>0.39</v>
      </c>
      <c r="F8" s="237">
        <v>0.14000000000000001</v>
      </c>
      <c r="G8" s="237">
        <v>0.11</v>
      </c>
      <c r="H8" s="237">
        <v>0.23</v>
      </c>
      <c r="I8" s="237">
        <v>0.24</v>
      </c>
      <c r="J8" s="237">
        <v>0.27</v>
      </c>
      <c r="K8" s="237">
        <v>0.43</v>
      </c>
      <c r="L8" s="237">
        <v>1.6</v>
      </c>
      <c r="M8" s="237">
        <v>1.23</v>
      </c>
      <c r="N8" s="237">
        <v>0.57999999999999996</v>
      </c>
    </row>
    <row r="9" spans="1:14">
      <c r="A9" s="158" t="s">
        <v>157</v>
      </c>
      <c r="B9" s="236">
        <v>6</v>
      </c>
      <c r="C9" s="237">
        <v>0.51</v>
      </c>
      <c r="D9" s="237">
        <v>0.53</v>
      </c>
      <c r="E9" s="237">
        <v>0.37</v>
      </c>
      <c r="F9" s="237">
        <v>0.13</v>
      </c>
      <c r="G9" s="237">
        <v>0.11</v>
      </c>
      <c r="H9" s="237">
        <v>0.22</v>
      </c>
      <c r="I9" s="237">
        <v>0.23</v>
      </c>
      <c r="J9" s="237">
        <v>0.25</v>
      </c>
      <c r="K9" s="237">
        <v>0.41</v>
      </c>
      <c r="L9" s="237">
        <v>1.53</v>
      </c>
      <c r="M9" s="237">
        <v>1.17</v>
      </c>
      <c r="N9" s="237">
        <v>0.55000000000000004</v>
      </c>
    </row>
    <row r="10" spans="1:14">
      <c r="A10" s="158" t="s">
        <v>232</v>
      </c>
      <c r="B10" s="236">
        <v>5.8</v>
      </c>
      <c r="C10" s="237">
        <v>0.49</v>
      </c>
      <c r="D10" s="237">
        <v>0.51</v>
      </c>
      <c r="E10" s="237">
        <v>0.36</v>
      </c>
      <c r="F10" s="237">
        <v>0.13</v>
      </c>
      <c r="G10" s="237">
        <v>0.1</v>
      </c>
      <c r="H10" s="237">
        <v>0.21</v>
      </c>
      <c r="I10" s="237">
        <v>0.22</v>
      </c>
      <c r="J10" s="237">
        <v>0.24</v>
      </c>
      <c r="K10" s="237">
        <v>0.39</v>
      </c>
      <c r="L10" s="237">
        <v>1.48</v>
      </c>
      <c r="M10" s="237">
        <v>1.1299999999999999</v>
      </c>
      <c r="N10" s="237">
        <v>0.53</v>
      </c>
    </row>
    <row r="11" spans="1:14">
      <c r="A11" s="158" t="s">
        <v>233</v>
      </c>
      <c r="B11" s="236">
        <v>5.0999999999999996</v>
      </c>
      <c r="C11" s="237">
        <v>0.43</v>
      </c>
      <c r="D11" s="237">
        <v>0.45</v>
      </c>
      <c r="E11" s="237">
        <v>0.32</v>
      </c>
      <c r="F11" s="237">
        <v>0.11</v>
      </c>
      <c r="G11" s="237">
        <v>0.09</v>
      </c>
      <c r="H11" s="237">
        <v>0.19</v>
      </c>
      <c r="I11" s="237">
        <v>0.2</v>
      </c>
      <c r="J11" s="237">
        <v>0.22</v>
      </c>
      <c r="K11" s="237">
        <v>0.35</v>
      </c>
      <c r="L11" s="237">
        <v>1.3</v>
      </c>
      <c r="M11" s="237">
        <v>0.99</v>
      </c>
      <c r="N11" s="237">
        <v>0.47</v>
      </c>
    </row>
    <row r="12" spans="1:14">
      <c r="A12" s="159" t="s">
        <v>56</v>
      </c>
      <c r="B12" s="238">
        <v>6.8</v>
      </c>
      <c r="C12" s="239">
        <v>0.56999999999999995</v>
      </c>
      <c r="D12" s="239">
        <v>0.6</v>
      </c>
      <c r="E12" s="239">
        <v>0.42</v>
      </c>
      <c r="F12" s="239">
        <v>0.15</v>
      </c>
      <c r="G12" s="239">
        <v>0.12</v>
      </c>
      <c r="H12" s="239">
        <v>0.25</v>
      </c>
      <c r="I12" s="239">
        <v>0.26</v>
      </c>
      <c r="J12" s="239">
        <v>0.28999999999999998</v>
      </c>
      <c r="K12" s="239">
        <v>0.46</v>
      </c>
      <c r="L12" s="239">
        <v>1.73</v>
      </c>
      <c r="M12" s="239">
        <v>1.32</v>
      </c>
      <c r="N12" s="239">
        <v>0.62</v>
      </c>
    </row>
    <row r="13" spans="1:14">
      <c r="A13" s="159" t="s">
        <v>234</v>
      </c>
      <c r="B13" s="159"/>
      <c r="C13" s="239">
        <v>0.08</v>
      </c>
      <c r="D13" s="239">
        <v>0.09</v>
      </c>
      <c r="E13" s="239">
        <v>0.06</v>
      </c>
      <c r="F13" s="239">
        <v>0.02</v>
      </c>
      <c r="G13" s="239">
        <v>0.02</v>
      </c>
      <c r="H13" s="239">
        <v>0.04</v>
      </c>
      <c r="I13" s="239">
        <v>0.04</v>
      </c>
      <c r="J13" s="239">
        <v>0.04</v>
      </c>
      <c r="K13" s="239">
        <v>7.0000000000000007E-2</v>
      </c>
      <c r="L13" s="239">
        <v>0.25</v>
      </c>
      <c r="M13" s="239">
        <v>0.19</v>
      </c>
      <c r="N13" s="239">
        <v>0.09</v>
      </c>
    </row>
    <row r="14" spans="1:14">
      <c r="A14" s="158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</row>
    <row r="15" spans="1:14" ht="19.5">
      <c r="A15" s="167" t="s">
        <v>235</v>
      </c>
      <c r="B15" s="159"/>
      <c r="C15" s="159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</row>
    <row r="16" spans="1:14">
      <c r="A16" s="270" t="s">
        <v>97</v>
      </c>
      <c r="B16" s="158" t="s">
        <v>215</v>
      </c>
      <c r="C16" s="240" t="s">
        <v>236</v>
      </c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</row>
    <row r="17" spans="1:14">
      <c r="A17" s="159"/>
      <c r="B17" s="234" t="s">
        <v>217</v>
      </c>
      <c r="C17" s="235" t="s">
        <v>218</v>
      </c>
      <c r="D17" s="235" t="s">
        <v>219</v>
      </c>
      <c r="E17" s="235" t="s">
        <v>220</v>
      </c>
      <c r="F17" s="235" t="s">
        <v>221</v>
      </c>
      <c r="G17" s="235" t="s">
        <v>222</v>
      </c>
      <c r="H17" s="235" t="s">
        <v>223</v>
      </c>
      <c r="I17" s="235" t="s">
        <v>224</v>
      </c>
      <c r="J17" s="235" t="s">
        <v>225</v>
      </c>
      <c r="K17" s="235" t="s">
        <v>226</v>
      </c>
      <c r="L17" s="235" t="s">
        <v>227</v>
      </c>
      <c r="M17" s="235" t="s">
        <v>228</v>
      </c>
      <c r="N17" s="235" t="s">
        <v>229</v>
      </c>
    </row>
    <row r="18" spans="1:14">
      <c r="A18" s="158" t="s">
        <v>230</v>
      </c>
      <c r="B18" s="241">
        <v>6.2</v>
      </c>
      <c r="C18" s="237">
        <v>0.52</v>
      </c>
      <c r="D18" s="237">
        <v>0.55000000000000004</v>
      </c>
      <c r="E18" s="237">
        <v>0.39</v>
      </c>
      <c r="F18" s="237">
        <v>0.14000000000000001</v>
      </c>
      <c r="G18" s="237">
        <v>0.11</v>
      </c>
      <c r="H18" s="237">
        <v>0.23</v>
      </c>
      <c r="I18" s="237">
        <v>0.24</v>
      </c>
      <c r="J18" s="237">
        <v>0.26</v>
      </c>
      <c r="K18" s="237">
        <v>0.42</v>
      </c>
      <c r="L18" s="237">
        <v>1.58</v>
      </c>
      <c r="M18" s="237">
        <v>1.21</v>
      </c>
      <c r="N18" s="237">
        <v>0.56999999999999995</v>
      </c>
    </row>
    <row r="19" spans="1:14">
      <c r="A19" s="158" t="s">
        <v>231</v>
      </c>
      <c r="B19" s="241">
        <v>6.3</v>
      </c>
      <c r="C19" s="237">
        <v>0.53</v>
      </c>
      <c r="D19" s="237">
        <v>0.55000000000000004</v>
      </c>
      <c r="E19" s="237">
        <v>0.39</v>
      </c>
      <c r="F19" s="237">
        <v>0.14000000000000001</v>
      </c>
      <c r="G19" s="237">
        <v>0.11</v>
      </c>
      <c r="H19" s="237">
        <v>0.23</v>
      </c>
      <c r="I19" s="237">
        <v>0.24</v>
      </c>
      <c r="J19" s="237">
        <v>0.27</v>
      </c>
      <c r="K19" s="237">
        <v>0.43</v>
      </c>
      <c r="L19" s="237">
        <v>1.6</v>
      </c>
      <c r="M19" s="237">
        <v>1.23</v>
      </c>
      <c r="N19" s="237">
        <v>0.57999999999999996</v>
      </c>
    </row>
    <row r="20" spans="1:14">
      <c r="A20" s="158" t="s">
        <v>157</v>
      </c>
      <c r="B20" s="241">
        <v>6.2</v>
      </c>
      <c r="C20" s="237">
        <v>0.52</v>
      </c>
      <c r="D20" s="237">
        <v>0.55000000000000004</v>
      </c>
      <c r="E20" s="237">
        <v>0.39</v>
      </c>
      <c r="F20" s="237">
        <v>0.14000000000000001</v>
      </c>
      <c r="G20" s="237">
        <v>0.11</v>
      </c>
      <c r="H20" s="237">
        <v>0.23</v>
      </c>
      <c r="I20" s="237">
        <v>0.24</v>
      </c>
      <c r="J20" s="237">
        <v>0.26</v>
      </c>
      <c r="K20" s="237">
        <v>0.42</v>
      </c>
      <c r="L20" s="237">
        <v>1.58</v>
      </c>
      <c r="M20" s="237">
        <v>1.21</v>
      </c>
      <c r="N20" s="237">
        <v>0.56999999999999995</v>
      </c>
    </row>
    <row r="21" spans="1:14">
      <c r="A21" s="158" t="s">
        <v>232</v>
      </c>
      <c r="B21" s="241">
        <v>6.2</v>
      </c>
      <c r="C21" s="237">
        <v>0.52</v>
      </c>
      <c r="D21" s="237">
        <v>0.55000000000000004</v>
      </c>
      <c r="E21" s="237">
        <v>0.39</v>
      </c>
      <c r="F21" s="237">
        <v>0.14000000000000001</v>
      </c>
      <c r="G21" s="237">
        <v>0.11</v>
      </c>
      <c r="H21" s="237">
        <v>0.23</v>
      </c>
      <c r="I21" s="237">
        <v>0.24</v>
      </c>
      <c r="J21" s="237">
        <v>0.26</v>
      </c>
      <c r="K21" s="237">
        <v>0.42</v>
      </c>
      <c r="L21" s="237">
        <v>1.58</v>
      </c>
      <c r="M21" s="237">
        <v>1.21</v>
      </c>
      <c r="N21" s="237">
        <v>0.56999999999999995</v>
      </c>
    </row>
    <row r="22" spans="1:14">
      <c r="A22" s="158" t="s">
        <v>233</v>
      </c>
      <c r="B22" s="241">
        <v>6.1</v>
      </c>
      <c r="C22" s="237">
        <v>0.52</v>
      </c>
      <c r="D22" s="237">
        <v>0.54</v>
      </c>
      <c r="E22" s="237">
        <v>0.38</v>
      </c>
      <c r="F22" s="237">
        <v>0.13</v>
      </c>
      <c r="G22" s="237">
        <v>0.11</v>
      </c>
      <c r="H22" s="237">
        <v>0.22</v>
      </c>
      <c r="I22" s="237">
        <v>0.24</v>
      </c>
      <c r="J22" s="237">
        <v>0.26</v>
      </c>
      <c r="K22" s="237">
        <v>0.41</v>
      </c>
      <c r="L22" s="237">
        <v>1.55</v>
      </c>
      <c r="M22" s="237">
        <v>1.19</v>
      </c>
      <c r="N22" s="237">
        <v>0.56000000000000005</v>
      </c>
    </row>
    <row r="23" spans="1:14">
      <c r="A23" s="159" t="s">
        <v>56</v>
      </c>
      <c r="B23" s="235">
        <v>6.9</v>
      </c>
      <c r="C23" s="239">
        <v>0.57999999999999996</v>
      </c>
      <c r="D23" s="239">
        <v>0.61</v>
      </c>
      <c r="E23" s="239">
        <v>0.43</v>
      </c>
      <c r="F23" s="239">
        <v>0.15</v>
      </c>
      <c r="G23" s="239">
        <v>0.12</v>
      </c>
      <c r="H23" s="239">
        <v>0.25</v>
      </c>
      <c r="I23" s="239">
        <v>0.27</v>
      </c>
      <c r="J23" s="239">
        <v>0.28999999999999998</v>
      </c>
      <c r="K23" s="239">
        <v>0.47</v>
      </c>
      <c r="L23" s="239">
        <v>1.76</v>
      </c>
      <c r="M23" s="239">
        <v>1.34</v>
      </c>
      <c r="N23" s="239">
        <v>0.63</v>
      </c>
    </row>
    <row r="24" spans="1:14">
      <c r="A24" s="159" t="s">
        <v>234</v>
      </c>
      <c r="B24" s="159"/>
      <c r="C24" s="239">
        <v>0.08</v>
      </c>
      <c r="D24" s="239">
        <v>0.09</v>
      </c>
      <c r="E24" s="239">
        <v>0.06</v>
      </c>
      <c r="F24" s="239">
        <v>0.02</v>
      </c>
      <c r="G24" s="239">
        <v>0.02</v>
      </c>
      <c r="H24" s="239">
        <v>0.04</v>
      </c>
      <c r="I24" s="239">
        <v>0.04</v>
      </c>
      <c r="J24" s="239">
        <v>0.04</v>
      </c>
      <c r="K24" s="239">
        <v>7.0000000000000007E-2</v>
      </c>
      <c r="L24" s="239">
        <v>0.25</v>
      </c>
      <c r="M24" s="239">
        <v>0.19</v>
      </c>
      <c r="N24" s="239">
        <v>0.09</v>
      </c>
    </row>
    <row r="26" spans="1:14"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</row>
    <row r="27" spans="1:14"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</row>
    <row r="28" spans="1:14"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</row>
    <row r="29" spans="1:14"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</row>
    <row r="30" spans="1:14"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</row>
    <row r="31" spans="1:14"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</row>
    <row r="32" spans="1:14"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</row>
    <row r="33" spans="3:3">
      <c r="C33" s="24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CEC4-1300-40EA-AF04-75CA070B061A}">
  <dimension ref="A1:I31"/>
  <sheetViews>
    <sheetView zoomScale="86" zoomScaleNormal="86" workbookViewId="0">
      <selection activeCell="F20" sqref="F20"/>
    </sheetView>
  </sheetViews>
  <sheetFormatPr defaultRowHeight="18.75"/>
  <cols>
    <col min="1" max="1" width="14.625" customWidth="1"/>
    <col min="6" max="6" width="12" customWidth="1"/>
    <col min="7" max="7" width="16" customWidth="1"/>
  </cols>
  <sheetData>
    <row r="1" spans="1:9">
      <c r="A1" t="s">
        <v>0</v>
      </c>
    </row>
    <row r="3" spans="1:9">
      <c r="A3" s="244" t="s">
        <v>237</v>
      </c>
      <c r="B3" s="18"/>
      <c r="C3" s="18"/>
      <c r="D3" s="18"/>
      <c r="E3" s="18"/>
      <c r="F3" s="18"/>
      <c r="G3" s="18"/>
    </row>
    <row r="4" spans="1:9">
      <c r="A4" s="212" t="s">
        <v>238</v>
      </c>
      <c r="B4" s="207">
        <v>2020</v>
      </c>
      <c r="C4" s="207">
        <v>2021</v>
      </c>
      <c r="D4" s="207">
        <v>2022</v>
      </c>
      <c r="E4" s="207"/>
      <c r="F4" s="207" t="s">
        <v>211</v>
      </c>
      <c r="G4" s="207" t="s">
        <v>212</v>
      </c>
      <c r="I4" s="301"/>
    </row>
    <row r="5" spans="1:9">
      <c r="A5" s="211">
        <v>4</v>
      </c>
      <c r="B5" s="227">
        <v>711</v>
      </c>
      <c r="C5" s="227">
        <v>956</v>
      </c>
      <c r="D5" s="227">
        <v>308</v>
      </c>
      <c r="E5" s="227"/>
      <c r="F5" s="227">
        <v>658</v>
      </c>
      <c r="G5" s="319">
        <v>0.09</v>
      </c>
      <c r="H5" s="320"/>
    </row>
    <row r="6" spans="1:9">
      <c r="A6" s="211">
        <v>5</v>
      </c>
      <c r="B6" s="227">
        <v>771</v>
      </c>
      <c r="C6" s="227">
        <v>634</v>
      </c>
      <c r="D6" s="227">
        <v>295</v>
      </c>
      <c r="E6" s="227"/>
      <c r="F6" s="227">
        <v>567</v>
      </c>
      <c r="G6" s="319">
        <v>0.08</v>
      </c>
      <c r="H6" s="320"/>
    </row>
    <row r="7" spans="1:9">
      <c r="A7" s="211">
        <v>6</v>
      </c>
      <c r="B7" s="227">
        <v>289</v>
      </c>
      <c r="C7" s="227">
        <v>467</v>
      </c>
      <c r="D7" s="227">
        <v>189</v>
      </c>
      <c r="E7" s="227"/>
      <c r="F7" s="227">
        <v>315</v>
      </c>
      <c r="G7" s="319">
        <v>0.05</v>
      </c>
      <c r="H7" s="320"/>
    </row>
    <row r="8" spans="1:9">
      <c r="A8" s="211">
        <v>7</v>
      </c>
      <c r="B8" s="227">
        <v>153</v>
      </c>
      <c r="C8" s="227">
        <v>105</v>
      </c>
      <c r="D8" s="227">
        <v>55</v>
      </c>
      <c r="E8" s="227"/>
      <c r="F8" s="227">
        <v>104</v>
      </c>
      <c r="G8" s="319">
        <v>0.01</v>
      </c>
      <c r="H8" s="320"/>
      <c r="I8" s="321"/>
    </row>
    <row r="9" spans="1:9">
      <c r="A9" s="211">
        <v>8</v>
      </c>
      <c r="B9" s="227">
        <v>182</v>
      </c>
      <c r="C9" s="227">
        <v>61</v>
      </c>
      <c r="D9" s="227">
        <v>28</v>
      </c>
      <c r="E9" s="227"/>
      <c r="F9" s="227">
        <v>90</v>
      </c>
      <c r="G9" s="319">
        <v>0.01</v>
      </c>
      <c r="H9" s="320"/>
    </row>
    <row r="10" spans="1:9">
      <c r="A10" s="211">
        <v>9</v>
      </c>
      <c r="B10" s="227">
        <v>236</v>
      </c>
      <c r="C10" s="227">
        <v>99</v>
      </c>
      <c r="D10" s="227">
        <v>79</v>
      </c>
      <c r="E10" s="227"/>
      <c r="F10" s="227">
        <v>138</v>
      </c>
      <c r="G10" s="319">
        <v>0.02</v>
      </c>
      <c r="H10" s="320"/>
    </row>
    <row r="11" spans="1:9">
      <c r="A11" s="211">
        <v>10</v>
      </c>
      <c r="B11" s="227">
        <v>295</v>
      </c>
      <c r="C11" s="227">
        <v>173</v>
      </c>
      <c r="D11" s="227">
        <v>118</v>
      </c>
      <c r="E11" s="227"/>
      <c r="F11" s="227">
        <v>195</v>
      </c>
      <c r="G11" s="319">
        <v>0.03</v>
      </c>
      <c r="H11" s="320"/>
    </row>
    <row r="12" spans="1:9">
      <c r="A12" s="211">
        <v>11</v>
      </c>
      <c r="B12" s="227">
        <v>304</v>
      </c>
      <c r="C12" s="227">
        <v>288</v>
      </c>
      <c r="D12" s="227">
        <v>126</v>
      </c>
      <c r="E12" s="227"/>
      <c r="F12" s="227">
        <v>239</v>
      </c>
      <c r="G12" s="319">
        <v>0.03</v>
      </c>
      <c r="H12" s="320"/>
    </row>
    <row r="13" spans="1:9">
      <c r="A13" s="211">
        <v>12</v>
      </c>
      <c r="B13" s="227">
        <v>361</v>
      </c>
      <c r="C13" s="227">
        <v>552</v>
      </c>
      <c r="D13" s="227">
        <v>657</v>
      </c>
      <c r="E13" s="227"/>
      <c r="F13" s="227">
        <v>523</v>
      </c>
      <c r="G13" s="319">
        <v>0.08</v>
      </c>
      <c r="H13" s="320"/>
    </row>
    <row r="14" spans="1:9">
      <c r="A14" s="211">
        <v>1</v>
      </c>
      <c r="B14" s="227">
        <v>1399</v>
      </c>
      <c r="C14" s="227">
        <v>2086</v>
      </c>
      <c r="D14" s="227">
        <v>2895</v>
      </c>
      <c r="E14" s="227"/>
      <c r="F14" s="227">
        <v>2126</v>
      </c>
      <c r="G14" s="319">
        <v>0.31</v>
      </c>
      <c r="H14" s="320"/>
    </row>
    <row r="15" spans="1:9">
      <c r="A15" s="211">
        <v>2</v>
      </c>
      <c r="B15" s="227">
        <v>1435</v>
      </c>
      <c r="C15" s="227">
        <v>1407</v>
      </c>
      <c r="D15" s="227">
        <v>1323</v>
      </c>
      <c r="E15" s="227"/>
      <c r="F15" s="227">
        <v>1388</v>
      </c>
      <c r="G15" s="319">
        <v>0.2</v>
      </c>
      <c r="H15" s="320"/>
    </row>
    <row r="16" spans="1:9">
      <c r="A16" s="228">
        <v>3</v>
      </c>
      <c r="B16" s="229">
        <v>1002</v>
      </c>
      <c r="C16" s="229">
        <v>422</v>
      </c>
      <c r="D16" s="229">
        <v>405</v>
      </c>
      <c r="E16" s="229"/>
      <c r="F16" s="229">
        <v>610</v>
      </c>
      <c r="G16" s="323">
        <v>0.09</v>
      </c>
      <c r="H16" s="320"/>
    </row>
    <row r="17" spans="1:7">
      <c r="A17" s="212" t="s">
        <v>213</v>
      </c>
      <c r="B17" s="230">
        <v>7138</v>
      </c>
      <c r="C17" s="230">
        <v>7251</v>
      </c>
      <c r="D17" s="230">
        <v>6478</v>
      </c>
      <c r="E17" s="230"/>
      <c r="F17" s="230">
        <v>20867</v>
      </c>
      <c r="G17" s="231">
        <v>1</v>
      </c>
    </row>
    <row r="19" spans="1:7">
      <c r="B19" s="232"/>
      <c r="C19" s="232"/>
      <c r="D19" s="232"/>
      <c r="E19" s="232"/>
      <c r="F19" s="232"/>
    </row>
    <row r="20" spans="1:7">
      <c r="B20" s="232"/>
      <c r="C20" s="232"/>
      <c r="D20" s="232"/>
      <c r="E20" s="232"/>
      <c r="F20" s="232"/>
    </row>
    <row r="21" spans="1:7">
      <c r="B21" s="232"/>
      <c r="C21" s="232"/>
      <c r="D21" s="232"/>
      <c r="E21" s="232"/>
      <c r="F21" s="232"/>
    </row>
    <row r="22" spans="1:7">
      <c r="B22" s="232"/>
      <c r="C22" s="232"/>
      <c r="D22" s="232"/>
      <c r="E22" s="232"/>
      <c r="F22" s="232"/>
    </row>
    <row r="23" spans="1:7">
      <c r="B23" s="232"/>
      <c r="C23" s="232"/>
      <c r="D23" s="232"/>
      <c r="E23" s="232"/>
      <c r="F23" s="232"/>
    </row>
    <row r="24" spans="1:7">
      <c r="B24" s="232"/>
      <c r="C24" s="232"/>
      <c r="D24" s="232"/>
      <c r="E24" s="232"/>
      <c r="F24" s="232"/>
    </row>
    <row r="25" spans="1:7">
      <c r="B25" s="232"/>
      <c r="C25" s="232"/>
      <c r="D25" s="232"/>
      <c r="E25" s="232"/>
      <c r="F25" s="232"/>
    </row>
    <row r="26" spans="1:7">
      <c r="B26" s="232"/>
      <c r="C26" s="232"/>
      <c r="D26" s="232"/>
      <c r="E26" s="232"/>
      <c r="F26" s="232"/>
    </row>
    <row r="27" spans="1:7">
      <c r="B27" s="232"/>
      <c r="C27" s="232"/>
      <c r="D27" s="232"/>
      <c r="E27" s="232"/>
      <c r="F27" s="232"/>
    </row>
    <row r="28" spans="1:7">
      <c r="B28" s="232"/>
      <c r="C28" s="232"/>
      <c r="D28" s="232"/>
      <c r="E28" s="232"/>
      <c r="F28" s="232"/>
    </row>
    <row r="29" spans="1:7">
      <c r="B29" s="232"/>
      <c r="C29" s="232"/>
      <c r="D29" s="232"/>
      <c r="E29" s="232"/>
      <c r="F29" s="232"/>
    </row>
    <row r="30" spans="1:7">
      <c r="B30" s="232"/>
      <c r="C30" s="232"/>
      <c r="D30" s="232"/>
      <c r="E30" s="232"/>
      <c r="F30" s="232"/>
    </row>
    <row r="31" spans="1:7">
      <c r="B31" s="232"/>
      <c r="C31" s="232"/>
      <c r="D31" s="232"/>
      <c r="E31" s="232"/>
      <c r="F31" s="23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45C8-3720-4903-B68E-9755E0C66D70}">
  <dimension ref="A1:N36"/>
  <sheetViews>
    <sheetView zoomScaleNormal="100" workbookViewId="0">
      <selection activeCell="F20" sqref="F20"/>
    </sheetView>
  </sheetViews>
  <sheetFormatPr defaultRowHeight="18.75"/>
  <cols>
    <col min="1" max="1" width="14.875" customWidth="1"/>
    <col min="2" max="2" width="25.75" customWidth="1"/>
  </cols>
  <sheetData>
    <row r="1" spans="1:14">
      <c r="A1" t="s">
        <v>0</v>
      </c>
    </row>
    <row r="4" spans="1:14">
      <c r="A4" t="s">
        <v>242</v>
      </c>
      <c r="C4" s="271"/>
      <c r="F4" s="303"/>
    </row>
    <row r="5" spans="1:14" ht="19.5">
      <c r="A5" s="169" t="s">
        <v>214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4">
      <c r="A6" s="158" t="s">
        <v>97</v>
      </c>
      <c r="B6" s="158" t="s">
        <v>215</v>
      </c>
      <c r="C6" s="233" t="s">
        <v>216</v>
      </c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</row>
    <row r="7" spans="1:14">
      <c r="A7" s="159"/>
      <c r="B7" s="234" t="s">
        <v>217</v>
      </c>
      <c r="C7" s="235" t="s">
        <v>218</v>
      </c>
      <c r="D7" s="235" t="s">
        <v>219</v>
      </c>
      <c r="E7" s="235" t="s">
        <v>220</v>
      </c>
      <c r="F7" s="235" t="s">
        <v>221</v>
      </c>
      <c r="G7" s="235" t="s">
        <v>222</v>
      </c>
      <c r="H7" s="235" t="s">
        <v>223</v>
      </c>
      <c r="I7" s="235" t="s">
        <v>224</v>
      </c>
      <c r="J7" s="235" t="s">
        <v>225</v>
      </c>
      <c r="K7" s="235" t="s">
        <v>226</v>
      </c>
      <c r="L7" s="235" t="s">
        <v>227</v>
      </c>
      <c r="M7" s="235" t="s">
        <v>228</v>
      </c>
      <c r="N7" s="235" t="s">
        <v>229</v>
      </c>
    </row>
    <row r="8" spans="1:14">
      <c r="A8" s="158" t="s">
        <v>230</v>
      </c>
      <c r="B8" s="236">
        <v>7.3</v>
      </c>
      <c r="C8" s="237">
        <v>0.69</v>
      </c>
      <c r="D8" s="237">
        <v>0.59</v>
      </c>
      <c r="E8" s="237">
        <v>0.33</v>
      </c>
      <c r="F8" s="237">
        <v>0.11</v>
      </c>
      <c r="G8" s="237">
        <v>0.09</v>
      </c>
      <c r="H8" s="237">
        <v>0.14000000000000001</v>
      </c>
      <c r="I8" s="237">
        <v>0.2</v>
      </c>
      <c r="J8" s="237">
        <v>0.25</v>
      </c>
      <c r="K8" s="237">
        <v>0.55000000000000004</v>
      </c>
      <c r="L8" s="237">
        <v>2.23</v>
      </c>
      <c r="M8" s="237">
        <v>1.46</v>
      </c>
      <c r="N8" s="237">
        <v>0.64</v>
      </c>
    </row>
    <row r="9" spans="1:14">
      <c r="A9" s="158" t="s">
        <v>231</v>
      </c>
      <c r="B9" s="236">
        <v>6.3</v>
      </c>
      <c r="C9" s="237">
        <v>0.6</v>
      </c>
      <c r="D9" s="237">
        <v>0.51</v>
      </c>
      <c r="E9" s="237">
        <v>0.28999999999999998</v>
      </c>
      <c r="F9" s="237">
        <v>0.09</v>
      </c>
      <c r="G9" s="237">
        <v>0.08</v>
      </c>
      <c r="H9" s="237">
        <v>0.12</v>
      </c>
      <c r="I9" s="237">
        <v>0.18</v>
      </c>
      <c r="J9" s="237">
        <v>0.22</v>
      </c>
      <c r="K9" s="237">
        <v>0.47</v>
      </c>
      <c r="L9" s="237">
        <v>1.93</v>
      </c>
      <c r="M9" s="237">
        <v>1.26</v>
      </c>
      <c r="N9" s="237">
        <v>0.55000000000000004</v>
      </c>
    </row>
    <row r="10" spans="1:14">
      <c r="A10" s="158" t="s">
        <v>157</v>
      </c>
      <c r="B10" s="236">
        <v>6</v>
      </c>
      <c r="C10" s="237">
        <v>0.56999999999999995</v>
      </c>
      <c r="D10" s="237">
        <v>0.49</v>
      </c>
      <c r="E10" s="237">
        <v>0.27</v>
      </c>
      <c r="F10" s="237">
        <v>0.09</v>
      </c>
      <c r="G10" s="237">
        <v>0.08</v>
      </c>
      <c r="H10" s="237">
        <v>0.12</v>
      </c>
      <c r="I10" s="237">
        <v>0.17</v>
      </c>
      <c r="J10" s="237">
        <v>0.21</v>
      </c>
      <c r="K10" s="237">
        <v>0.45</v>
      </c>
      <c r="L10" s="237">
        <v>1.83</v>
      </c>
      <c r="M10" s="237">
        <v>1.2</v>
      </c>
      <c r="N10" s="237">
        <v>0.53</v>
      </c>
    </row>
    <row r="11" spans="1:14">
      <c r="A11" s="158" t="s">
        <v>232</v>
      </c>
      <c r="B11" s="236">
        <v>5.8</v>
      </c>
      <c r="C11" s="237">
        <v>0.55000000000000004</v>
      </c>
      <c r="D11" s="237">
        <v>0.47</v>
      </c>
      <c r="E11" s="237">
        <v>0.26</v>
      </c>
      <c r="F11" s="237">
        <v>0.09</v>
      </c>
      <c r="G11" s="237">
        <v>0.08</v>
      </c>
      <c r="H11" s="237">
        <v>0.11</v>
      </c>
      <c r="I11" s="237">
        <v>0.16</v>
      </c>
      <c r="J11" s="237">
        <v>0.2</v>
      </c>
      <c r="K11" s="237">
        <v>0.44</v>
      </c>
      <c r="L11" s="237">
        <v>1.77</v>
      </c>
      <c r="M11" s="237">
        <v>1.1599999999999999</v>
      </c>
      <c r="N11" s="237">
        <v>0.51</v>
      </c>
    </row>
    <row r="12" spans="1:14">
      <c r="A12" s="158" t="s">
        <v>233</v>
      </c>
      <c r="B12" s="236">
        <v>5.0999999999999996</v>
      </c>
      <c r="C12" s="237">
        <v>0.48</v>
      </c>
      <c r="D12" s="237">
        <v>0.42</v>
      </c>
      <c r="E12" s="237">
        <v>0.23</v>
      </c>
      <c r="F12" s="237">
        <v>0.08</v>
      </c>
      <c r="G12" s="237">
        <v>7.0000000000000007E-2</v>
      </c>
      <c r="H12" s="237">
        <v>0.1</v>
      </c>
      <c r="I12" s="237">
        <v>0.14000000000000001</v>
      </c>
      <c r="J12" s="237">
        <v>0.18</v>
      </c>
      <c r="K12" s="237">
        <v>0.38</v>
      </c>
      <c r="L12" s="237">
        <v>1.56</v>
      </c>
      <c r="M12" s="237">
        <v>1.02</v>
      </c>
      <c r="N12" s="237">
        <v>0.45</v>
      </c>
    </row>
    <row r="13" spans="1:14">
      <c r="A13" s="159" t="s">
        <v>56</v>
      </c>
      <c r="B13" s="238">
        <v>6.8</v>
      </c>
      <c r="C13" s="245">
        <v>0.64</v>
      </c>
      <c r="D13" s="245">
        <v>0.55000000000000004</v>
      </c>
      <c r="E13" s="245">
        <v>0.31</v>
      </c>
      <c r="F13" s="245">
        <v>0.1</v>
      </c>
      <c r="G13" s="245">
        <v>0.09</v>
      </c>
      <c r="H13" s="245">
        <v>0.13</v>
      </c>
      <c r="I13" s="245">
        <v>0.19</v>
      </c>
      <c r="J13" s="245">
        <v>0.23</v>
      </c>
      <c r="K13" s="245">
        <v>0.51</v>
      </c>
      <c r="L13" s="245">
        <v>2.08</v>
      </c>
      <c r="M13" s="245">
        <v>1.36</v>
      </c>
      <c r="N13" s="245">
        <v>0.6</v>
      </c>
    </row>
    <row r="14" spans="1:14">
      <c r="A14" s="169" t="s">
        <v>239</v>
      </c>
      <c r="B14" s="159"/>
      <c r="C14" s="239">
        <v>0.09</v>
      </c>
      <c r="D14" s="239">
        <v>0.08</v>
      </c>
      <c r="E14" s="239">
        <v>0.05</v>
      </c>
      <c r="F14" s="239">
        <v>0.01</v>
      </c>
      <c r="G14" s="239">
        <v>0.01</v>
      </c>
      <c r="H14" s="239">
        <v>0.02</v>
      </c>
      <c r="I14" s="239">
        <v>0.03</v>
      </c>
      <c r="J14" s="239">
        <v>0.03</v>
      </c>
      <c r="K14" s="239">
        <v>0.08</v>
      </c>
      <c r="L14" s="239">
        <v>0.31</v>
      </c>
      <c r="M14" s="239">
        <v>0.2</v>
      </c>
      <c r="N14" s="239">
        <v>0.09</v>
      </c>
    </row>
    <row r="15" spans="1:14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</row>
    <row r="16" spans="1:14" ht="19.5">
      <c r="A16" s="167" t="s">
        <v>235</v>
      </c>
      <c r="B16" s="159"/>
      <c r="C16" s="159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</row>
    <row r="17" spans="1:14">
      <c r="A17" s="270" t="s">
        <v>97</v>
      </c>
      <c r="B17" s="158" t="s">
        <v>215</v>
      </c>
      <c r="C17" s="240" t="s">
        <v>236</v>
      </c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</row>
    <row r="18" spans="1:14">
      <c r="A18" s="159"/>
      <c r="B18" s="234" t="s">
        <v>217</v>
      </c>
      <c r="C18" s="235" t="s">
        <v>218</v>
      </c>
      <c r="D18" s="235" t="s">
        <v>219</v>
      </c>
      <c r="E18" s="235" t="s">
        <v>220</v>
      </c>
      <c r="F18" s="235" t="s">
        <v>221</v>
      </c>
      <c r="G18" s="235" t="s">
        <v>222</v>
      </c>
      <c r="H18" s="235" t="s">
        <v>223</v>
      </c>
      <c r="I18" s="235" t="s">
        <v>224</v>
      </c>
      <c r="J18" s="235" t="s">
        <v>225</v>
      </c>
      <c r="K18" s="235" t="s">
        <v>226</v>
      </c>
      <c r="L18" s="235" t="s">
        <v>227</v>
      </c>
      <c r="M18" s="235" t="s">
        <v>228</v>
      </c>
      <c r="N18" s="235" t="s">
        <v>229</v>
      </c>
    </row>
    <row r="19" spans="1:14">
      <c r="A19" s="158" t="s">
        <v>230</v>
      </c>
      <c r="B19" s="241">
        <v>6.2</v>
      </c>
      <c r="C19" s="237">
        <v>0.59</v>
      </c>
      <c r="D19" s="237">
        <v>0.51</v>
      </c>
      <c r="E19" s="237">
        <v>0.28000000000000003</v>
      </c>
      <c r="F19" s="237">
        <v>0.09</v>
      </c>
      <c r="G19" s="237">
        <v>0.08</v>
      </c>
      <c r="H19" s="237">
        <v>0.12</v>
      </c>
      <c r="I19" s="237">
        <v>0.17</v>
      </c>
      <c r="J19" s="237">
        <v>0.21</v>
      </c>
      <c r="K19" s="237">
        <v>0.47</v>
      </c>
      <c r="L19" s="237">
        <v>1.9</v>
      </c>
      <c r="M19" s="237">
        <v>1.24</v>
      </c>
      <c r="N19" s="237">
        <v>0.54</v>
      </c>
    </row>
    <row r="20" spans="1:14">
      <c r="A20" s="158" t="s">
        <v>231</v>
      </c>
      <c r="B20" s="241">
        <v>6.3</v>
      </c>
      <c r="C20" s="237">
        <v>0.6</v>
      </c>
      <c r="D20" s="237">
        <v>0.51</v>
      </c>
      <c r="E20" s="237">
        <v>0.28999999999999998</v>
      </c>
      <c r="F20" s="237">
        <v>0.09</v>
      </c>
      <c r="G20" s="237">
        <v>0.08</v>
      </c>
      <c r="H20" s="237">
        <v>0.12</v>
      </c>
      <c r="I20" s="237">
        <v>0.18</v>
      </c>
      <c r="J20" s="237">
        <v>0.22</v>
      </c>
      <c r="K20" s="237">
        <v>0.47</v>
      </c>
      <c r="L20" s="237">
        <v>1.93</v>
      </c>
      <c r="M20" s="237">
        <v>1.26</v>
      </c>
      <c r="N20" s="237">
        <v>0.55000000000000004</v>
      </c>
    </row>
    <row r="21" spans="1:14">
      <c r="A21" s="158" t="s">
        <v>157</v>
      </c>
      <c r="B21" s="241">
        <v>6.2</v>
      </c>
      <c r="C21" s="237">
        <v>0.59</v>
      </c>
      <c r="D21" s="237">
        <v>0.51</v>
      </c>
      <c r="E21" s="237">
        <v>0.28000000000000003</v>
      </c>
      <c r="F21" s="237">
        <v>0.09</v>
      </c>
      <c r="G21" s="237">
        <v>0.08</v>
      </c>
      <c r="H21" s="237">
        <v>0.12</v>
      </c>
      <c r="I21" s="237">
        <v>0.17</v>
      </c>
      <c r="J21" s="237">
        <v>0.21</v>
      </c>
      <c r="K21" s="237">
        <v>0.47</v>
      </c>
      <c r="L21" s="237">
        <v>1.9</v>
      </c>
      <c r="M21" s="237">
        <v>1.24</v>
      </c>
      <c r="N21" s="237">
        <v>0.54</v>
      </c>
    </row>
    <row r="22" spans="1:14">
      <c r="A22" s="158" t="s">
        <v>232</v>
      </c>
      <c r="B22" s="241">
        <v>6.2</v>
      </c>
      <c r="C22" s="237">
        <v>0.59</v>
      </c>
      <c r="D22" s="237">
        <v>0.51</v>
      </c>
      <c r="E22" s="237">
        <v>0.28000000000000003</v>
      </c>
      <c r="F22" s="237">
        <v>0.09</v>
      </c>
      <c r="G22" s="237">
        <v>0.08</v>
      </c>
      <c r="H22" s="237">
        <v>0.12</v>
      </c>
      <c r="I22" s="237">
        <v>0.17</v>
      </c>
      <c r="J22" s="237">
        <v>0.21</v>
      </c>
      <c r="K22" s="237">
        <v>0.47</v>
      </c>
      <c r="L22" s="237">
        <v>1.9</v>
      </c>
      <c r="M22" s="237">
        <v>1.24</v>
      </c>
      <c r="N22" s="237">
        <v>0.54</v>
      </c>
    </row>
    <row r="23" spans="1:14">
      <c r="A23" s="158" t="s">
        <v>233</v>
      </c>
      <c r="B23" s="241">
        <v>6.1</v>
      </c>
      <c r="C23" s="237">
        <v>0.57999999999999996</v>
      </c>
      <c r="D23" s="237">
        <v>0.5</v>
      </c>
      <c r="E23" s="237">
        <v>0.28000000000000003</v>
      </c>
      <c r="F23" s="237">
        <v>0.09</v>
      </c>
      <c r="G23" s="237">
        <v>0.08</v>
      </c>
      <c r="H23" s="237">
        <v>0.12</v>
      </c>
      <c r="I23" s="237">
        <v>0.17</v>
      </c>
      <c r="J23" s="237">
        <v>0.21</v>
      </c>
      <c r="K23" s="237">
        <v>0.46</v>
      </c>
      <c r="L23" s="237">
        <v>1.86</v>
      </c>
      <c r="M23" s="237">
        <v>1.22</v>
      </c>
      <c r="N23" s="237">
        <v>0.53</v>
      </c>
    </row>
    <row r="24" spans="1:14">
      <c r="A24" s="159" t="s">
        <v>56</v>
      </c>
      <c r="B24" s="235">
        <v>6.9</v>
      </c>
      <c r="C24" s="245">
        <v>0.65</v>
      </c>
      <c r="D24" s="245">
        <v>0.56000000000000005</v>
      </c>
      <c r="E24" s="245">
        <v>0.31</v>
      </c>
      <c r="F24" s="245">
        <v>0.1</v>
      </c>
      <c r="G24" s="245">
        <v>0.09</v>
      </c>
      <c r="H24" s="245">
        <v>0.14000000000000001</v>
      </c>
      <c r="I24" s="245">
        <v>0.19</v>
      </c>
      <c r="J24" s="245">
        <v>0.24</v>
      </c>
      <c r="K24" s="245">
        <v>0.52</v>
      </c>
      <c r="L24" s="245">
        <v>2.11</v>
      </c>
      <c r="M24" s="245">
        <v>1.38</v>
      </c>
      <c r="N24" s="245">
        <v>0.6</v>
      </c>
    </row>
    <row r="25" spans="1:14">
      <c r="A25" s="169" t="s">
        <v>239</v>
      </c>
      <c r="B25" s="159"/>
      <c r="C25" s="239">
        <v>0.09</v>
      </c>
      <c r="D25" s="239">
        <v>0.08</v>
      </c>
      <c r="E25" s="239">
        <v>0.05</v>
      </c>
      <c r="F25" s="239">
        <v>0.01</v>
      </c>
      <c r="G25" s="239">
        <v>0.01</v>
      </c>
      <c r="H25" s="239">
        <v>0.02</v>
      </c>
      <c r="I25" s="239">
        <v>0.03</v>
      </c>
      <c r="J25" s="239">
        <v>0.03</v>
      </c>
      <c r="K25" s="239">
        <v>0.08</v>
      </c>
      <c r="L25" s="239">
        <v>0.31</v>
      </c>
      <c r="M25" s="239">
        <v>0.2</v>
      </c>
      <c r="N25" s="239">
        <v>0.09</v>
      </c>
    </row>
    <row r="27" spans="1:14">
      <c r="B27" s="5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>
      <c r="B28" s="5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>
      <c r="B29" s="5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>
      <c r="B30" s="5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>
      <c r="B31" s="5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>
      <c r="B32" s="5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2:14">
      <c r="B33" s="5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2:14">
      <c r="B34" s="5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2:14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2:14"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1</vt:i4>
      </vt:variant>
    </vt:vector>
  </HeadingPairs>
  <TitlesOfParts>
    <vt:vector size="21" baseType="lpstr">
      <vt:lpstr>表3-1</vt:lpstr>
      <vt:lpstr>表3-2</vt:lpstr>
      <vt:lpstr>表4-1</vt:lpstr>
      <vt:lpstr>補足表2-1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  <vt:lpstr>補足表7-1</vt:lpstr>
      <vt:lpstr>補足表7-2</vt:lpstr>
      <vt:lpstr>補足表7-3</vt:lpstr>
      <vt:lpstr>補足表9-1</vt:lpstr>
      <vt:lpstr>補足表9-2</vt:lpstr>
      <vt:lpstr>補足表9-3</vt:lpstr>
      <vt:lpstr>補足表9-4</vt:lpstr>
      <vt:lpstr>'補足表6-5'!OLE_LINK1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2024-07-26T02:44:24Z</dcterms:created>
  <dcterms:modified xsi:type="dcterms:W3CDTF">2024-07-26T02:46:01Z</dcterms:modified>
  <cp:category/>
  <cp:contentStatus/>
</cp:coreProperties>
</file>