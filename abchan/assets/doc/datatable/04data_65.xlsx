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810EAB30-9E1E-4A27-8927-C46557967DB4}" xr6:coauthVersionLast="47" xr6:coauthVersionMax="47" xr10:uidLastSave="{00000000-0000-0000-0000-000000000000}"/>
  <bookViews>
    <workbookView xWindow="3630" yWindow="-105" windowWidth="18525" windowHeight="15420" tabRatio="795" activeTab="12" xr2:uid="{82E92DC9-ECCF-40A6-A8AC-BF06CF1C29D7}"/>
  </bookViews>
  <sheets>
    <sheet name="表3-1" sheetId="11" r:id="rId1"/>
    <sheet name="表3-2" sheetId="3" r:id="rId2"/>
    <sheet name="表4-1" sheetId="1" r:id="rId3"/>
    <sheet name="補足表2-1" sheetId="2" r:id="rId4"/>
    <sheet name="補足表4-1" sheetId="15" r:id="rId5"/>
    <sheet name="補足表4-2" sheetId="14" r:id="rId6"/>
    <sheet name="補足表4-3" sheetId="13" r:id="rId7"/>
    <sheet name="補足表4-4" sheetId="12" r:id="rId8"/>
    <sheet name="補足表5-1" sheetId="4" r:id="rId9"/>
    <sheet name="補足表6-1" sheetId="5" r:id="rId10"/>
    <sheet name="補足表6-2" sheetId="6" r:id="rId11"/>
    <sheet name="補足表6-3" sheetId="7" r:id="rId12"/>
    <sheet name="補足表6-4" sheetId="8" r:id="rId13"/>
    <sheet name="補足表6-5" sheetId="9" r:id="rId14"/>
    <sheet name="補足表6-5（つづき）" sheetId="10" r:id="rId15"/>
  </sheets>
  <externalReferences>
    <externalReference r:id="rId16"/>
    <externalReference r:id="rId17"/>
    <externalReference r:id="rId18"/>
  </externalReferences>
  <definedNames>
    <definedName name="_1__123Graph_Aｸﾞﾗﾌ_1" hidden="1">'[1]解析97-1昔です'!$C$106:$C$125</definedName>
    <definedName name="_10__123Graph_Cｸﾞﾗﾌ_2" hidden="1">'[1]解析97-1昔です'!$B$74:$U$74</definedName>
    <definedName name="_11__123Graph_Cｸﾞﾗﾌ_3" hidden="1">'[1]解析97-1昔です'!$B$64:$U$64</definedName>
    <definedName name="_12__123Graph_Cｸﾞﾗﾌ_4" hidden="1">'[1]解析97-1昔です'!$P$108:$P$128</definedName>
    <definedName name="_13__123Graph_Dｸﾞﾗﾌ_2" hidden="1">'[1]解析97-1昔です'!$B$75:$U$75</definedName>
    <definedName name="_14__123Graph_Dｸﾞﾗﾌ_3" hidden="1">'[1]解析97-1昔です'!$B$65:$U$65</definedName>
    <definedName name="_15__123Graph_Eｸﾞﾗﾌ_2" hidden="1">'[1]解析97-1昔です'!$B$76:$U$76</definedName>
    <definedName name="_16__123Graph_Eｸﾞﾗﾌ_3" hidden="1">'[1]解析97-1昔です'!$B$66:$U$66</definedName>
    <definedName name="_17__123Graph_Fｸﾞﾗﾌ_3" hidden="1">'[1]解析97-1昔です'!$B$67:$U$67</definedName>
    <definedName name="_18__123Graph_LBL_Aｸﾞﾗﾌ_1" hidden="1">'[1]解析97-1昔です'!$AD$90:$AD$109</definedName>
    <definedName name="_19__123Graph_LBL_Aｸﾞﾗﾌ_5" hidden="1">'[1]解析97-1昔です'!$AD$90:$AD$109</definedName>
    <definedName name="_2__123Graph_Aｸﾞﾗﾌ_2" hidden="1">'[1]解析97-1昔です'!$B$72:$U$72</definedName>
    <definedName name="_20__123Graph_Xｸﾞﾗﾌ_1" hidden="1">'[1]解析97-1昔です'!$B$106:$B$125</definedName>
    <definedName name="_21__123Graph_Xｸﾞﾗﾌ_2" hidden="1">'[1]解析97-1昔です'!$B$71:$U$71</definedName>
    <definedName name="_22__123Graph_Xｸﾞﾗﾌ_3" hidden="1">'[1]解析97-1昔です'!$B$71:$U$71</definedName>
    <definedName name="_23__123Graph_Xｸﾞﾗﾌ_4" hidden="1">'[1]解析97-1昔です'!$M$108:$M$128</definedName>
    <definedName name="_24__123Graph_Xｸﾞﾗﾌ_5" hidden="1">'[1]解析97-1昔です'!$B$97:$U$97</definedName>
    <definedName name="_25__123Graph_Xｸﾞﾗﾌ_6" hidden="1">'[1]解析97-1昔です'!$B$141:$T$141</definedName>
    <definedName name="_3__123Graph_Aｸﾞﾗﾌ_3" hidden="1">'[1]解析97-1昔です'!$B$62:$U$62</definedName>
    <definedName name="_4__123Graph_Aｸﾞﾗﾌ_4" hidden="1">'[1]解析97-1昔です'!$N$108:$N$128</definedName>
    <definedName name="_5__123Graph_Aｸﾞﾗﾌ_5" hidden="1">'[1]解析97-1昔です'!$B$99:$U$99</definedName>
    <definedName name="_6__123Graph_Aｸﾞﾗﾌ_6" hidden="1">'[1]解析97-1昔です'!$B$151:$T$151</definedName>
    <definedName name="_7__123Graph_Bｸﾞﾗﾌ_2" hidden="1">'[1]解析97-1昔です'!$B$73:$U$73</definedName>
    <definedName name="_8__123Graph_Bｸﾞﾗﾌ_3" hidden="1">'[1]解析97-1昔です'!$B$63:$U$63</definedName>
    <definedName name="_9__123Graph_Bｸﾞﾗﾌ_4" hidden="1">'[1]解析97-1昔です'!$O$108:$O$128</definedName>
    <definedName name="_Fill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Beta_1">[2]SRR!#REF!</definedName>
    <definedName name="Beta_2">[2]SRR!#REF!</definedName>
    <definedName name="q_魚種別各層別平均密度クエリ">[3]q_魚種別各層別平均密度クエリ!$A$2:$AJ$75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<sst xmlns="http://schemas.openxmlformats.org/spreadsheetml/2006/main" count="290" uniqueCount="197">
  <si>
    <r>
      <rPr>
        <sz val="10.5"/>
        <color theme="1"/>
        <rFont val="ＭＳ Ｐ明朝"/>
        <family val="1"/>
        <charset val="128"/>
      </rPr>
      <t>年</t>
    </r>
    <rPh sb="0" eb="1">
      <t>ネン</t>
    </rPh>
    <phoneticPr fontId="4"/>
  </si>
  <si>
    <r>
      <rPr>
        <sz val="10.5"/>
        <color theme="1"/>
        <rFont val="ＭＳ Ｐ明朝"/>
        <family val="1"/>
        <charset val="128"/>
      </rPr>
      <t>漁獲量　（トン）</t>
    </r>
    <r>
      <rPr>
        <sz val="10.5"/>
        <color theme="1"/>
        <rFont val="Times New Roman"/>
        <family val="1"/>
      </rPr>
      <t xml:space="preserve"> </t>
    </r>
    <rPh sb="0" eb="2">
      <t>ギョカク</t>
    </rPh>
    <rPh sb="2" eb="3">
      <t>リョウ</t>
    </rPh>
    <phoneticPr fontId="4"/>
  </si>
  <si>
    <r>
      <rPr>
        <sz val="10.5"/>
        <color theme="1"/>
        <rFont val="ＭＳ Ｐ明朝"/>
        <family val="1"/>
        <charset val="128"/>
      </rPr>
      <t>資源量　（トン）</t>
    </r>
    <r>
      <rPr>
        <sz val="10.5"/>
        <color theme="1"/>
        <rFont val="Times New Roman"/>
        <family val="1"/>
      </rPr>
      <t xml:space="preserve"> </t>
    </r>
    <rPh sb="0" eb="2">
      <t>シゲン</t>
    </rPh>
    <rPh sb="2" eb="3">
      <t>リョウ</t>
    </rPh>
    <phoneticPr fontId="4"/>
  </si>
  <si>
    <r>
      <rPr>
        <sz val="10.5"/>
        <color theme="1"/>
        <rFont val="ＭＳ Ｐ明朝"/>
        <family val="1"/>
        <charset val="128"/>
      </rPr>
      <t>親魚量（トン）</t>
    </r>
    <r>
      <rPr>
        <sz val="10.5"/>
        <color theme="1"/>
        <rFont val="Times New Roman"/>
        <family val="1"/>
      </rPr>
      <t xml:space="preserve"> </t>
    </r>
    <rPh sb="0" eb="1">
      <t>シン</t>
    </rPh>
    <rPh sb="1" eb="2">
      <t>ギョ</t>
    </rPh>
    <rPh sb="2" eb="3">
      <t>リョウ</t>
    </rPh>
    <phoneticPr fontId="4"/>
  </si>
  <si>
    <r>
      <rPr>
        <sz val="10.5"/>
        <color theme="1"/>
        <rFont val="ＭＳ Ｐ明朝"/>
        <family val="1"/>
        <charset val="128"/>
      </rPr>
      <t>加入尾数（千尾）</t>
    </r>
    <r>
      <rPr>
        <sz val="10.5"/>
        <color theme="1"/>
        <rFont val="Times New Roman"/>
        <family val="1"/>
      </rPr>
      <t xml:space="preserve"> </t>
    </r>
    <rPh sb="0" eb="2">
      <t>カニュウ</t>
    </rPh>
    <rPh sb="2" eb="3">
      <t>オ</t>
    </rPh>
    <rPh sb="3" eb="4">
      <t>カズ</t>
    </rPh>
    <rPh sb="5" eb="7">
      <t>センビ</t>
    </rPh>
    <phoneticPr fontId="4"/>
  </si>
  <si>
    <t>F/Fmsy</t>
    <phoneticPr fontId="4"/>
  </si>
  <si>
    <r>
      <rPr>
        <sz val="10.5"/>
        <color theme="1"/>
        <rFont val="ＭＳ Ｐ明朝"/>
        <family val="1"/>
        <charset val="128"/>
      </rPr>
      <t>漁獲割合（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4"/>
  </si>
  <si>
    <r>
      <rPr>
        <sz val="10.5"/>
        <color theme="1"/>
        <rFont val="ＭＳ Ｐ明朝"/>
        <family val="1"/>
        <charset val="128"/>
      </rPr>
      <t>加入尾数：対象年に発生し、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歳時における尾数。</t>
    </r>
    <rPh sb="0" eb="2">
      <t>カニュウ</t>
    </rPh>
    <rPh sb="2" eb="3">
      <t>ビ</t>
    </rPh>
    <rPh sb="3" eb="4">
      <t>スウ</t>
    </rPh>
    <rPh sb="5" eb="7">
      <t>タイショウ</t>
    </rPh>
    <rPh sb="7" eb="8">
      <t>ネン</t>
    </rPh>
    <rPh sb="9" eb="11">
      <t>ハッセイ</t>
    </rPh>
    <rPh sb="14" eb="15">
      <t>サイ</t>
    </rPh>
    <rPh sb="15" eb="16">
      <t>ジ</t>
    </rPh>
    <rPh sb="20" eb="22">
      <t>ビスウ</t>
    </rPh>
    <phoneticPr fontId="4"/>
  </si>
  <si>
    <t>%SPR</t>
    <phoneticPr fontId="4"/>
  </si>
  <si>
    <r>
      <rPr>
        <sz val="11"/>
        <color theme="1"/>
        <rFont val="ＭＳ Ｐ明朝"/>
        <family val="1"/>
        <charset val="128"/>
      </rPr>
      <t>年齢別漁獲尾数（千尾）</t>
    </r>
    <rPh sb="0" eb="3">
      <t>ネンレイベツ</t>
    </rPh>
    <rPh sb="3" eb="5">
      <t>ギョカク</t>
    </rPh>
    <rPh sb="5" eb="6">
      <t>ビ</t>
    </rPh>
    <rPh sb="6" eb="7">
      <t>スウ</t>
    </rPh>
    <rPh sb="8" eb="10">
      <t>チオ</t>
    </rPh>
    <rPh sb="10" eb="11">
      <t>モオ</t>
    </rPh>
    <phoneticPr fontId="4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</si>
  <si>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4"/>
  </si>
  <si>
    <r>
      <t>1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4"/>
  </si>
  <si>
    <r>
      <t>2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4"/>
  </si>
  <si>
    <r>
      <t>3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4"/>
  </si>
  <si>
    <r>
      <t>4</t>
    </r>
    <r>
      <rPr>
        <sz val="11"/>
        <color theme="1"/>
        <rFont val="ＭＳ Ｐ明朝"/>
        <family val="1"/>
        <charset val="128"/>
      </rPr>
      <t>歳以上</t>
    </r>
    <rPh sb="1" eb="2">
      <t>サイ</t>
    </rPh>
    <rPh sb="2" eb="4">
      <t>イジョウ</t>
    </rPh>
    <phoneticPr fontId="4"/>
  </si>
  <si>
    <r>
      <rPr>
        <sz val="11"/>
        <color theme="1"/>
        <rFont val="ＭＳ Ｐ明朝"/>
        <family val="1"/>
        <charset val="128"/>
      </rPr>
      <t>計</t>
    </r>
    <rPh sb="0" eb="1">
      <t>ケイ</t>
    </rPh>
    <phoneticPr fontId="4"/>
  </si>
  <si>
    <r>
      <rPr>
        <sz val="11"/>
        <color theme="1"/>
        <rFont val="ＭＳ Ｐ明朝"/>
        <family val="1"/>
        <charset val="128"/>
      </rPr>
      <t>年齢別漁獲量（トン）</t>
    </r>
    <rPh sb="0" eb="3">
      <t>ネンレイベツ</t>
    </rPh>
    <rPh sb="3" eb="5">
      <t>ギョカク</t>
    </rPh>
    <rPh sb="5" eb="6">
      <t>リョウ</t>
    </rPh>
    <phoneticPr fontId="4"/>
  </si>
  <si>
    <r>
      <rPr>
        <sz val="11"/>
        <color theme="1"/>
        <rFont val="ＭＳ Ｐ明朝"/>
        <family val="1"/>
        <charset val="128"/>
      </rPr>
      <t>年齢別漁獲係数</t>
    </r>
    <rPh sb="0" eb="3">
      <t>ネンレイベツ</t>
    </rPh>
    <rPh sb="3" eb="5">
      <t>ギョカク</t>
    </rPh>
    <rPh sb="5" eb="7">
      <t>ケイスウ</t>
    </rPh>
    <phoneticPr fontId="4"/>
  </si>
  <si>
    <r>
      <rPr>
        <sz val="11"/>
        <color theme="1"/>
        <rFont val="ＭＳ Ｐ明朝"/>
        <family val="1"/>
        <charset val="128"/>
      </rPr>
      <t>単純平均</t>
    </r>
    <rPh sb="0" eb="2">
      <t>タンジュン</t>
    </rPh>
    <rPh sb="2" eb="4">
      <t>ヘイキン</t>
    </rPh>
    <phoneticPr fontId="4"/>
  </si>
  <si>
    <r>
      <rPr>
        <sz val="11"/>
        <color theme="1"/>
        <rFont val="ＭＳ Ｐ明朝"/>
        <family val="1"/>
        <charset val="128"/>
      </rPr>
      <t>年齢別資源尾数（千尾）</t>
    </r>
    <rPh sb="0" eb="3">
      <t>ネンレイベツ</t>
    </rPh>
    <rPh sb="3" eb="5">
      <t>シゲン</t>
    </rPh>
    <rPh sb="5" eb="6">
      <t>ビ</t>
    </rPh>
    <rPh sb="6" eb="7">
      <t>スウ</t>
    </rPh>
    <rPh sb="8" eb="10">
      <t>チオ</t>
    </rPh>
    <rPh sb="10" eb="11">
      <t>モオ</t>
    </rPh>
    <phoneticPr fontId="4"/>
  </si>
  <si>
    <r>
      <rPr>
        <sz val="11"/>
        <color theme="1"/>
        <rFont val="ＭＳ Ｐ明朝"/>
        <family val="1"/>
        <charset val="128"/>
      </rPr>
      <t>年齢別資源量（トン）</t>
    </r>
    <rPh sb="0" eb="3">
      <t>ネンレイベツ</t>
    </rPh>
    <rPh sb="3" eb="5">
      <t>シゲン</t>
    </rPh>
    <rPh sb="5" eb="6">
      <t>リョウ</t>
    </rPh>
    <rPh sb="9" eb="10">
      <t>マンオ</t>
    </rPh>
    <phoneticPr fontId="4"/>
  </si>
  <si>
    <r>
      <rPr>
        <sz val="11"/>
        <color theme="1"/>
        <rFont val="ＭＳ Ｐ明朝"/>
        <family val="1"/>
        <charset val="128"/>
      </rPr>
      <t>年齢別親魚量（トン）</t>
    </r>
    <rPh sb="0" eb="3">
      <t>ネンレイベツ</t>
    </rPh>
    <rPh sb="3" eb="4">
      <t>シン</t>
    </rPh>
    <rPh sb="4" eb="5">
      <t>ギョ</t>
    </rPh>
    <rPh sb="5" eb="6">
      <t>リョウ</t>
    </rPh>
    <rPh sb="9" eb="10">
      <t>マンオ</t>
    </rPh>
    <phoneticPr fontId="4"/>
  </si>
  <si>
    <r>
      <rPr>
        <sz val="11"/>
        <color theme="1"/>
        <rFont val="ＭＳ Ｐ明朝"/>
        <family val="1"/>
        <charset val="128"/>
      </rPr>
      <t>漁獲量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（トン）</t>
    </r>
    <r>
      <rPr>
        <sz val="11"/>
        <color theme="1"/>
        <rFont val="Times New Roman"/>
        <family val="1"/>
      </rPr>
      <t xml:space="preserve"> </t>
    </r>
    <rPh sb="0" eb="2">
      <t>ギョカク</t>
    </rPh>
    <rPh sb="2" eb="3">
      <t>リョウ</t>
    </rPh>
    <phoneticPr fontId="4"/>
  </si>
  <si>
    <r>
      <rPr>
        <sz val="11"/>
        <color theme="1"/>
        <rFont val="ＭＳ Ｐ明朝"/>
        <family val="1"/>
        <charset val="128"/>
      </rPr>
      <t>有効漁獲努力量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ユウコウ</t>
    </rPh>
    <rPh sb="2" eb="4">
      <t>ギョカク</t>
    </rPh>
    <rPh sb="4" eb="6">
      <t>ドリョク</t>
    </rPh>
    <rPh sb="6" eb="7">
      <t>リョウ</t>
    </rPh>
    <phoneticPr fontId="4"/>
  </si>
  <si>
    <r>
      <rPr>
        <sz val="11"/>
        <color theme="1"/>
        <rFont val="ＭＳ Ｐ明朝"/>
        <family val="1"/>
        <charset val="128"/>
      </rPr>
      <t>有漁漁区数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1">
      <t>ユウ</t>
    </rPh>
    <rPh sb="1" eb="2">
      <t>リョウ</t>
    </rPh>
    <rPh sb="2" eb="4">
      <t>ギョク</t>
    </rPh>
    <rPh sb="4" eb="5">
      <t>スウ</t>
    </rPh>
    <phoneticPr fontId="4"/>
  </si>
  <si>
    <r>
      <rPr>
        <sz val="11"/>
        <color theme="1"/>
        <rFont val="ＭＳ Ｐ明朝"/>
        <family val="1"/>
        <charset val="128"/>
      </rPr>
      <t>資源量指数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シゲン</t>
    </rPh>
    <rPh sb="2" eb="3">
      <t>リョウ</t>
    </rPh>
    <rPh sb="3" eb="5">
      <t>シスウ</t>
    </rPh>
    <phoneticPr fontId="4"/>
  </si>
  <si>
    <r>
      <rPr>
        <sz val="11"/>
        <color theme="1"/>
        <rFont val="ＭＳ Ｐ明朝"/>
        <family val="1"/>
        <charset val="128"/>
      </rPr>
      <t>資源密度指数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Ph sb="0" eb="2">
      <t>シゲン</t>
    </rPh>
    <rPh sb="2" eb="4">
      <t>ミツド</t>
    </rPh>
    <rPh sb="4" eb="6">
      <t>シスウ</t>
    </rPh>
    <phoneticPr fontId="4"/>
  </si>
  <si>
    <r>
      <rPr>
        <sz val="11"/>
        <color theme="1"/>
        <rFont val="ＭＳ Ｐ明朝"/>
        <family val="1"/>
        <charset val="128"/>
      </rPr>
      <t>標準化</t>
    </r>
    <r>
      <rPr>
        <sz val="11"/>
        <color theme="1"/>
        <rFont val="Times New Roman"/>
        <family val="1"/>
      </rPr>
      <t>CPUE</t>
    </r>
    <r>
      <rPr>
        <vertAlign val="superscript"/>
        <sz val="11"/>
        <color theme="1"/>
        <rFont val="ＭＳ Ｐ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2</t>
    </r>
    <rPh sb="0" eb="3">
      <t>ヒョウジュンカ</t>
    </rPh>
    <phoneticPr fontId="4"/>
  </si>
  <si>
    <r>
      <t xml:space="preserve">    2021</t>
    </r>
    <r>
      <rPr>
        <vertAlign val="superscript"/>
        <sz val="11"/>
        <color theme="1"/>
        <rFont val="ＭＳ Ｐゴシック"/>
        <family val="3"/>
        <charset val="128"/>
      </rPr>
      <t>＊</t>
    </r>
    <r>
      <rPr>
        <vertAlign val="superscript"/>
        <sz val="11"/>
        <color theme="1"/>
        <rFont val="Times New Roman"/>
        <family val="1"/>
      </rPr>
      <t>3</t>
    </r>
    <phoneticPr fontId="4"/>
  </si>
  <si>
    <r>
      <rPr>
        <sz val="11"/>
        <color theme="1"/>
        <rFont val="ＭＳ 明朝"/>
        <family val="1"/>
        <charset val="128"/>
      </rPr>
      <t>沖合底びき網統計による。</t>
    </r>
    <rPh sb="0" eb="2">
      <t>オキア</t>
    </rPh>
    <rPh sb="2" eb="3">
      <t>ソコ</t>
    </rPh>
    <rPh sb="5" eb="6">
      <t>アミ</t>
    </rPh>
    <rPh sb="6" eb="8">
      <t>トウケイ</t>
    </rPh>
    <phoneticPr fontId="4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</si>
  <si>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各項目については、補足資料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を参照。</t>
    </r>
    <rPh sb="2" eb="5">
      <t>カクコウモク</t>
    </rPh>
    <rPh sb="11" eb="13">
      <t>ホソク</t>
    </rPh>
    <rPh sb="13" eb="15">
      <t>シリョウ</t>
    </rPh>
    <rPh sb="17" eb="19">
      <t>サンショウ</t>
    </rPh>
    <phoneticPr fontId="4"/>
  </si>
  <si>
    <r>
      <rPr>
        <vertAlign val="superscript"/>
        <sz val="11"/>
        <color theme="1"/>
        <rFont val="ＭＳ 明朝"/>
        <family val="1"/>
        <charset val="128"/>
      </rPr>
      <t>＊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を参照。</t>
    </r>
    <rPh sb="2" eb="4">
      <t>ホソク</t>
    </rPh>
    <rPh sb="4" eb="6">
      <t>シリョウ</t>
    </rPh>
    <rPh sb="8" eb="10">
      <t>サンショウ</t>
    </rPh>
    <phoneticPr fontId="4"/>
  </si>
  <si>
    <r>
      <rPr>
        <vertAlign val="superscript"/>
        <sz val="11"/>
        <color theme="1"/>
        <rFont val="ＭＳ 明朝"/>
        <family val="1"/>
        <charset val="128"/>
      </rPr>
      <t>＊3</t>
    </r>
    <r>
      <rPr>
        <sz val="11"/>
        <color theme="1"/>
        <rFont val="ＭＳ 明朝"/>
        <family val="1"/>
        <charset val="128"/>
      </rPr>
      <t>暫定値。</t>
    </r>
    <rPh sb="2" eb="5">
      <t>ザンテイチ</t>
    </rPh>
    <phoneticPr fontId="4"/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</si>
  <si>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将来予測計算に用いた設定値</t>
    </r>
  </si>
  <si>
    <t>選択率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</si>
  <si>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</si>
  <si>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t>Fmsy</t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</si>
  <si>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</si>
  <si>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t>F2019-2021</t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</si>
  <si>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</si>
  <si>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t>平均体重</t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</si>
  <si>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</si>
  <si>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自然死亡</t>
  </si>
  <si>
    <t>係数</t>
  </si>
  <si>
    <t>成熟</t>
  </si>
  <si>
    <t>割合</t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</si>
  <si>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</si>
  <si>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</si>
  <si>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</si>
  <si>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</si>
  <si>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</si>
  <si>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</si>
  <si>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：本系群では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の平均値を現状の漁獲圧としており、この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年の漁獲量の仮定に使用した。</t>
    </r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</si>
  <si>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</si>
  <si>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</si>
  <si>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</si>
  <si>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</si>
  <si>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</si>
  <si>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</si>
  <si>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</si>
  <si>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</si>
  <si>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</si>
  <si>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</si>
  <si>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</si>
  <si>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</si>
  <si>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</si>
  <si>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</si>
  <si>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</si>
  <si>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theme="1"/>
        <rFont val="ＭＳ 明朝"/>
        <family val="1"/>
        <charset val="128"/>
      </rPr>
      <t>案</t>
    </r>
  </si>
  <si>
    <r>
      <t>40</t>
    </r>
    <r>
      <rPr>
        <sz val="10.5"/>
        <color rgb="FF000000"/>
        <rFont val="ＭＳ 明朝"/>
        <family val="1"/>
        <charset val="128"/>
      </rPr>
      <t>百トン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</si>
  <si>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明朝"/>
        <family val="1"/>
        <charset val="128"/>
      </rPr>
      <t>）。</t>
    </r>
  </si>
  <si>
    <r>
      <t>SBlimit</t>
    </r>
    <r>
      <rPr>
        <sz val="10.5"/>
        <color theme="1"/>
        <rFont val="ＭＳ 明朝"/>
        <family val="1"/>
        <charset val="128"/>
      </rPr>
      <t>案</t>
    </r>
  </si>
  <si>
    <r>
      <t>19</t>
    </r>
    <r>
      <rPr>
        <sz val="10.5"/>
        <color theme="1"/>
        <rFont val="ＭＳ 明朝"/>
        <family val="1"/>
        <charset val="128"/>
      </rPr>
      <t>百</t>
    </r>
    <r>
      <rPr>
        <sz val="10.5"/>
        <color rgb="FF000000"/>
        <rFont val="ＭＳ 明朝"/>
        <family val="1"/>
        <charset val="128"/>
      </rPr>
      <t>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</si>
  <si>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明朝"/>
        <family val="1"/>
        <charset val="128"/>
      </rPr>
      <t>）。</t>
    </r>
  </si>
  <si>
    <r>
      <t>SBban</t>
    </r>
    <r>
      <rPr>
        <sz val="10.5"/>
        <color theme="1"/>
        <rFont val="ＭＳ 明朝"/>
        <family val="1"/>
        <charset val="128"/>
      </rPr>
      <t>案</t>
    </r>
  </si>
  <si>
    <r>
      <t>　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明朝"/>
        <family val="1"/>
        <charset val="128"/>
      </rPr>
      <t>百トン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</si>
  <si>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</si>
  <si>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明朝"/>
        <family val="1"/>
        <charset val="128"/>
      </rPr>
      <t>）。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</si>
  <si>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</t>
    </r>
  </si>
  <si>
    <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0.12, 0.36, 0.46, 0.46</t>
    </r>
    <r>
      <rPr>
        <sz val="10.5"/>
        <color theme="1"/>
        <rFont val="ＭＳ 明朝"/>
        <family val="1"/>
        <charset val="128"/>
      </rPr>
      <t>）</t>
    </r>
  </si>
  <si>
    <t>%SPR (Fmsy)</t>
  </si>
  <si>
    <r>
      <t>Fmsy</t>
    </r>
    <r>
      <rPr>
        <sz val="10.5"/>
        <color theme="1"/>
        <rFont val="ＭＳ 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</si>
  <si>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</si>
  <si>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15</t>
    </r>
    <r>
      <rPr>
        <sz val="10.5"/>
        <color rgb="FF000000"/>
        <rFont val="ＭＳ 明朝"/>
        <family val="1"/>
        <charset val="128"/>
      </rPr>
      <t>百トン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</si>
  <si>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</si>
  <si>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t>SB2021</t>
  </si>
  <si>
    <r>
      <t>15</t>
    </r>
    <r>
      <rPr>
        <sz val="10.5"/>
        <color theme="1"/>
        <rFont val="ＭＳ Ｐ明朝"/>
        <family val="1"/>
        <charset val="128"/>
      </rPr>
      <t>百トン</t>
    </r>
  </si>
  <si>
    <r>
      <t>2021</t>
    </r>
    <r>
      <rPr>
        <sz val="10.5"/>
        <color rgb="FF000000"/>
        <rFont val="ＭＳ Ｐ明朝"/>
        <family val="1"/>
        <charset val="128"/>
      </rPr>
      <t>年の親魚量</t>
    </r>
  </si>
  <si>
    <t>F2021</t>
  </si>
  <si>
    <r>
      <t>2021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</si>
  <si>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0.04, 0.17, 0.25, 0.25</t>
    </r>
    <r>
      <rPr>
        <sz val="10.5"/>
        <color theme="1"/>
        <rFont val="ＭＳ Ｐ明朝"/>
        <family val="1"/>
        <charset val="128"/>
      </rPr>
      <t>）</t>
    </r>
  </si>
  <si>
    <t>U2021</t>
  </si>
  <si>
    <r>
      <t>2021</t>
    </r>
    <r>
      <rPr>
        <sz val="10.5"/>
        <color theme="1"/>
        <rFont val="ＭＳ Ｐ明朝"/>
        <family val="1"/>
        <charset val="128"/>
      </rPr>
      <t>年の漁獲割合</t>
    </r>
  </si>
  <si>
    <t>%SPR (F2021)</t>
  </si>
  <si>
    <r>
      <t>2021</t>
    </r>
    <r>
      <rPr>
        <sz val="10.5"/>
        <color theme="1"/>
        <rFont val="ＭＳ Ｐ明朝"/>
        <family val="1"/>
        <charset val="128"/>
      </rPr>
      <t>年の</t>
    </r>
    <r>
      <rPr>
        <sz val="10.5"/>
        <color theme="1"/>
        <rFont val="Times New Roman"/>
        <family val="1"/>
      </rPr>
      <t>%SPR</t>
    </r>
  </si>
  <si>
    <t>%SPR (F2019-2021)</t>
  </si>
  <si>
    <t>管理基準値案との比較</t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</si>
  <si>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年の親魚量の比</t>
    </r>
  </si>
  <si>
    <t>F2021/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</si>
  <si>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</si>
  <si>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</si>
  <si>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</si>
  <si>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</si>
  <si>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t>親魚量の動向</t>
  </si>
  <si>
    <t>増加</t>
  </si>
  <si>
    <r>
      <t>* 2021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</si>
  <si>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　</t>
    </r>
    <phoneticPr fontId="4"/>
  </si>
  <si>
    <r>
      <t>2023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16</t>
    </r>
    <r>
      <rPr>
        <sz val="10.5"/>
        <color rgb="FF000000"/>
        <rFont val="ＭＳ Ｐ明朝"/>
        <family val="1"/>
        <charset val="128"/>
      </rPr>
      <t>百トン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</si>
  <si>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</si>
  <si>
    <t>漁獲量</t>
  </si>
  <si>
    <t>（百トン）</t>
  </si>
  <si>
    <t>現状の漁獲圧に</t>
  </si>
  <si>
    <t>対する比</t>
  </si>
  <si>
    <r>
      <t>（</t>
    </r>
    <r>
      <rPr>
        <sz val="10.5"/>
        <color rgb="FF000000"/>
        <rFont val="Times New Roman"/>
        <family val="1"/>
      </rPr>
      <t>F/F2019-2021</t>
    </r>
    <r>
      <rPr>
        <sz val="10.5"/>
        <color rgb="FF000000"/>
        <rFont val="ＭＳ Ｐ明朝"/>
        <family val="1"/>
        <charset val="128"/>
      </rPr>
      <t>）</t>
    </r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</si>
  <si>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</si>
  <si>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</si>
  <si>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β=0.9</t>
  </si>
  <si>
    <t>β=0.8</t>
  </si>
  <si>
    <t>β=0.7</t>
  </si>
  <si>
    <t>β=0.6</t>
  </si>
  <si>
    <t>β=0.5</t>
  </si>
  <si>
    <t>β=0.4</t>
  </si>
  <si>
    <t>β=0.3</t>
  </si>
  <si>
    <t>β=0.2</t>
  </si>
  <si>
    <t>β=0.1</t>
  </si>
  <si>
    <t>β=0</t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</si>
  <si>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予測漁獲量と予測親魚量</t>
    </r>
    <phoneticPr fontId="4"/>
  </si>
  <si>
    <t>β</t>
  </si>
  <si>
    <r>
      <t>2033</t>
    </r>
    <r>
      <rPr>
        <sz val="10.5"/>
        <color rgb="FF000000"/>
        <rFont val="ＭＳ Ｐ明朝"/>
        <family val="1"/>
        <charset val="128"/>
      </rPr>
      <t>年に親魚量が以下の</t>
    </r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</si>
  <si>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</si>
  <si>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r>
      <t xml:space="preserve"> 20 – 38 </t>
    </r>
    <r>
      <rPr>
        <sz val="10.5"/>
        <color rgb="FF000000"/>
        <rFont val="ＭＳ 明朝"/>
        <family val="1"/>
        <charset val="128"/>
      </rPr>
      <t>　</t>
    </r>
  </si>
  <si>
    <r>
      <t xml:space="preserve"> 23 – 44 </t>
    </r>
    <r>
      <rPr>
        <sz val="10.5"/>
        <color rgb="FF000000"/>
        <rFont val="ＭＳ 明朝"/>
        <family val="1"/>
        <charset val="128"/>
      </rPr>
      <t>　</t>
    </r>
  </si>
  <si>
    <r>
      <t xml:space="preserve"> 28 – 51 </t>
    </r>
    <r>
      <rPr>
        <sz val="10.5"/>
        <color rgb="FF000000"/>
        <rFont val="ＭＳ 明朝"/>
        <family val="1"/>
        <charset val="128"/>
      </rPr>
      <t>　</t>
    </r>
  </si>
  <si>
    <r>
      <t xml:space="preserve"> 35 – 57 </t>
    </r>
    <r>
      <rPr>
        <sz val="10.5"/>
        <color rgb="FF000000"/>
        <rFont val="ＭＳ 明朝"/>
        <family val="1"/>
        <charset val="128"/>
      </rPr>
      <t>　</t>
    </r>
  </si>
  <si>
    <r>
      <t xml:space="preserve"> 42 – 64 </t>
    </r>
    <r>
      <rPr>
        <sz val="10.5"/>
        <color rgb="FF000000"/>
        <rFont val="ＭＳ 明朝"/>
        <family val="1"/>
        <charset val="128"/>
      </rPr>
      <t>　</t>
    </r>
  </si>
  <si>
    <r>
      <t xml:space="preserve"> 49 – 72 </t>
    </r>
    <r>
      <rPr>
        <sz val="10.5"/>
        <color rgb="FF000000"/>
        <rFont val="ＭＳ 明朝"/>
        <family val="1"/>
        <charset val="128"/>
      </rPr>
      <t>　</t>
    </r>
  </si>
  <si>
    <r>
      <t xml:space="preserve"> 56 – 81 </t>
    </r>
    <r>
      <rPr>
        <sz val="10.5"/>
        <color rgb="FF000000"/>
        <rFont val="ＭＳ 明朝"/>
        <family val="1"/>
        <charset val="128"/>
      </rPr>
      <t>　</t>
    </r>
  </si>
  <si>
    <r>
      <t xml:space="preserve"> 64 – 92 </t>
    </r>
    <r>
      <rPr>
        <sz val="10.5"/>
        <color rgb="FF000000"/>
        <rFont val="ＭＳ 明朝"/>
        <family val="1"/>
        <charset val="128"/>
      </rPr>
      <t>　</t>
    </r>
  </si>
  <si>
    <r>
      <t xml:space="preserve"> 73 – 104 </t>
    </r>
    <r>
      <rPr>
        <sz val="10.5"/>
        <color rgb="FF000000"/>
        <rFont val="ＭＳ 明朝"/>
        <family val="1"/>
        <charset val="128"/>
      </rPr>
      <t>　</t>
    </r>
  </si>
  <si>
    <r>
      <t xml:space="preserve"> 84 – 118 </t>
    </r>
    <r>
      <rPr>
        <sz val="10.5"/>
        <color rgb="FF000000"/>
        <rFont val="ＭＳ 明朝"/>
        <family val="1"/>
        <charset val="128"/>
      </rPr>
      <t>　</t>
    </r>
  </si>
  <si>
    <r>
      <t xml:space="preserve">97 – 136 </t>
    </r>
    <r>
      <rPr>
        <sz val="10.5"/>
        <color rgb="FF000000"/>
        <rFont val="ＭＳ 明朝"/>
        <family val="1"/>
        <charset val="128"/>
      </rPr>
      <t>　</t>
    </r>
  </si>
  <si>
    <r>
      <t xml:space="preserve">28 – 52 </t>
    </r>
    <r>
      <rPr>
        <sz val="10.5"/>
        <color rgb="FF000000"/>
        <rFont val="ＭＳ 明朝"/>
        <family val="1"/>
        <charset val="128"/>
      </rPr>
      <t>　</t>
    </r>
  </si>
  <si>
    <t>考慮している不確実性：加入量</t>
  </si>
  <si>
    <r>
      <t>親魚量が管理基準値案を</t>
    </r>
    <r>
      <rPr>
        <sz val="10.5"/>
        <color rgb="FF000000"/>
        <rFont val="Times New Roman"/>
        <family val="1"/>
      </rPr>
      <t>50%</t>
    </r>
    <r>
      <rPr>
        <sz val="10.5"/>
        <color rgb="FF000000"/>
        <rFont val="ＭＳ Ｐ明朝"/>
        <family val="1"/>
        <charset val="128"/>
      </rPr>
      <t>以上の確率で上回る年</t>
    </r>
  </si>
  <si>
    <r>
      <t>SBlimit</t>
    </r>
    <r>
      <rPr>
        <sz val="10.5"/>
        <color rgb="FF000000"/>
        <rFont val="ＭＳ Ｐ明朝"/>
        <family val="1"/>
        <charset val="128"/>
      </rPr>
      <t>案</t>
    </r>
  </si>
  <si>
    <r>
      <t>SBban</t>
    </r>
    <r>
      <rPr>
        <sz val="10.5"/>
        <color rgb="FF000000"/>
        <rFont val="ＭＳ Ｐ明朝"/>
        <family val="1"/>
        <charset val="128"/>
      </rPr>
      <t>案</t>
    </r>
  </si>
  <si>
    <t>–</t>
  </si>
  <si>
    <r>
      <t>2028</t>
    </r>
    <r>
      <rPr>
        <sz val="10.5"/>
        <color rgb="FF000000"/>
        <rFont val="ＭＳ Ｐ明朝"/>
        <family val="1"/>
        <charset val="128"/>
      </rPr>
      <t>年</t>
    </r>
  </si>
  <si>
    <r>
      <t>2022</t>
    </r>
    <r>
      <rPr>
        <sz val="10.5"/>
        <color rgb="FF000000"/>
        <rFont val="ＭＳ Ｐ明朝"/>
        <family val="1"/>
        <charset val="128"/>
      </rPr>
      <t>年</t>
    </r>
  </si>
  <si>
    <r>
      <t>2037</t>
    </r>
    <r>
      <rPr>
        <sz val="10.5"/>
        <color rgb="FF000000"/>
        <rFont val="ＭＳ Ｐ明朝"/>
        <family val="1"/>
        <charset val="128"/>
      </rPr>
      <t>年</t>
    </r>
  </si>
  <si>
    <r>
      <t>2027</t>
    </r>
    <r>
      <rPr>
        <sz val="10.5"/>
        <color rgb="FF000000"/>
        <rFont val="ＭＳ Ｐ明朝"/>
        <family val="1"/>
        <charset val="128"/>
      </rPr>
      <t>年</t>
    </r>
  </si>
  <si>
    <r>
      <t>2034</t>
    </r>
    <r>
      <rPr>
        <sz val="10.5"/>
        <color rgb="FF000000"/>
        <rFont val="ＭＳ Ｐ明朝"/>
        <family val="1"/>
        <charset val="128"/>
      </rPr>
      <t>年</t>
    </r>
  </si>
  <si>
    <r>
      <t>2026</t>
    </r>
    <r>
      <rPr>
        <sz val="10.5"/>
        <color rgb="FF000000"/>
        <rFont val="ＭＳ Ｐ明朝"/>
        <family val="1"/>
        <charset val="128"/>
      </rPr>
      <t>年</t>
    </r>
  </si>
  <si>
    <r>
      <t>2032</t>
    </r>
    <r>
      <rPr>
        <sz val="10.5"/>
        <color rgb="FF000000"/>
        <rFont val="ＭＳ Ｐ明朝"/>
        <family val="1"/>
        <charset val="128"/>
      </rPr>
      <t>年</t>
    </r>
  </si>
  <si>
    <r>
      <t>2025</t>
    </r>
    <r>
      <rPr>
        <sz val="10.5"/>
        <color rgb="FF000000"/>
        <rFont val="ＭＳ Ｐ明朝"/>
        <family val="1"/>
        <charset val="128"/>
      </rPr>
      <t>年</t>
    </r>
  </si>
  <si>
    <r>
      <t>2031</t>
    </r>
    <r>
      <rPr>
        <sz val="10.5"/>
        <color rgb="FF000000"/>
        <rFont val="ＭＳ Ｐ明朝"/>
        <family val="1"/>
        <charset val="128"/>
      </rPr>
      <t>年</t>
    </r>
  </si>
  <si>
    <r>
      <t>2030</t>
    </r>
    <r>
      <rPr>
        <sz val="10.5"/>
        <color rgb="FF000000"/>
        <rFont val="ＭＳ Ｐ明朝"/>
        <family val="1"/>
        <charset val="128"/>
      </rPr>
      <t>年</t>
    </r>
  </si>
  <si>
    <r>
      <t>2029</t>
    </r>
    <r>
      <rPr>
        <sz val="10.5"/>
        <color rgb="FF000000"/>
        <rFont val="ＭＳ Ｐ明朝"/>
        <family val="1"/>
        <charset val="128"/>
      </rPr>
      <t>年</t>
    </r>
  </si>
  <si>
    <r>
      <t>2024</t>
    </r>
    <r>
      <rPr>
        <sz val="10.5"/>
        <color rgb="FF000000"/>
        <rFont val="ＭＳ Ｐ明朝"/>
        <family val="1"/>
        <charset val="128"/>
      </rPr>
      <t>年</t>
    </r>
  </si>
  <si>
    <t>β=0.9</t>
    <phoneticPr fontId="4"/>
  </si>
  <si>
    <t>β=1.0</t>
    <phoneticPr fontId="4"/>
  </si>
  <si>
    <r>
      <rPr>
        <sz val="10.5"/>
        <color rgb="FF000000"/>
        <rFont val="ＭＳ Ｐ明朝"/>
        <family val="1"/>
        <charset val="128"/>
      </rP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</si>
  <si>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年</t>
  </si>
  <si>
    <t>年</t>
    <rPh sb="0" eb="1">
      <t>ネン</t>
    </rPh>
    <phoneticPr fontId="4"/>
  </si>
  <si>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そうびき沖底</t>
    </r>
    <rPh sb="5" eb="6">
      <t>オキ</t>
    </rPh>
    <rPh sb="6" eb="7">
      <t>ソコ</t>
    </rPh>
    <phoneticPr fontId="4"/>
  </si>
  <si>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そうびき沖底</t>
    </r>
    <rPh sb="5" eb="7">
      <t>オキソコ</t>
    </rPh>
    <phoneticPr fontId="4"/>
  </si>
  <si>
    <t>小底</t>
    <rPh sb="0" eb="1">
      <t>ショウ</t>
    </rPh>
    <rPh sb="1" eb="2">
      <t>ソコ</t>
    </rPh>
    <phoneticPr fontId="4"/>
  </si>
  <si>
    <t>　　　計</t>
    <rPh sb="3" eb="4">
      <t>ケイ</t>
    </rPh>
    <phoneticPr fontId="4"/>
  </si>
  <si>
    <t>浜田以西</t>
    <rPh sb="0" eb="2">
      <t>ハマダ</t>
    </rPh>
    <rPh sb="2" eb="4">
      <t>イセイ</t>
    </rPh>
    <rPh sb="3" eb="4">
      <t>ニシ</t>
    </rPh>
    <phoneticPr fontId="4"/>
  </si>
  <si>
    <t>島根東部</t>
    <rPh sb="0" eb="2">
      <t>シマネ</t>
    </rPh>
    <rPh sb="2" eb="4">
      <t>トウブ</t>
    </rPh>
    <phoneticPr fontId="4"/>
  </si>
  <si>
    <t>日本海西部</t>
    <rPh sb="0" eb="3">
      <t>ニホンカイ</t>
    </rPh>
    <rPh sb="3" eb="5">
      <t>セイブ</t>
    </rPh>
    <phoneticPr fontId="4"/>
  </si>
  <si>
    <r>
      <t>2021</t>
    </r>
    <r>
      <rPr>
        <vertAlign val="superscript"/>
        <sz val="10.5"/>
        <color theme="1"/>
        <rFont val="ＭＳ Ｐ明朝"/>
        <family val="1"/>
        <charset val="128"/>
      </rPr>
      <t>＊</t>
    </r>
    <phoneticPr fontId="4"/>
  </si>
  <si>
    <r>
      <rPr>
        <vertAlign val="superscript"/>
        <sz val="10.5"/>
        <color theme="1"/>
        <rFont val="ＭＳ 明朝"/>
        <family val="1"/>
        <charset val="128"/>
      </rPr>
      <t>＊</t>
    </r>
    <r>
      <rPr>
        <sz val="10.5"/>
        <color theme="1"/>
        <rFont val="ＭＳ 明朝"/>
        <family val="1"/>
        <charset val="128"/>
      </rPr>
      <t>暫定値。</t>
    </r>
    <rPh sb="1" eb="4">
      <t>ザンテイチ</t>
    </rPh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</si>
  <si>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．ムシガレイ日本海南西部系群における漁業種類別漁獲量（トン）</t>
    </r>
    <rPh sb="0" eb="1">
      <t>ヒョウ</t>
    </rPh>
    <rPh sb="10" eb="13">
      <t>ニホンカイ</t>
    </rPh>
    <rPh sb="13" eb="16">
      <t>ナンセイブ</t>
    </rPh>
    <rPh sb="16" eb="18">
      <t>ケイグン</t>
    </rPh>
    <rPh sb="22" eb="24">
      <t>ギョギョウ</t>
    </rPh>
    <rPh sb="24" eb="27">
      <t>シュルイベツ</t>
    </rPh>
    <rPh sb="27" eb="30">
      <t>ギョカクリョウ</t>
    </rPh>
    <phoneticPr fontId="4"/>
  </si>
  <si>
    <r>
      <rPr>
        <sz val="14"/>
        <color theme="1"/>
        <rFont val="ＭＳ Ｐ明朝"/>
        <family val="1"/>
        <charset val="128"/>
      </rPr>
      <t>補足表</t>
    </r>
    <r>
      <rPr>
        <sz val="14"/>
        <color theme="1"/>
        <rFont val="Times New Roman"/>
        <family val="1"/>
      </rPr>
      <t>2-1.</t>
    </r>
    <r>
      <rPr>
        <sz val="14"/>
        <color theme="1"/>
        <rFont val="Yu Gothic"/>
        <family val="1"/>
        <charset val="128"/>
      </rPr>
      <t>　</t>
    </r>
    <r>
      <rPr>
        <sz val="14"/>
        <color theme="1"/>
        <rFont val="ＭＳ Ｐ明朝"/>
        <family val="1"/>
        <charset val="128"/>
      </rPr>
      <t>資源解析結果（</t>
    </r>
    <r>
      <rPr>
        <sz val="14"/>
        <color theme="1"/>
        <rFont val="Times New Roman"/>
        <family val="1"/>
      </rPr>
      <t>1993</t>
    </r>
    <r>
      <rPr>
        <sz val="14"/>
        <color theme="1"/>
        <rFont val="ＭＳ Ｐ明朝"/>
        <family val="1"/>
        <charset val="128"/>
      </rPr>
      <t>～</t>
    </r>
    <r>
      <rPr>
        <sz val="14"/>
        <color theme="1"/>
        <rFont val="Times New Roman"/>
        <family val="1"/>
      </rPr>
      <t>2021</t>
    </r>
    <r>
      <rPr>
        <sz val="14"/>
        <color theme="1"/>
        <rFont val="ＭＳ Ｐ明朝"/>
        <family val="1"/>
        <charset val="128"/>
      </rPr>
      <t>年）</t>
    </r>
    <rPh sb="0" eb="2">
      <t>ホソク</t>
    </rPh>
    <rPh sb="2" eb="3">
      <t>ヒョウ</t>
    </rPh>
    <rPh sb="8" eb="10">
      <t>シゲン</t>
    </rPh>
    <rPh sb="10" eb="12">
      <t>カイセキ</t>
    </rPh>
    <rPh sb="12" eb="14">
      <t>ケッカ</t>
    </rPh>
    <rPh sb="24" eb="25">
      <t>ネン</t>
    </rPh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</si>
  <si>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4-1</t>
    </r>
    <r>
      <rPr>
        <sz val="11"/>
        <color theme="1"/>
        <rFont val="ＭＳ 明朝"/>
        <family val="1"/>
        <charset val="128"/>
      </rPr>
      <t>．ムシガレイ日本海南西部系群の資源解析結果</t>
    </r>
    <rPh sb="0" eb="1">
      <t>ヒョウ</t>
    </rPh>
    <rPh sb="10" eb="12">
      <t>ニホン</t>
    </rPh>
    <rPh sb="12" eb="13">
      <t>カイ</t>
    </rPh>
    <rPh sb="13" eb="16">
      <t>ナンセイブ</t>
    </rPh>
    <rPh sb="16" eb="18">
      <t>ケイグン</t>
    </rPh>
    <rPh sb="19" eb="21">
      <t>シゲン</t>
    </rPh>
    <rPh sb="21" eb="23">
      <t>カイセキ</t>
    </rPh>
    <rPh sb="23" eb="25">
      <t>ケッカ</t>
    </rPh>
    <phoneticPr fontId="4"/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</si>
  <si>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Ｐ明朝"/>
        <family val="1"/>
        <charset val="128"/>
      </rPr>
      <t>は自己相関係数</t>
    </r>
    <r>
      <rPr>
        <sz val="10.5"/>
        <color theme="1"/>
        <rFont val="ＭＳ 明朝"/>
        <family val="1"/>
        <charset val="128"/>
      </rPr>
      <t>である。</t>
    </r>
    <phoneticPr fontId="4"/>
  </si>
  <si>
    <t>β</t>
    <phoneticPr fontId="4"/>
  </si>
  <si>
    <t>F2019-2021</t>
    <phoneticPr fontId="4"/>
  </si>
  <si>
    <r>
      <t>補足表</t>
    </r>
    <r>
      <rPr>
        <sz val="10.5"/>
        <color theme="1"/>
        <rFont val="Times New Roman"/>
        <family val="1"/>
      </rPr>
      <t>4-4.</t>
    </r>
    <r>
      <rPr>
        <sz val="10.5"/>
        <color theme="1"/>
        <rFont val="ＭＳ 明朝"/>
        <family val="1"/>
        <charset val="128"/>
      </rPr>
      <t>　将来の漁獲量の平均値の推移（百トン）</t>
    </r>
  </si>
  <si>
    <r>
      <t>太字は漁獲管理規則に基づく管理開始から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年目となる目標年の値を示す。</t>
    </r>
  </si>
  <si>
    <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将来の親魚量が目標管理基準値案を上回る確率</t>
    </r>
    <rPh sb="11" eb="14">
      <t>オヤウオリョウ</t>
    </rPh>
    <rPh sb="15" eb="22">
      <t>モクヒョウカンリキジュンチ</t>
    </rPh>
    <rPh sb="22" eb="23">
      <t>アン</t>
    </rPh>
    <rPh sb="24" eb="26">
      <t>ウワマワ</t>
    </rPh>
    <rPh sb="27" eb="29">
      <t>カクリツ</t>
    </rPh>
    <phoneticPr fontId="4"/>
  </si>
  <si>
    <r>
      <t>補足表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将来の親魚量が限界管理基準値案を上回る確率</t>
    </r>
    <rPh sb="11" eb="14">
      <t>オヤウオリョウ</t>
    </rPh>
    <rPh sb="15" eb="17">
      <t>ゲンカイ</t>
    </rPh>
    <rPh sb="17" eb="19">
      <t>カンリ</t>
    </rPh>
    <rPh sb="19" eb="21">
      <t>キジュン</t>
    </rPh>
    <rPh sb="21" eb="22">
      <t>チ</t>
    </rPh>
    <rPh sb="22" eb="23">
      <t>アン</t>
    </rPh>
    <rPh sb="24" eb="26">
      <t>ウワマワ</t>
    </rPh>
    <rPh sb="27" eb="29">
      <t>カクリツ</t>
    </rPh>
    <phoneticPr fontId="4"/>
  </si>
  <si>
    <r>
      <t>補足表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明朝"/>
        <family val="1"/>
        <charset val="128"/>
      </rPr>
      <t>　将来の親魚量の平均値の推移（百トン）</t>
    </r>
    <rPh sb="11" eb="14">
      <t>オヤウオリョウ</t>
    </rPh>
    <phoneticPr fontId="4"/>
  </si>
  <si>
    <t>SB2021/ SBmsy
 (SBtarget)</t>
    <phoneticPr fontId="4"/>
  </si>
  <si>
    <r>
      <rPr>
        <sz val="10.5"/>
        <color rgb="FF000000"/>
        <rFont val="ＭＳ Ｐ明朝"/>
        <family val="1"/>
        <charset val="128"/>
      </rP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</si>
  <si>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r>
      <t>SBlimit</t>
    </r>
    <r>
      <rPr>
        <sz val="10.5"/>
        <color rgb="FF000000"/>
        <rFont val="ＭＳ Ｐ明朝"/>
        <family val="1"/>
        <charset val="128"/>
      </rPr>
      <t>案</t>
    </r>
    <phoneticPr fontId="4"/>
  </si>
  <si>
    <r>
      <t>SBban</t>
    </r>
    <r>
      <rPr>
        <sz val="10.5"/>
        <color rgb="FF000000"/>
        <rFont val="ＭＳ Ｐ明朝"/>
        <family val="1"/>
        <charset val="128"/>
      </rPr>
      <t>案</t>
    </r>
    <phoneticPr fontId="4"/>
  </si>
  <si>
    <r>
      <t>2033</t>
    </r>
    <r>
      <rPr>
        <sz val="10.5"/>
        <color rgb="FF000000"/>
        <rFont val="ＭＳ Ｐ明朝"/>
        <family val="1"/>
        <charset val="128"/>
      </rPr>
      <t>年の親魚量
（百トン）</t>
    </r>
    <phoneticPr fontId="4"/>
  </si>
  <si>
    <r>
      <t xml:space="preserve">90%
</t>
    </r>
    <r>
      <rPr>
        <sz val="10.5"/>
        <color rgb="FF000000"/>
        <rFont val="ＭＳ Ｐ明朝"/>
        <family val="1"/>
        <charset val="128"/>
      </rPr>
      <t>予測区間
（百トン）</t>
    </r>
    <phoneticPr fontId="4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</si>
  <si>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ＭＳ 明朝"/>
        <family val="1"/>
        <charset val="128"/>
      </rPr>
      <t>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  <phoneticPr fontId="4"/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</si>
  <si>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 xml:space="preserve"> 異なるβを用いた将来予測結果（つづき）</t>
    </r>
    <phoneticPr fontId="4"/>
  </si>
  <si>
    <r>
      <rPr>
        <sz val="10.5"/>
        <color theme="1"/>
        <rFont val="ＭＳ 明朝"/>
        <family val="1"/>
        <charset val="128"/>
      </rPr>
      <t>　　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－</t>
    </r>
    <phoneticPr fontId="4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</si>
  <si>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）年度ムシガレイ日本海南西部系群の資源評価のデータセット</t>
    </r>
    <rPh sb="0" eb="1">
      <t>レイ</t>
    </rPh>
    <rPh sb="1" eb="2">
      <t>ワ</t>
    </rPh>
    <rPh sb="18" eb="19">
      <t>ケイ</t>
    </rPh>
    <rPh sb="19" eb="22">
      <t>ナンセイブ</t>
    </rPh>
    <phoneticPr fontId="5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</si>
  <si>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3-2</t>
    </r>
    <r>
      <rPr>
        <sz val="11"/>
        <color theme="1"/>
        <rFont val="ＭＳ 明朝"/>
        <family val="1"/>
        <charset val="128"/>
      </rPr>
      <t>．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そうびき沖底によるムシガレイの漁獲動向</t>
    </r>
    <rPh sb="0" eb="1">
      <t>ヒョウ</t>
    </rPh>
    <rPh sb="10" eb="12">
      <t>オキソコ</t>
    </rPh>
    <rPh sb="21" eb="23">
      <t>ギョカク</t>
    </rPh>
    <rPh sb="23" eb="25">
      <t>ドウコウ</t>
    </rPh>
    <phoneticPr fontId="4"/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</si>
  <si>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明朝"/>
        <family val="1"/>
        <charset val="128"/>
      </rPr>
      <t>歳以上）</t>
    </r>
    <phoneticPr fontId="4"/>
  </si>
  <si>
    <r>
      <t>現状（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Ｐ明朝"/>
        <family val="1"/>
        <charset val="128"/>
      </rPr>
      <t>年）の漁獲圧に対応する</t>
    </r>
    <r>
      <rPr>
        <sz val="10.5"/>
        <color theme="1"/>
        <rFont val="Times New Roman"/>
        <family val="1"/>
      </rPr>
      <t>%SPR*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</si>
</sst>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.00_);[Red]\(#,##0.00\)"/>
    <numFmt numFmtId="178" formatCode="#,##0.0"/>
    <numFmt numFmtId="179" formatCode="0.0"/>
    <numFmt numFmtId="180" formatCode="0_);[Red]\(0\)"/>
  </numFmts>
  <fonts count="3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ＭＳ 明朝"/>
      <family val="1"/>
      <charset val="128"/>
    </font>
    <font>
      <sz val="14"/>
      <color theme="1"/>
      <name val="游ゴシック Light"/>
      <family val="3"/>
      <charset val="128"/>
      <scheme val="major"/>
    </font>
    <font>
      <sz val="11"/>
      <color theme="1"/>
      <name val="IBM Plex Sans Condensed"/>
      <family val="2"/>
    </font>
    <font>
      <sz val="14"/>
      <color theme="1"/>
      <name val="Times New Roman"/>
      <family val="1"/>
    </font>
    <font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FF0000"/>
      <name val="Times New Roman"/>
      <family val="1"/>
    </font>
    <font>
      <vertAlign val="superscript"/>
      <sz val="11"/>
      <color theme="1"/>
      <name val="ＭＳ Ｐ明朝"/>
      <family val="1"/>
      <charset val="128"/>
    </font>
    <font>
      <vertAlign val="superscript"/>
      <sz val="11"/>
      <color theme="1"/>
      <name val="Times New Roman"/>
      <family val="1"/>
    </font>
    <font>
      <sz val="11"/>
      <name val="Times New Roman"/>
      <family val="1"/>
    </font>
    <font>
      <sz val="11"/>
      <name val="ＭＳ Ｐゴシック"/>
      <family val="3"/>
      <charset val="128"/>
    </font>
    <font>
      <vertAlign val="superscript"/>
      <sz val="11"/>
      <color theme="1"/>
      <name val="ＭＳ Ｐゴシック"/>
      <family val="3"/>
      <charset val="128"/>
    </font>
    <font>
      <vertAlign val="superscript"/>
      <sz val="11"/>
      <color theme="1"/>
      <name val="ＭＳ 明朝"/>
      <family val="1"/>
      <charset val="128"/>
    </font>
    <font>
      <sz val="10.5"/>
      <color theme="1"/>
      <name val="游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游明朝"/>
      <family val="1"/>
      <charset val="128"/>
    </font>
    <font>
      <sz val="14"/>
      <color theme="1"/>
      <name val="Times New Roman"/>
      <family val="1"/>
      <charset val="128"/>
    </font>
    <font>
      <sz val="11"/>
      <color theme="1"/>
      <name val="Times New Roman"/>
      <family val="1"/>
      <charset val="128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vertAlign val="superscript"/>
      <sz val="10.5"/>
      <color theme="1"/>
      <name val="ＭＳ Ｐ明朝"/>
      <family val="1"/>
      <charset val="128"/>
    </font>
    <font>
      <vertAlign val="superscript"/>
      <sz val="10.5"/>
      <color theme="1"/>
      <name val="ＭＳ 明朝"/>
      <family val="1"/>
      <charset val="128"/>
    </font>
    <font>
      <sz val="14"/>
      <color theme="1"/>
      <name val="Yu Gothic"/>
      <family val="1"/>
      <charset val="128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right" vertical="center"/>
    </xf>
    <xf numFmtId="176" fontId="5" fillId="2" borderId="0" xfId="0" applyNumberFormat="1" applyFont="1" applyFill="1">
      <alignment vertical="center"/>
    </xf>
    <xf numFmtId="177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40" fontId="0" fillId="2" borderId="0" xfId="1" applyNumberFormat="1" applyFont="1" applyFill="1">
      <alignment vertical="center"/>
    </xf>
    <xf numFmtId="38" fontId="0" fillId="2" borderId="0" xfId="1" applyFont="1" applyFill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176" fontId="2" fillId="2" borderId="0" xfId="0" applyNumberFormat="1" applyFont="1" applyFill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38" fontId="2" fillId="0" borderId="0" xfId="1" applyFont="1">
      <alignment vertical="center"/>
    </xf>
    <xf numFmtId="0" fontId="2" fillId="0" borderId="1" xfId="0" applyFont="1" applyBorder="1" applyAlignment="1">
      <alignment horizontal="center" vertical="center"/>
    </xf>
    <xf numFmtId="38" fontId="2" fillId="0" borderId="1" xfId="1" applyFont="1" applyBorder="1">
      <alignment vertical="center"/>
    </xf>
    <xf numFmtId="38" fontId="2" fillId="0" borderId="2" xfId="1" applyFont="1" applyBorder="1">
      <alignment vertical="center"/>
    </xf>
    <xf numFmtId="1" fontId="2" fillId="0" borderId="0" xfId="0" applyNumberFormat="1" applyFont="1">
      <alignment vertical="center"/>
    </xf>
    <xf numFmtId="1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40" fontId="2" fillId="0" borderId="0" xfId="1" applyNumberFormat="1" applyFont="1">
      <alignment vertical="center"/>
    </xf>
    <xf numFmtId="2" fontId="2" fillId="0" borderId="0" xfId="0" applyNumberFormat="1" applyFont="1">
      <alignment vertical="center"/>
    </xf>
    <xf numFmtId="40" fontId="2" fillId="0" borderId="1" xfId="1" applyNumberFormat="1" applyFont="1" applyBorder="1">
      <alignment vertical="center"/>
    </xf>
    <xf numFmtId="40" fontId="2" fillId="0" borderId="2" xfId="1" applyNumberFormat="1" applyFont="1" applyBorder="1">
      <alignment vertical="center"/>
    </xf>
    <xf numFmtId="0" fontId="0" fillId="0" borderId="1" xfId="0" applyBorder="1">
      <alignment vertical="center"/>
    </xf>
    <xf numFmtId="38" fontId="2" fillId="0" borderId="0" xfId="0" applyNumberFormat="1" applyFont="1">
      <alignment vertical="center"/>
    </xf>
    <xf numFmtId="38" fontId="2" fillId="0" borderId="1" xfId="0" applyNumberFormat="1" applyFont="1" applyBorder="1">
      <alignment vertical="center"/>
    </xf>
    <xf numFmtId="3" fontId="2" fillId="0" borderId="0" xfId="0" applyNumberFormat="1" applyFont="1">
      <alignment vertical="center"/>
    </xf>
    <xf numFmtId="38" fontId="0" fillId="0" borderId="0" xfId="1" applyFo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79" fontId="17" fillId="2" borderId="0" xfId="0" applyNumberFormat="1" applyFont="1" applyFill="1" applyAlignment="1">
      <alignment horizontal="center" vertical="center"/>
    </xf>
    <xf numFmtId="38" fontId="2" fillId="2" borderId="0" xfId="1" applyFont="1" applyFill="1" applyBorder="1" applyAlignment="1">
      <alignment horizontal="center" vertical="center"/>
    </xf>
    <xf numFmtId="179" fontId="2" fillId="2" borderId="0" xfId="0" applyNumberFormat="1" applyFont="1" applyFill="1">
      <alignment vertical="center"/>
    </xf>
    <xf numFmtId="38" fontId="0" fillId="2" borderId="0" xfId="1" applyFont="1" applyFill="1" applyBorder="1" applyAlignment="1">
      <alignment horizontal="center" vertical="center"/>
    </xf>
    <xf numFmtId="38" fontId="14" fillId="2" borderId="0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9" fontId="17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79" fontId="2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1" fillId="0" borderId="0" xfId="0" applyFont="1" applyAlignment="1">
      <alignment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1" fontId="23" fillId="4" borderId="3" xfId="0" applyNumberFormat="1" applyFont="1" applyFill="1" applyBorder="1" applyAlignment="1">
      <alignment horizontal="right" vertical="center"/>
    </xf>
    <xf numFmtId="0" fontId="23" fillId="4" borderId="3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0" fontId="22" fillId="0" borderId="3" xfId="0" applyFont="1" applyBorder="1" applyAlignment="1">
      <alignment horizontal="justify" vertical="center" wrapText="1"/>
    </xf>
    <xf numFmtId="0" fontId="22" fillId="0" borderId="3" xfId="0" applyFont="1" applyBorder="1" applyAlignment="1">
      <alignment horizontal="center" vertical="center" wrapText="1"/>
    </xf>
    <xf numFmtId="3" fontId="23" fillId="0" borderId="3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7" fillId="2" borderId="1" xfId="0" applyFont="1" applyFill="1" applyBorder="1">
      <alignment vertical="center"/>
    </xf>
    <xf numFmtId="0" fontId="28" fillId="0" borderId="0" xfId="0" applyFont="1">
      <alignment vertical="center"/>
    </xf>
    <xf numFmtId="0" fontId="29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38" fontId="5" fillId="0" borderId="0" xfId="1" applyFont="1">
      <alignment vertical="center"/>
    </xf>
    <xf numFmtId="0" fontId="5" fillId="0" borderId="0" xfId="0" applyFont="1">
      <alignment vertical="center"/>
    </xf>
    <xf numFmtId="38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38" fontId="28" fillId="0" borderId="0" xfId="0" applyNumberFormat="1" applyFont="1">
      <alignment vertical="center"/>
    </xf>
    <xf numFmtId="38" fontId="5" fillId="0" borderId="0" xfId="1" applyFont="1" applyBorder="1">
      <alignment vertical="center"/>
    </xf>
    <xf numFmtId="38" fontId="5" fillId="0" borderId="0" xfId="1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38" fontId="5" fillId="0" borderId="1" xfId="1" applyFont="1" applyFill="1" applyBorder="1">
      <alignment vertical="center"/>
    </xf>
    <xf numFmtId="38" fontId="5" fillId="0" borderId="1" xfId="0" applyNumberFormat="1" applyFont="1" applyBorder="1">
      <alignment vertical="center"/>
    </xf>
    <xf numFmtId="180" fontId="5" fillId="0" borderId="1" xfId="0" applyNumberFormat="1" applyFont="1" applyBorder="1">
      <alignment vertical="center"/>
    </xf>
    <xf numFmtId="0" fontId="2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justify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right" vertical="center" wrapText="1"/>
    </xf>
    <xf numFmtId="2" fontId="5" fillId="2" borderId="0" xfId="0" applyNumberFormat="1" applyFont="1" applyFill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79" fontId="5" fillId="2" borderId="0" xfId="0" applyNumberFormat="1" applyFont="1" applyFill="1" applyAlignment="1">
      <alignment horizontal="center" vertical="center" wrapText="1"/>
    </xf>
    <xf numFmtId="179" fontId="5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justify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justify" vertical="center" wrapText="1"/>
    </xf>
    <xf numFmtId="0" fontId="24" fillId="2" borderId="13" xfId="0" applyFont="1" applyFill="1" applyBorder="1" applyAlignment="1">
      <alignment horizontal="justify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>
      <alignment vertical="center"/>
    </xf>
    <xf numFmtId="0" fontId="33" fillId="5" borderId="3" xfId="0" applyFont="1" applyFill="1" applyBorder="1">
      <alignment vertical="center"/>
    </xf>
    <xf numFmtId="0" fontId="2" fillId="6" borderId="3" xfId="0" applyFont="1" applyFill="1" applyBorder="1">
      <alignment vertical="center"/>
    </xf>
    <xf numFmtId="179" fontId="2" fillId="5" borderId="3" xfId="0" applyNumberFormat="1" applyFont="1" applyFill="1" applyBorder="1" applyAlignment="1">
      <alignment horizontal="center" vertical="center"/>
    </xf>
    <xf numFmtId="38" fontId="2" fillId="0" borderId="3" xfId="1" applyFont="1" applyBorder="1">
      <alignment vertical="center"/>
    </xf>
    <xf numFmtId="38" fontId="33" fillId="0" borderId="3" xfId="1" applyFont="1" applyBorder="1">
      <alignment vertical="center"/>
    </xf>
    <xf numFmtId="1" fontId="2" fillId="5" borderId="3" xfId="0" applyNumberFormat="1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3" fillId="0" borderId="3" xfId="0" applyFont="1" applyBorder="1">
      <alignment vertical="center"/>
    </xf>
    <xf numFmtId="0" fontId="22" fillId="7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justify" vertical="center" wrapText="1"/>
    </xf>
    <xf numFmtId="9" fontId="5" fillId="2" borderId="13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justify" vertical="center" wrapText="1"/>
    </xf>
    <xf numFmtId="0" fontId="6" fillId="2" borderId="3" xfId="0" applyFont="1" applyFill="1" applyBorder="1" applyAlignment="1">
      <alignment horizontal="justify" vertical="center" wrapText="1"/>
    </xf>
    <xf numFmtId="179" fontId="23" fillId="4" borderId="3" xfId="0" applyNumberFormat="1" applyFont="1" applyFill="1" applyBorder="1" applyAlignment="1">
      <alignment horizontal="right" vertical="center"/>
    </xf>
    <xf numFmtId="0" fontId="23" fillId="4" borderId="13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right" vertical="center"/>
    </xf>
    <xf numFmtId="179" fontId="23" fillId="4" borderId="13" xfId="0" applyNumberFormat="1" applyFont="1" applyFill="1" applyBorder="1" applyAlignment="1">
      <alignment horizontal="right" vertical="center"/>
    </xf>
    <xf numFmtId="0" fontId="23" fillId="3" borderId="5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0" fillId="3" borderId="13" xfId="0" applyFill="1" applyBorder="1">
      <alignment vertical="center"/>
    </xf>
    <xf numFmtId="1" fontId="23" fillId="4" borderId="1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2" borderId="1" xfId="0" applyNumberFormat="1" applyFont="1" applyFill="1" applyBorder="1" applyAlignment="1">
      <alignment horizontal="left" vertical="center"/>
    </xf>
    <xf numFmtId="0" fontId="27" fillId="2" borderId="0" xfId="0" applyFont="1" applyFill="1">
      <alignment vertical="center"/>
    </xf>
    <xf numFmtId="38" fontId="2" fillId="2" borderId="0" xfId="1" applyFont="1" applyFill="1" applyAlignment="1">
      <alignment horizontal="right" vertical="center"/>
    </xf>
    <xf numFmtId="38" fontId="2" fillId="2" borderId="0" xfId="1" applyFont="1" applyFill="1">
      <alignment vertical="center"/>
    </xf>
    <xf numFmtId="38" fontId="2" fillId="2" borderId="1" xfId="1" applyFont="1" applyFill="1" applyBorder="1">
      <alignment vertical="center"/>
    </xf>
    <xf numFmtId="38" fontId="2" fillId="2" borderId="1" xfId="1" applyFont="1" applyFill="1" applyBorder="1" applyAlignment="1">
      <alignment horizontal="right" vertical="center"/>
    </xf>
    <xf numFmtId="2" fontId="23" fillId="4" borderId="3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justify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5" fillId="2" borderId="12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7" xfId="0" applyFont="1" applyFill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left" vertical="center" wrapText="1" indent="1"/>
    </xf>
    <xf numFmtId="0" fontId="24" fillId="3" borderId="3" xfId="0" applyFont="1" applyFill="1" applyBorder="1" applyAlignment="1">
      <alignment horizontal="justify" vertical="center" wrapText="1"/>
    </xf>
    <xf numFmtId="0" fontId="23" fillId="3" borderId="3" xfId="0" applyFont="1" applyFill="1" applyBorder="1" applyAlignment="1">
      <alignment horizontal="justify" vertical="center"/>
    </xf>
    <xf numFmtId="0" fontId="23" fillId="3" borderId="5" xfId="0" applyFont="1" applyFill="1" applyBorder="1" applyAlignment="1">
      <alignment horizontal="justify" vertical="center"/>
    </xf>
    <xf numFmtId="0" fontId="22" fillId="3" borderId="12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9" fontId="23" fillId="3" borderId="5" xfId="0" applyNumberFormat="1" applyFont="1" applyFill="1" applyBorder="1" applyAlignment="1">
      <alignment horizontal="center" vertical="center" wrapText="1"/>
    </xf>
    <xf numFmtId="9" fontId="23" fillId="3" borderId="14" xfId="0" applyNumberFormat="1" applyFont="1" applyFill="1" applyBorder="1" applyAlignment="1">
      <alignment horizontal="center" vertical="center" wrapText="1"/>
    </xf>
    <xf numFmtId="9" fontId="23" fillId="3" borderId="13" xfId="0" applyNumberFormat="1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left" vertical="center"/>
    </xf>
    <xf numFmtId="0" fontId="23" fillId="3" borderId="5" xfId="0" applyFont="1" applyFill="1" applyBorder="1" applyAlignment="1">
      <alignment horizontal="left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</cellXfs>
  <cellStyles count="3">
    <cellStyle name="桁区切り" xfId="1" builtinId="6"/>
    <cellStyle name="桁区切り 2" xfId="2" xr:uid="{635B28EE-83AD-4F9E-B7AB-8E7F3C3F10D8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AY/Work/TAC/01YKHM/Wada/SA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bchan.job.affrc.go.jp/Work/TAC/RPS-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pre.hotbiz.jp/2003&#24180;&#26381;&#37096;&#12487;&#12540;&#12479;/&#24179;&#25104;&#65297;&#65301;&#24180;&#24230;&#36039;&#28304;&#35413;&#20385;/&#24179;&#25104;14&#24180;&#24230;&#36039;&#28304;&#35413;&#20385;&#20250;&#35696;/&#12461;&#12481;&#12472;&#35413;&#20385;&#31080;/&#20998;&#24067;&#23494;&#2423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_魚種別各層別平均密度クエリ"/>
      <sheetName val="分析"/>
    </sheetNames>
    <sheetDataSet>
      <sheetData sheetId="0">
        <row r="2">
          <cell r="A2" t="str">
            <v>STATION</v>
          </cell>
          <cell r="B2" t="str">
            <v>水深</v>
          </cell>
          <cell r="C2" t="str">
            <v>網次</v>
          </cell>
          <cell r="D2" t="str">
            <v>スケトウダラ０＋</v>
          </cell>
          <cell r="E2" t="str">
            <v>スケトウダラ１＋</v>
          </cell>
          <cell r="F2" t="str">
            <v>マダラ０＋</v>
          </cell>
          <cell r="G2" t="str">
            <v>マダラ１＋</v>
          </cell>
          <cell r="H2" t="str">
            <v>マダラ２＋</v>
          </cell>
          <cell r="I2" t="str">
            <v>イトヒキダラ</v>
          </cell>
          <cell r="J2" t="str">
            <v>キチジ</v>
          </cell>
          <cell r="K2" t="str">
            <v>ズワイガニ雌</v>
          </cell>
          <cell r="L2" t="str">
            <v>ズワイガニ雄</v>
          </cell>
          <cell r="M2" t="str">
            <v>スルメイカ</v>
          </cell>
          <cell r="N2" t="str">
            <v>ベニズワイ雌</v>
          </cell>
          <cell r="O2" t="str">
            <v>ベニズワイ雄</v>
          </cell>
          <cell r="P2" t="str">
            <v>アカガレイ</v>
          </cell>
          <cell r="Q2" t="str">
            <v>アブラガレイ</v>
          </cell>
          <cell r="R2" t="str">
            <v>サメガレイ</v>
          </cell>
          <cell r="S2" t="str">
            <v>ババガレイ</v>
          </cell>
          <cell r="U2" t="str">
            <v>スケトウダラ０＋</v>
          </cell>
          <cell r="V2" t="str">
            <v>スケトウダラ１＋</v>
          </cell>
          <cell r="W2" t="str">
            <v>マダラ０＋</v>
          </cell>
          <cell r="X2" t="str">
            <v>マダラ１＋</v>
          </cell>
          <cell r="Y2" t="str">
            <v>マダラ２＋</v>
          </cell>
          <cell r="Z2" t="str">
            <v>イトヒキダラ</v>
          </cell>
          <cell r="AA2" t="str">
            <v>キチジ</v>
          </cell>
          <cell r="AB2" t="str">
            <v>ズワイガニ雌</v>
          </cell>
          <cell r="AC2" t="str">
            <v>ズワイガニ雄</v>
          </cell>
          <cell r="AD2" t="str">
            <v>スルメイカ</v>
          </cell>
          <cell r="AE2" t="str">
            <v>ベニズワイ雌</v>
          </cell>
          <cell r="AF2" t="str">
            <v>ベニズワイ雄</v>
          </cell>
          <cell r="AG2" t="str">
            <v>アカガレイ</v>
          </cell>
          <cell r="AH2" t="str">
            <v>アブラガレイ</v>
          </cell>
          <cell r="AI2" t="str">
            <v>サメガレイ</v>
          </cell>
          <cell r="AJ2" t="str">
            <v>ババガレイ</v>
          </cell>
        </row>
        <row r="3">
          <cell r="A3" t="str">
            <v>A</v>
          </cell>
          <cell r="B3">
            <v>150</v>
          </cell>
          <cell r="C3">
            <v>1</v>
          </cell>
          <cell r="D3">
            <v>1.9140760644206032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488.47221164013791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94.746765188819865</v>
          </cell>
          <cell r="U3">
            <v>210.54836708626635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1971.4983463532212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497.65977674935681</v>
          </cell>
        </row>
        <row r="4">
          <cell r="A4" t="str">
            <v>A</v>
          </cell>
          <cell r="B4">
            <v>250</v>
          </cell>
          <cell r="C4">
            <v>1</v>
          </cell>
          <cell r="D4">
            <v>106.04648299268825</v>
          </cell>
          <cell r="E4">
            <v>0</v>
          </cell>
          <cell r="F4">
            <v>21.53783991934116</v>
          </cell>
          <cell r="G4">
            <v>7.6660108187485481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0.36504813422612137</v>
          </cell>
          <cell r="M4">
            <v>206.43471990487163</v>
          </cell>
          <cell r="N4">
            <v>0</v>
          </cell>
          <cell r="O4">
            <v>0</v>
          </cell>
          <cell r="P4">
            <v>0</v>
          </cell>
          <cell r="Q4">
            <v>3.2854332080350921</v>
          </cell>
          <cell r="R4">
            <v>0</v>
          </cell>
          <cell r="S4">
            <v>391.69664802462825</v>
          </cell>
          <cell r="U4">
            <v>8414.3594939120976</v>
          </cell>
          <cell r="V4">
            <v>0</v>
          </cell>
          <cell r="W4">
            <v>1168.1540295235884</v>
          </cell>
          <cell r="X4">
            <v>18.252406711306069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18.252406711306069</v>
          </cell>
          <cell r="AD4">
            <v>529.31979462787592</v>
          </cell>
          <cell r="AE4">
            <v>0</v>
          </cell>
          <cell r="AF4">
            <v>0</v>
          </cell>
          <cell r="AG4">
            <v>0</v>
          </cell>
          <cell r="AH4">
            <v>54.757220133918203</v>
          </cell>
          <cell r="AI4">
            <v>0</v>
          </cell>
          <cell r="AJ4">
            <v>602.3294214731003</v>
          </cell>
        </row>
        <row r="5">
          <cell r="A5" t="str">
            <v>A</v>
          </cell>
          <cell r="B5">
            <v>350</v>
          </cell>
          <cell r="C5">
            <v>1</v>
          </cell>
          <cell r="D5">
            <v>110.80222257928884</v>
          </cell>
          <cell r="E5">
            <v>3934.9595977012696</v>
          </cell>
          <cell r="F5">
            <v>20.575907351586093</v>
          </cell>
          <cell r="G5">
            <v>165.95334620952147</v>
          </cell>
          <cell r="H5">
            <v>1044.3715217426547</v>
          </cell>
          <cell r="I5">
            <v>0</v>
          </cell>
          <cell r="J5">
            <v>12.307084771042149</v>
          </cell>
          <cell r="K5">
            <v>0</v>
          </cell>
          <cell r="L5">
            <v>0.76919279819013431</v>
          </cell>
          <cell r="M5">
            <v>0</v>
          </cell>
          <cell r="N5">
            <v>0</v>
          </cell>
          <cell r="O5">
            <v>0</v>
          </cell>
          <cell r="P5">
            <v>26.9217479366547</v>
          </cell>
          <cell r="Q5">
            <v>12.499382970589682</v>
          </cell>
          <cell r="R5">
            <v>0</v>
          </cell>
          <cell r="S5">
            <v>0</v>
          </cell>
          <cell r="U5">
            <v>7711.1578018560958</v>
          </cell>
          <cell r="V5">
            <v>15749.222542943</v>
          </cell>
          <cell r="W5">
            <v>1076.8699174661879</v>
          </cell>
          <cell r="X5">
            <v>288.44729932130036</v>
          </cell>
          <cell r="Y5">
            <v>461.51567891408058</v>
          </cell>
          <cell r="Z5">
            <v>0</v>
          </cell>
          <cell r="AA5">
            <v>57.689459864260073</v>
          </cell>
          <cell r="AB5">
            <v>0</v>
          </cell>
          <cell r="AC5">
            <v>38.459639909506713</v>
          </cell>
          <cell r="AD5">
            <v>0</v>
          </cell>
          <cell r="AE5">
            <v>0</v>
          </cell>
          <cell r="AF5">
            <v>0</v>
          </cell>
          <cell r="AG5">
            <v>57.689459864260073</v>
          </cell>
          <cell r="AH5">
            <v>19.229819954753356</v>
          </cell>
          <cell r="AI5">
            <v>0</v>
          </cell>
          <cell r="AJ5">
            <v>0</v>
          </cell>
        </row>
        <row r="6">
          <cell r="A6" t="str">
            <v>A</v>
          </cell>
          <cell r="B6">
            <v>450</v>
          </cell>
          <cell r="C6">
            <v>1</v>
          </cell>
          <cell r="D6">
            <v>2.4257591647485111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681.63832529433159</v>
          </cell>
          <cell r="J6">
            <v>312.1143458643084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0.80858638824950368</v>
          </cell>
          <cell r="P6">
            <v>699.42722583582065</v>
          </cell>
          <cell r="Q6">
            <v>0</v>
          </cell>
          <cell r="R6">
            <v>0</v>
          </cell>
          <cell r="S6">
            <v>0</v>
          </cell>
          <cell r="U6">
            <v>242.57591647485108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1455.4554988491066</v>
          </cell>
          <cell r="AA6">
            <v>7115.5602165956316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80.858638824950361</v>
          </cell>
          <cell r="AG6">
            <v>1617.1727764990073</v>
          </cell>
          <cell r="AH6">
            <v>0</v>
          </cell>
          <cell r="AI6">
            <v>0</v>
          </cell>
          <cell r="AJ6">
            <v>0</v>
          </cell>
        </row>
        <row r="7">
          <cell r="A7" t="str">
            <v>A</v>
          </cell>
          <cell r="B7">
            <v>550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434.79061477126805</v>
          </cell>
          <cell r="J7">
            <v>66.208303976158561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716.68782654604627</v>
          </cell>
          <cell r="AA7">
            <v>2457.2154053007298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8" t="str">
            <v>A</v>
          </cell>
          <cell r="B8">
            <v>650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1554.3967454078693</v>
          </cell>
          <cell r="J8">
            <v>127.10214674246652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15.974586749053172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2639.2795498435671</v>
          </cell>
          <cell r="AA8">
            <v>1180.7303249300169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69.454724995883353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</row>
        <row r="9">
          <cell r="A9" t="str">
            <v>A</v>
          </cell>
          <cell r="B9">
            <v>750</v>
          </cell>
          <cell r="C9">
            <v>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402.04193967590874</v>
          </cell>
          <cell r="J9">
            <v>220.11049215947773</v>
          </cell>
          <cell r="K9">
            <v>0</v>
          </cell>
          <cell r="L9">
            <v>0</v>
          </cell>
          <cell r="M9">
            <v>0</v>
          </cell>
          <cell r="N9">
            <v>9.295767391350493</v>
          </cell>
          <cell r="O9">
            <v>235.71410170924463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597.58504658681727</v>
          </cell>
          <cell r="AA9">
            <v>1493.9626164670433</v>
          </cell>
          <cell r="AB9">
            <v>0</v>
          </cell>
          <cell r="AC9">
            <v>0</v>
          </cell>
          <cell r="AD9">
            <v>0</v>
          </cell>
          <cell r="AE9">
            <v>99.597507764469555</v>
          </cell>
          <cell r="AF9">
            <v>464.78836956752457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</row>
        <row r="10">
          <cell r="A10" t="str">
            <v>A</v>
          </cell>
          <cell r="B10">
            <v>900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101.11274511296753</v>
          </cell>
          <cell r="J10">
            <v>325.59575784804639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70.588142814713194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254.37168581878623</v>
          </cell>
          <cell r="AA10">
            <v>2098.5664080049864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127.18584290939312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A11" t="str">
            <v>B</v>
          </cell>
          <cell r="B11">
            <v>150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0.56342626510332183</v>
          </cell>
          <cell r="K11">
            <v>0</v>
          </cell>
          <cell r="L11">
            <v>0</v>
          </cell>
          <cell r="M11">
            <v>76.25035454398288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86.392027315842682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18.780875503444062</v>
          </cell>
          <cell r="AB11">
            <v>0</v>
          </cell>
          <cell r="AC11">
            <v>0</v>
          </cell>
          <cell r="AD11">
            <v>544.64538959987772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450.74101208265745</v>
          </cell>
        </row>
        <row r="12">
          <cell r="A12" t="str">
            <v>B</v>
          </cell>
          <cell r="B12">
            <v>250</v>
          </cell>
          <cell r="C12">
            <v>1</v>
          </cell>
          <cell r="D12">
            <v>7.9335500268736361</v>
          </cell>
          <cell r="E12">
            <v>0</v>
          </cell>
          <cell r="F12">
            <v>64.206404868651759</v>
          </cell>
          <cell r="G12">
            <v>0</v>
          </cell>
          <cell r="H12">
            <v>0</v>
          </cell>
          <cell r="I12">
            <v>0</v>
          </cell>
          <cell r="J12">
            <v>0.18450116341566597</v>
          </cell>
          <cell r="K12">
            <v>0</v>
          </cell>
          <cell r="L12">
            <v>0</v>
          </cell>
          <cell r="M12">
            <v>1563.647359947769</v>
          </cell>
          <cell r="N12">
            <v>0</v>
          </cell>
          <cell r="O12">
            <v>0</v>
          </cell>
          <cell r="P12">
            <v>12.546079112265286</v>
          </cell>
          <cell r="Q12">
            <v>0</v>
          </cell>
          <cell r="R12">
            <v>0</v>
          </cell>
          <cell r="S12">
            <v>39.298747807536849</v>
          </cell>
          <cell r="U12">
            <v>1070.1067478108625</v>
          </cell>
          <cell r="V12">
            <v>0</v>
          </cell>
          <cell r="W12">
            <v>3247.2204761157209</v>
          </cell>
          <cell r="X12">
            <v>0</v>
          </cell>
          <cell r="Y12">
            <v>0</v>
          </cell>
          <cell r="Z12">
            <v>0</v>
          </cell>
          <cell r="AA12">
            <v>18.450116341566595</v>
          </cell>
          <cell r="AB12">
            <v>0</v>
          </cell>
          <cell r="AC12">
            <v>0</v>
          </cell>
          <cell r="AD12">
            <v>5498.1346697868457</v>
          </cell>
          <cell r="AE12">
            <v>0</v>
          </cell>
          <cell r="AF12">
            <v>0</v>
          </cell>
          <cell r="AG12">
            <v>129.15081439096616</v>
          </cell>
          <cell r="AH12">
            <v>0</v>
          </cell>
          <cell r="AI12">
            <v>0</v>
          </cell>
          <cell r="AJ12">
            <v>73.80046536626638</v>
          </cell>
        </row>
        <row r="13">
          <cell r="A13" t="str">
            <v>B</v>
          </cell>
          <cell r="B13">
            <v>250</v>
          </cell>
          <cell r="C13">
            <v>2</v>
          </cell>
          <cell r="D13">
            <v>444.83807535823428</v>
          </cell>
          <cell r="E13">
            <v>0</v>
          </cell>
          <cell r="F13">
            <v>372.62587602167758</v>
          </cell>
          <cell r="G13">
            <v>0</v>
          </cell>
          <cell r="H13">
            <v>0</v>
          </cell>
          <cell r="I13">
            <v>0</v>
          </cell>
          <cell r="J13">
            <v>0.54637225223119867</v>
          </cell>
          <cell r="K13">
            <v>0</v>
          </cell>
          <cell r="L13">
            <v>0</v>
          </cell>
          <cell r="M13">
            <v>2115.9176088073559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64.289801679204388</v>
          </cell>
          <cell r="U13">
            <v>64471.925763281455</v>
          </cell>
          <cell r="V13">
            <v>0</v>
          </cell>
          <cell r="W13">
            <v>14715.625993426953</v>
          </cell>
          <cell r="X13">
            <v>0</v>
          </cell>
          <cell r="Y13">
            <v>0</v>
          </cell>
          <cell r="Z13">
            <v>0</v>
          </cell>
          <cell r="AA13">
            <v>54.637225223119877</v>
          </cell>
          <cell r="AB13">
            <v>0</v>
          </cell>
          <cell r="AC13">
            <v>0</v>
          </cell>
          <cell r="AD13">
            <v>6137.5816333971325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109.27445044623975</v>
          </cell>
        </row>
        <row r="14">
          <cell r="A14" t="str">
            <v>B</v>
          </cell>
          <cell r="B14">
            <v>350</v>
          </cell>
          <cell r="C14">
            <v>1</v>
          </cell>
          <cell r="D14">
            <v>0.58170736393052858</v>
          </cell>
          <cell r="E14">
            <v>3.4902441835831715</v>
          </cell>
          <cell r="F14">
            <v>1.1634147278610572</v>
          </cell>
          <cell r="G14">
            <v>7.4167688901142395</v>
          </cell>
          <cell r="H14">
            <v>132.48385213517787</v>
          </cell>
          <cell r="I14">
            <v>0</v>
          </cell>
          <cell r="J14">
            <v>6.9804883671663429</v>
          </cell>
          <cell r="K14">
            <v>0</v>
          </cell>
          <cell r="L14">
            <v>8.4347567769926659</v>
          </cell>
          <cell r="M14">
            <v>4.3628052294789645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58.170736393052856</v>
          </cell>
          <cell r="V14">
            <v>14.542684098263214</v>
          </cell>
          <cell r="W14">
            <v>58.170736393052856</v>
          </cell>
          <cell r="X14">
            <v>14.542684098263214</v>
          </cell>
          <cell r="Y14">
            <v>43.62805229478964</v>
          </cell>
          <cell r="Z14">
            <v>0</v>
          </cell>
          <cell r="AA14">
            <v>159.96952508089535</v>
          </cell>
          <cell r="AB14">
            <v>0</v>
          </cell>
          <cell r="AC14">
            <v>58.170736393052856</v>
          </cell>
          <cell r="AD14">
            <v>14.542684098263214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</row>
        <row r="15">
          <cell r="A15" t="str">
            <v>B</v>
          </cell>
          <cell r="B15">
            <v>350</v>
          </cell>
          <cell r="C15">
            <v>2</v>
          </cell>
          <cell r="D15">
            <v>1.0428487599534892</v>
          </cell>
          <cell r="E15">
            <v>20.683167072410868</v>
          </cell>
          <cell r="F15">
            <v>0.34761625331782975</v>
          </cell>
          <cell r="G15">
            <v>57.530489924100827</v>
          </cell>
          <cell r="H15">
            <v>0</v>
          </cell>
          <cell r="I15">
            <v>27.635492138767468</v>
          </cell>
          <cell r="J15">
            <v>23.985521478930252</v>
          </cell>
          <cell r="K15">
            <v>4.3452031664728716</v>
          </cell>
          <cell r="L15">
            <v>30.937846545286849</v>
          </cell>
          <cell r="M15">
            <v>0</v>
          </cell>
          <cell r="N15">
            <v>0</v>
          </cell>
          <cell r="O15">
            <v>0</v>
          </cell>
          <cell r="P15">
            <v>9.2118307129224881</v>
          </cell>
          <cell r="Q15">
            <v>0</v>
          </cell>
          <cell r="R15">
            <v>0</v>
          </cell>
          <cell r="S15">
            <v>0</v>
          </cell>
          <cell r="U15">
            <v>69.523250663565946</v>
          </cell>
          <cell r="V15">
            <v>17.380812665891487</v>
          </cell>
          <cell r="W15">
            <v>17.380812665891487</v>
          </cell>
          <cell r="X15">
            <v>86.904063329457443</v>
          </cell>
          <cell r="Y15">
            <v>0</v>
          </cell>
          <cell r="Z15">
            <v>52.142437997674463</v>
          </cell>
          <cell r="AA15">
            <v>330.23544065193823</v>
          </cell>
          <cell r="AB15">
            <v>17.380812665891487</v>
          </cell>
          <cell r="AC15">
            <v>173.80812665891489</v>
          </cell>
          <cell r="AD15">
            <v>0</v>
          </cell>
          <cell r="AE15">
            <v>0</v>
          </cell>
          <cell r="AF15">
            <v>0</v>
          </cell>
          <cell r="AG15">
            <v>52.142437997674463</v>
          </cell>
          <cell r="AH15">
            <v>0</v>
          </cell>
          <cell r="AI15">
            <v>0</v>
          </cell>
          <cell r="AJ15">
            <v>0</v>
          </cell>
        </row>
        <row r="16">
          <cell r="A16" t="str">
            <v>B</v>
          </cell>
          <cell r="B16">
            <v>450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7.686031712105061</v>
          </cell>
          <cell r="H16">
            <v>0</v>
          </cell>
          <cell r="I16">
            <v>312.2119088572332</v>
          </cell>
          <cell r="J16">
            <v>84.016277680596716</v>
          </cell>
          <cell r="K16">
            <v>18.685008127703682</v>
          </cell>
          <cell r="L16">
            <v>37.104980679127884</v>
          </cell>
          <cell r="M16">
            <v>0</v>
          </cell>
          <cell r="N16">
            <v>0</v>
          </cell>
          <cell r="O16">
            <v>0</v>
          </cell>
          <cell r="P16">
            <v>34.587142704472775</v>
          </cell>
          <cell r="Q16">
            <v>1.4576956695371668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>
            <v>13.251778813974244</v>
          </cell>
          <cell r="Y16">
            <v>0</v>
          </cell>
          <cell r="Z16">
            <v>768.60317121050616</v>
          </cell>
          <cell r="AA16">
            <v>1709.4794670026772</v>
          </cell>
          <cell r="AB16">
            <v>198.77668220961365</v>
          </cell>
          <cell r="AC16">
            <v>212.02846102358791</v>
          </cell>
          <cell r="AD16">
            <v>0</v>
          </cell>
          <cell r="AE16">
            <v>0</v>
          </cell>
          <cell r="AF16">
            <v>0</v>
          </cell>
          <cell r="AG16">
            <v>66.258894069871218</v>
          </cell>
          <cell r="AH16">
            <v>13.251778813974244</v>
          </cell>
          <cell r="AI16">
            <v>0</v>
          </cell>
          <cell r="AJ16">
            <v>0</v>
          </cell>
        </row>
        <row r="17">
          <cell r="A17" t="str">
            <v>B</v>
          </cell>
          <cell r="B17">
            <v>450</v>
          </cell>
          <cell r="C17">
            <v>2</v>
          </cell>
          <cell r="D17">
            <v>0.17745122564041516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95.912387458644403</v>
          </cell>
          <cell r="J17">
            <v>26.44023262042186</v>
          </cell>
          <cell r="K17">
            <v>12.421585794829062</v>
          </cell>
          <cell r="L17">
            <v>54.300075045967041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17.745122564041516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283.92196102466426</v>
          </cell>
          <cell r="AA17">
            <v>1064.7073538424911</v>
          </cell>
          <cell r="AB17">
            <v>124.2158579482906</v>
          </cell>
          <cell r="AC17">
            <v>283.92196102466426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18" t="str">
            <v>B</v>
          </cell>
          <cell r="B18">
            <v>550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49.835961566715753</v>
          </cell>
          <cell r="I18">
            <v>177.40648519443312</v>
          </cell>
          <cell r="J18">
            <v>235.5881819517472</v>
          </cell>
          <cell r="K18">
            <v>9.2995334980952844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98.956574402808812</v>
          </cell>
          <cell r="Q18">
            <v>0</v>
          </cell>
          <cell r="R18">
            <v>24.083407264298046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23.844957687423808</v>
          </cell>
          <cell r="Z18">
            <v>453.05419606105232</v>
          </cell>
          <cell r="AA18">
            <v>9227.998625033013</v>
          </cell>
          <cell r="AB18">
            <v>47.689915374847615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453.05419606105232</v>
          </cell>
          <cell r="AH18">
            <v>0</v>
          </cell>
          <cell r="AI18">
            <v>23.844957687423808</v>
          </cell>
          <cell r="AJ18">
            <v>0</v>
          </cell>
        </row>
        <row r="19">
          <cell r="A19" t="str">
            <v>B</v>
          </cell>
          <cell r="B19">
            <v>650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544.04016854275949</v>
          </cell>
          <cell r="J19">
            <v>135.74028798627359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971.11493789861868</v>
          </cell>
          <cell r="AA19">
            <v>1122.1772615717371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20" t="str">
            <v>B</v>
          </cell>
          <cell r="B20">
            <v>750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1349.4368277807212</v>
          </cell>
          <cell r="J20">
            <v>124.39892974860088</v>
          </cell>
          <cell r="K20">
            <v>0</v>
          </cell>
          <cell r="L20">
            <v>0</v>
          </cell>
          <cell r="M20">
            <v>0</v>
          </cell>
          <cell r="N20">
            <v>19.923266092549358</v>
          </cell>
          <cell r="O20">
            <v>167.1610618496824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2186.6999369871246</v>
          </cell>
          <cell r="AA20">
            <v>728.89997899570824</v>
          </cell>
          <cell r="AB20">
            <v>0</v>
          </cell>
          <cell r="AC20">
            <v>0</v>
          </cell>
          <cell r="AD20">
            <v>0</v>
          </cell>
          <cell r="AE20">
            <v>145.77999579914163</v>
          </cell>
          <cell r="AF20">
            <v>340.1533235313305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21" t="str">
            <v>B</v>
          </cell>
          <cell r="B21">
            <v>900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694.9425392428949</v>
          </cell>
          <cell r="J21">
            <v>246.15846207806413</v>
          </cell>
          <cell r="K21">
            <v>0</v>
          </cell>
          <cell r="L21">
            <v>0</v>
          </cell>
          <cell r="M21">
            <v>0</v>
          </cell>
          <cell r="N21">
            <v>9.4980757071921857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870.6569398259503</v>
          </cell>
          <cell r="AA21">
            <v>1266.4100942922914</v>
          </cell>
          <cell r="AB21">
            <v>0</v>
          </cell>
          <cell r="AC21">
            <v>0</v>
          </cell>
          <cell r="AD21">
            <v>0</v>
          </cell>
          <cell r="AE21">
            <v>158.30126178653643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</row>
        <row r="22">
          <cell r="B22">
            <v>150</v>
          </cell>
        </row>
        <row r="23">
          <cell r="A23" t="str">
            <v>C</v>
          </cell>
          <cell r="B23">
            <v>250</v>
          </cell>
          <cell r="C23">
            <v>1</v>
          </cell>
          <cell r="D23">
            <v>1302.0617288046446</v>
          </cell>
          <cell r="E23">
            <v>0</v>
          </cell>
          <cell r="F23">
            <v>334.16902538368953</v>
          </cell>
          <cell r="G23">
            <v>91.119997403055322</v>
          </cell>
          <cell r="H23">
            <v>0</v>
          </cell>
          <cell r="I23">
            <v>0</v>
          </cell>
          <cell r="J23">
            <v>0.37420943492014508</v>
          </cell>
          <cell r="K23">
            <v>0.18710471746007254</v>
          </cell>
          <cell r="L23">
            <v>0</v>
          </cell>
          <cell r="M23">
            <v>19.645995333307617</v>
          </cell>
          <cell r="N23">
            <v>0</v>
          </cell>
          <cell r="O23">
            <v>0</v>
          </cell>
          <cell r="P23">
            <v>0.18710471746007254</v>
          </cell>
          <cell r="Q23">
            <v>107.77231725700177</v>
          </cell>
          <cell r="R23">
            <v>0</v>
          </cell>
          <cell r="S23">
            <v>0</v>
          </cell>
          <cell r="U23">
            <v>91381.944007499435</v>
          </cell>
          <cell r="V23">
            <v>0</v>
          </cell>
          <cell r="W23">
            <v>16521.346551724408</v>
          </cell>
          <cell r="X23">
            <v>187.10471746007255</v>
          </cell>
          <cell r="Y23">
            <v>0</v>
          </cell>
          <cell r="Z23">
            <v>0</v>
          </cell>
          <cell r="AA23">
            <v>37.420943492014509</v>
          </cell>
          <cell r="AB23">
            <v>18.710471746007254</v>
          </cell>
          <cell r="AC23">
            <v>0</v>
          </cell>
          <cell r="AD23">
            <v>93.552358730036275</v>
          </cell>
          <cell r="AE23">
            <v>0</v>
          </cell>
          <cell r="AF23">
            <v>0</v>
          </cell>
          <cell r="AG23">
            <v>18.710471746007254</v>
          </cell>
          <cell r="AH23">
            <v>898.10264380834815</v>
          </cell>
          <cell r="AI23">
            <v>0</v>
          </cell>
          <cell r="AJ23">
            <v>0</v>
          </cell>
        </row>
        <row r="24">
          <cell r="A24" t="str">
            <v>C</v>
          </cell>
          <cell r="B24">
            <v>250</v>
          </cell>
          <cell r="C24">
            <v>2</v>
          </cell>
          <cell r="D24">
            <v>61.312240281422781</v>
          </cell>
          <cell r="E24">
            <v>0</v>
          </cell>
          <cell r="F24">
            <v>20.532471164011348</v>
          </cell>
          <cell r="G24">
            <v>10.076120108264828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1520.5435589792849</v>
          </cell>
          <cell r="N24">
            <v>0</v>
          </cell>
          <cell r="O24">
            <v>0</v>
          </cell>
          <cell r="P24">
            <v>0</v>
          </cell>
          <cell r="Q24">
            <v>16.730161689194432</v>
          </cell>
          <cell r="R24">
            <v>0</v>
          </cell>
          <cell r="S24">
            <v>38.973672116873388</v>
          </cell>
          <cell r="U24">
            <v>10779.547361105957</v>
          </cell>
          <cell r="V24">
            <v>0</v>
          </cell>
          <cell r="W24">
            <v>1045.6351055746518</v>
          </cell>
          <cell r="X24">
            <v>19.011547374084582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4182.5404222986081</v>
          </cell>
          <cell r="AE24">
            <v>0</v>
          </cell>
          <cell r="AF24">
            <v>0</v>
          </cell>
          <cell r="AG24">
            <v>0</v>
          </cell>
          <cell r="AH24">
            <v>152.09237899267666</v>
          </cell>
          <cell r="AI24">
            <v>0</v>
          </cell>
          <cell r="AJ24">
            <v>76.046189496338329</v>
          </cell>
        </row>
        <row r="25">
          <cell r="A25" t="str">
            <v>C</v>
          </cell>
          <cell r="B25">
            <v>350</v>
          </cell>
          <cell r="C25">
            <v>1</v>
          </cell>
          <cell r="D25">
            <v>1.7728535421264373</v>
          </cell>
          <cell r="E25">
            <v>35.260087115625808</v>
          </cell>
          <cell r="F25">
            <v>0</v>
          </cell>
          <cell r="G25">
            <v>36.048022023237557</v>
          </cell>
          <cell r="H25">
            <v>67.76240205461049</v>
          </cell>
          <cell r="I25">
            <v>0</v>
          </cell>
          <cell r="J25">
            <v>6.6974467146998737</v>
          </cell>
          <cell r="K25">
            <v>7.682365349214562</v>
          </cell>
          <cell r="L25">
            <v>12.212991067982124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157.58698152234999</v>
          </cell>
          <cell r="V25">
            <v>98.491863451468731</v>
          </cell>
          <cell r="W25">
            <v>0</v>
          </cell>
          <cell r="X25">
            <v>59.095118070881242</v>
          </cell>
          <cell r="Y25">
            <v>19.698372690293748</v>
          </cell>
          <cell r="Z25">
            <v>0</v>
          </cell>
          <cell r="AA25">
            <v>847.03002568263105</v>
          </cell>
          <cell r="AB25">
            <v>59.095118070881242</v>
          </cell>
          <cell r="AC25">
            <v>98.491863451468731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</row>
        <row r="26">
          <cell r="A26" t="str">
            <v>C</v>
          </cell>
          <cell r="B26">
            <v>350</v>
          </cell>
          <cell r="C26">
            <v>2</v>
          </cell>
          <cell r="D26">
            <v>1275.023555471683</v>
          </cell>
          <cell r="E26">
            <v>624.98852611672135</v>
          </cell>
          <cell r="F26">
            <v>36.004348404970798</v>
          </cell>
          <cell r="G26">
            <v>30.721101628154429</v>
          </cell>
          <cell r="H26">
            <v>0</v>
          </cell>
          <cell r="I26">
            <v>0</v>
          </cell>
          <cell r="J26">
            <v>3.9135161309750863</v>
          </cell>
          <cell r="K26">
            <v>0</v>
          </cell>
          <cell r="L26">
            <v>9.7837903274377158</v>
          </cell>
          <cell r="M26">
            <v>20.35028388107045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68877.883905161521</v>
          </cell>
          <cell r="V26">
            <v>2759.0288723374356</v>
          </cell>
          <cell r="W26">
            <v>1037.0817747083979</v>
          </cell>
          <cell r="X26">
            <v>58.702741964626291</v>
          </cell>
          <cell r="Y26">
            <v>0</v>
          </cell>
          <cell r="Z26">
            <v>0</v>
          </cell>
          <cell r="AA26">
            <v>684.8653229206401</v>
          </cell>
          <cell r="AB26">
            <v>0</v>
          </cell>
          <cell r="AC26">
            <v>78.270322619501727</v>
          </cell>
          <cell r="AD26">
            <v>39.135161309750863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</row>
        <row r="27">
          <cell r="A27" t="str">
            <v>C</v>
          </cell>
          <cell r="B27">
            <v>450</v>
          </cell>
          <cell r="C27">
            <v>1</v>
          </cell>
          <cell r="D27">
            <v>1.124012289182291</v>
          </cell>
          <cell r="E27">
            <v>0</v>
          </cell>
          <cell r="F27">
            <v>0.18733538153038184</v>
          </cell>
          <cell r="G27">
            <v>28.474977992618037</v>
          </cell>
          <cell r="H27">
            <v>76.994841808986934</v>
          </cell>
          <cell r="I27">
            <v>196.32747984384017</v>
          </cell>
          <cell r="J27">
            <v>20.981562731402764</v>
          </cell>
          <cell r="K27">
            <v>153.42767747338272</v>
          </cell>
          <cell r="L27">
            <v>127.38805944065965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112.40122891822909</v>
          </cell>
          <cell r="V27">
            <v>0</v>
          </cell>
          <cell r="W27">
            <v>18.733538153038182</v>
          </cell>
          <cell r="X27">
            <v>37.467076306076365</v>
          </cell>
          <cell r="Y27">
            <v>37.467076306076365</v>
          </cell>
          <cell r="Z27">
            <v>393.40430121380183</v>
          </cell>
          <cell r="AA27">
            <v>374.67076306076365</v>
          </cell>
          <cell r="AB27">
            <v>1011.6110602640618</v>
          </cell>
          <cell r="AC27">
            <v>505.80553013203092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</row>
        <row r="28">
          <cell r="A28" t="str">
            <v>C</v>
          </cell>
          <cell r="B28">
            <v>450</v>
          </cell>
          <cell r="C28">
            <v>2</v>
          </cell>
          <cell r="D28">
            <v>0</v>
          </cell>
          <cell r="E28">
            <v>0</v>
          </cell>
          <cell r="F28">
            <v>0</v>
          </cell>
          <cell r="G28">
            <v>37.627034036711109</v>
          </cell>
          <cell r="H28">
            <v>0</v>
          </cell>
          <cell r="I28">
            <v>276.61883469910907</v>
          </cell>
          <cell r="J28">
            <v>24.053811712966006</v>
          </cell>
          <cell r="K28">
            <v>289.50480525962661</v>
          </cell>
          <cell r="L28">
            <v>267.68456177715024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51.543882242070012</v>
          </cell>
          <cell r="Y28">
            <v>0</v>
          </cell>
          <cell r="Z28">
            <v>635.7078809855301</v>
          </cell>
          <cell r="AA28">
            <v>481.07623425932013</v>
          </cell>
          <cell r="AB28">
            <v>1752.4919962303804</v>
          </cell>
          <cell r="AC28">
            <v>1048.0589389220902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</row>
        <row r="29">
          <cell r="A29" t="str">
            <v>C</v>
          </cell>
          <cell r="B29">
            <v>550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236.0394498719125</v>
          </cell>
          <cell r="J29">
            <v>164.56787731752905</v>
          </cell>
          <cell r="K29">
            <v>2.7489066367070554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513.1292388519837</v>
          </cell>
          <cell r="AA29">
            <v>8393.3282640788748</v>
          </cell>
          <cell r="AB29">
            <v>18.326044244713703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</row>
        <row r="30">
          <cell r="A30" t="str">
            <v>C</v>
          </cell>
          <cell r="B30">
            <v>650</v>
          </cell>
          <cell r="C30">
            <v>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399.9778627544207</v>
          </cell>
          <cell r="J30">
            <v>141.54836180473447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64.319206748405406</v>
          </cell>
          <cell r="R30">
            <v>63.397067583553714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691.60437363876781</v>
          </cell>
          <cell r="AA30">
            <v>1452.3691846414122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46.106958242584518</v>
          </cell>
          <cell r="AI30">
            <v>23.053479121292259</v>
          </cell>
          <cell r="AJ30">
            <v>0</v>
          </cell>
        </row>
        <row r="31">
          <cell r="A31" t="str">
            <v>C</v>
          </cell>
          <cell r="B31">
            <v>750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735.0294962952089</v>
          </cell>
          <cell r="J31">
            <v>129.25634390046162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12.678253827557244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1329.6705233779546</v>
          </cell>
          <cell r="AA31">
            <v>556.60626560007404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30.922570311115226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32" t="str">
            <v>C</v>
          </cell>
          <cell r="B32">
            <v>900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452.15327801996364</v>
          </cell>
          <cell r="J32">
            <v>83.792544903819973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489.69669099635047</v>
          </cell>
          <cell r="AA32">
            <v>816.1611516605841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</row>
        <row r="33">
          <cell r="B33">
            <v>150</v>
          </cell>
        </row>
        <row r="34">
          <cell r="A34" t="str">
            <v>D</v>
          </cell>
          <cell r="B34">
            <v>250</v>
          </cell>
          <cell r="C34">
            <v>1</v>
          </cell>
          <cell r="D34">
            <v>15.764336056562012</v>
          </cell>
          <cell r="E34">
            <v>10.109737253664768</v>
          </cell>
          <cell r="F34">
            <v>4.2837869718918506</v>
          </cell>
          <cell r="G34">
            <v>145.8201085231986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0.68540591550269614</v>
          </cell>
          <cell r="M34">
            <v>1893.6051930550739</v>
          </cell>
          <cell r="N34">
            <v>0</v>
          </cell>
          <cell r="O34">
            <v>0</v>
          </cell>
          <cell r="P34">
            <v>3.9410840141405026</v>
          </cell>
          <cell r="Q34">
            <v>4.4551384507675253</v>
          </cell>
          <cell r="R34">
            <v>0</v>
          </cell>
          <cell r="S34">
            <v>100.24061514226932</v>
          </cell>
          <cell r="U34">
            <v>1250.8657957924204</v>
          </cell>
          <cell r="V34">
            <v>34.270295775134805</v>
          </cell>
          <cell r="W34">
            <v>222.75692253837624</v>
          </cell>
          <cell r="X34">
            <v>205.62177465080885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17.135147887567403</v>
          </cell>
          <cell r="AD34">
            <v>7539.4650705296572</v>
          </cell>
          <cell r="AE34">
            <v>0</v>
          </cell>
          <cell r="AF34">
            <v>0</v>
          </cell>
          <cell r="AG34">
            <v>102.81088732540442</v>
          </cell>
          <cell r="AH34">
            <v>51.405443662702211</v>
          </cell>
          <cell r="AI34">
            <v>0</v>
          </cell>
          <cell r="AJ34">
            <v>154.21633098810662</v>
          </cell>
        </row>
        <row r="35">
          <cell r="A35" t="str">
            <v>D</v>
          </cell>
          <cell r="B35">
            <v>250</v>
          </cell>
          <cell r="C35">
            <v>2</v>
          </cell>
          <cell r="D35">
            <v>29.797705232230989</v>
          </cell>
          <cell r="E35">
            <v>15.494806720760115</v>
          </cell>
          <cell r="F35">
            <v>40.127576379404402</v>
          </cell>
          <cell r="G35">
            <v>237.78568775320332</v>
          </cell>
          <cell r="H35">
            <v>0</v>
          </cell>
          <cell r="I35">
            <v>0</v>
          </cell>
          <cell r="J35">
            <v>0.19865136821487325</v>
          </cell>
          <cell r="K35">
            <v>0</v>
          </cell>
          <cell r="L35">
            <v>0</v>
          </cell>
          <cell r="M35">
            <v>3815.0995265666411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120.97868324285781</v>
          </cell>
          <cell r="U35">
            <v>2145.4347767206314</v>
          </cell>
          <cell r="V35">
            <v>59.595410464461978</v>
          </cell>
          <cell r="W35">
            <v>1728.2669034693974</v>
          </cell>
          <cell r="X35">
            <v>377.43759960825918</v>
          </cell>
          <cell r="Y35">
            <v>0</v>
          </cell>
          <cell r="Z35">
            <v>0</v>
          </cell>
          <cell r="AA35">
            <v>19.865136821487326</v>
          </cell>
          <cell r="AB35">
            <v>0</v>
          </cell>
          <cell r="AC35">
            <v>0</v>
          </cell>
          <cell r="AD35">
            <v>12018.407776999833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218.5165050363606</v>
          </cell>
        </row>
        <row r="36">
          <cell r="A36" t="str">
            <v>D</v>
          </cell>
          <cell r="B36">
            <v>350</v>
          </cell>
          <cell r="C36">
            <v>1</v>
          </cell>
          <cell r="D36">
            <v>1.7273603624683393</v>
          </cell>
          <cell r="E36">
            <v>18.260666688951019</v>
          </cell>
          <cell r="F36">
            <v>2.9611891928028675</v>
          </cell>
          <cell r="G36">
            <v>403.8733037961689</v>
          </cell>
          <cell r="H36">
            <v>561.96790458969986</v>
          </cell>
          <cell r="I36">
            <v>0</v>
          </cell>
          <cell r="J36">
            <v>20.070282306774995</v>
          </cell>
          <cell r="K36">
            <v>16.122030049704502</v>
          </cell>
          <cell r="L36">
            <v>11.84475677121147</v>
          </cell>
          <cell r="M36">
            <v>0</v>
          </cell>
          <cell r="N36">
            <v>0</v>
          </cell>
          <cell r="O36">
            <v>0</v>
          </cell>
          <cell r="P36">
            <v>181.12607229310873</v>
          </cell>
          <cell r="Q36">
            <v>0</v>
          </cell>
          <cell r="R36">
            <v>0</v>
          </cell>
          <cell r="S36">
            <v>0</v>
          </cell>
          <cell r="U36">
            <v>197.41261285352451</v>
          </cell>
          <cell r="V36">
            <v>16.451051071127043</v>
          </cell>
          <cell r="W36">
            <v>115.15735749788931</v>
          </cell>
          <cell r="X36">
            <v>822.55255355635211</v>
          </cell>
          <cell r="Y36">
            <v>246.76576606690566</v>
          </cell>
          <cell r="Z36">
            <v>0</v>
          </cell>
          <cell r="AA36">
            <v>263.2168171380327</v>
          </cell>
          <cell r="AB36">
            <v>246.76576606690566</v>
          </cell>
          <cell r="AC36">
            <v>213.86366392465155</v>
          </cell>
          <cell r="AD36">
            <v>0</v>
          </cell>
          <cell r="AE36">
            <v>0</v>
          </cell>
          <cell r="AF36">
            <v>0</v>
          </cell>
          <cell r="AG36">
            <v>411.27627677817605</v>
          </cell>
          <cell r="AH36">
            <v>0</v>
          </cell>
          <cell r="AI36">
            <v>0</v>
          </cell>
          <cell r="AJ36">
            <v>0</v>
          </cell>
        </row>
        <row r="37">
          <cell r="A37" t="str">
            <v>D</v>
          </cell>
          <cell r="B37">
            <v>350</v>
          </cell>
          <cell r="C37">
            <v>2</v>
          </cell>
          <cell r="D37">
            <v>7.4321407207516366</v>
          </cell>
          <cell r="E37">
            <v>66.00448782953238</v>
          </cell>
          <cell r="F37">
            <v>1.0617343886788051</v>
          </cell>
          <cell r="G37">
            <v>928.66367863106166</v>
          </cell>
          <cell r="H37">
            <v>218.18641687349447</v>
          </cell>
          <cell r="I37">
            <v>44.238932861616881</v>
          </cell>
          <cell r="J37">
            <v>18.226440338986155</v>
          </cell>
          <cell r="K37">
            <v>30.79029727168535</v>
          </cell>
          <cell r="L37">
            <v>46.36240163897449</v>
          </cell>
          <cell r="M37">
            <v>0</v>
          </cell>
          <cell r="N37">
            <v>0</v>
          </cell>
          <cell r="O37">
            <v>0</v>
          </cell>
          <cell r="P37">
            <v>173.4166168175382</v>
          </cell>
          <cell r="Q37">
            <v>1.5926015830182076</v>
          </cell>
          <cell r="R37">
            <v>0</v>
          </cell>
          <cell r="S37">
            <v>0</v>
          </cell>
          <cell r="U37">
            <v>389.30260918222854</v>
          </cell>
          <cell r="V37">
            <v>159.26015830182078</v>
          </cell>
          <cell r="W37">
            <v>35.391146289293502</v>
          </cell>
          <cell r="X37">
            <v>1327.1679858485065</v>
          </cell>
          <cell r="Y37">
            <v>70.782292578587004</v>
          </cell>
          <cell r="Z37">
            <v>88.477865723233762</v>
          </cell>
          <cell r="AA37">
            <v>53.08671943394026</v>
          </cell>
          <cell r="AB37">
            <v>513.17162119475586</v>
          </cell>
          <cell r="AC37">
            <v>654.73620635192992</v>
          </cell>
          <cell r="AD37">
            <v>0</v>
          </cell>
          <cell r="AE37">
            <v>0</v>
          </cell>
          <cell r="AF37">
            <v>0</v>
          </cell>
          <cell r="AG37">
            <v>353.91146289293505</v>
          </cell>
          <cell r="AH37">
            <v>17.695573144646751</v>
          </cell>
          <cell r="AI37">
            <v>0</v>
          </cell>
          <cell r="AJ37">
            <v>0</v>
          </cell>
        </row>
        <row r="38">
          <cell r="A38" t="str">
            <v>D</v>
          </cell>
          <cell r="B38">
            <v>450</v>
          </cell>
          <cell r="C38">
            <v>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170.94870340684696</v>
          </cell>
          <cell r="J38">
            <v>54.444457041487247</v>
          </cell>
          <cell r="K38">
            <v>3.2735591259122074</v>
          </cell>
          <cell r="L38">
            <v>46.174412933919562</v>
          </cell>
          <cell r="M38">
            <v>0</v>
          </cell>
          <cell r="N38">
            <v>0</v>
          </cell>
          <cell r="O38">
            <v>0</v>
          </cell>
          <cell r="P38">
            <v>172.1202929887524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430.73146393581675</v>
          </cell>
          <cell r="AA38">
            <v>913.15070354393151</v>
          </cell>
          <cell r="AB38">
            <v>68.917034229730675</v>
          </cell>
          <cell r="AC38">
            <v>344.58517114865339</v>
          </cell>
          <cell r="AD38">
            <v>0</v>
          </cell>
          <cell r="AE38">
            <v>0</v>
          </cell>
          <cell r="AF38">
            <v>0</v>
          </cell>
          <cell r="AG38">
            <v>482.41923960811476</v>
          </cell>
          <cell r="AH38">
            <v>0</v>
          </cell>
          <cell r="AI38">
            <v>0</v>
          </cell>
          <cell r="AJ38">
            <v>0</v>
          </cell>
        </row>
        <row r="39">
          <cell r="A39" t="str">
            <v>D</v>
          </cell>
          <cell r="B39">
            <v>450</v>
          </cell>
          <cell r="C39">
            <v>2</v>
          </cell>
          <cell r="D39">
            <v>9.4757886338320246E-2</v>
          </cell>
          <cell r="E39">
            <v>0</v>
          </cell>
          <cell r="F39">
            <v>0</v>
          </cell>
          <cell r="G39">
            <v>25.584629311346468</v>
          </cell>
          <cell r="H39">
            <v>253.19307229599167</v>
          </cell>
          <cell r="I39">
            <v>536.424394561231</v>
          </cell>
          <cell r="J39">
            <v>183.83029949634127</v>
          </cell>
          <cell r="K39">
            <v>25.774145084023107</v>
          </cell>
          <cell r="L39">
            <v>44.536206579010518</v>
          </cell>
          <cell r="M39">
            <v>0</v>
          </cell>
          <cell r="N39">
            <v>0</v>
          </cell>
          <cell r="O39">
            <v>0</v>
          </cell>
          <cell r="P39">
            <v>33.165260218412087</v>
          </cell>
          <cell r="Q39">
            <v>27.290271265436228</v>
          </cell>
          <cell r="R39">
            <v>158.62470173034811</v>
          </cell>
          <cell r="S39">
            <v>0</v>
          </cell>
          <cell r="U39">
            <v>18.951577267664049</v>
          </cell>
          <cell r="V39">
            <v>0</v>
          </cell>
          <cell r="W39">
            <v>0</v>
          </cell>
          <cell r="X39">
            <v>37.903154535328099</v>
          </cell>
          <cell r="Y39">
            <v>94.757886338320247</v>
          </cell>
          <cell r="Z39">
            <v>1250.8040996658274</v>
          </cell>
          <cell r="AA39">
            <v>1193.9493678628351</v>
          </cell>
          <cell r="AB39">
            <v>227.41892721196859</v>
          </cell>
          <cell r="AC39">
            <v>303.22523628262479</v>
          </cell>
          <cell r="AD39">
            <v>0</v>
          </cell>
          <cell r="AE39">
            <v>0</v>
          </cell>
          <cell r="AF39">
            <v>0</v>
          </cell>
          <cell r="AG39">
            <v>113.7094636059843</v>
          </cell>
          <cell r="AH39">
            <v>18.951577267664049</v>
          </cell>
          <cell r="AI39">
            <v>75.806309070656198</v>
          </cell>
          <cell r="AJ39">
            <v>0</v>
          </cell>
        </row>
        <row r="40">
          <cell r="A40" t="str">
            <v>D</v>
          </cell>
          <cell r="B40">
            <v>550</v>
          </cell>
          <cell r="C40">
            <v>1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87.787815306601431</v>
          </cell>
          <cell r="J40">
            <v>254.11408275441377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388.63552247562001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227.17734090432904</v>
          </cell>
          <cell r="AA40">
            <v>4105.4190891996604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1070.9788928346941</v>
          </cell>
          <cell r="AH40">
            <v>0</v>
          </cell>
          <cell r="AI40">
            <v>0</v>
          </cell>
          <cell r="AJ40">
            <v>0</v>
          </cell>
        </row>
        <row r="41">
          <cell r="A41" t="str">
            <v>D</v>
          </cell>
          <cell r="B41">
            <v>650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336.59283877122363</v>
          </cell>
          <cell r="J41">
            <v>42.29978969998519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696.3989767680489</v>
          </cell>
          <cell r="AA41">
            <v>747.98408615827475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</row>
        <row r="42">
          <cell r="A42" t="str">
            <v>D</v>
          </cell>
          <cell r="B42">
            <v>750</v>
          </cell>
          <cell r="C42">
            <v>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1023.7743766956426</v>
          </cell>
          <cell r="J42">
            <v>114.1007281719357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29.084499337944393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2326.7599470355512</v>
          </cell>
          <cell r="AA42">
            <v>447.4538359683753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89.490767193675055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</row>
        <row r="43">
          <cell r="A43" t="str">
            <v>D</v>
          </cell>
          <cell r="B43">
            <v>900</v>
          </cell>
          <cell r="C43">
            <v>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1550.4218782157629</v>
          </cell>
          <cell r="J43">
            <v>48.560648931860023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87.972190093949322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2603.9768267809</v>
          </cell>
          <cell r="AA43">
            <v>492.64426452611616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140.7555041503189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</row>
        <row r="44">
          <cell r="A44" t="str">
            <v>E</v>
          </cell>
          <cell r="B44">
            <v>150</v>
          </cell>
          <cell r="C44">
            <v>1</v>
          </cell>
          <cell r="D44">
            <v>0.41923684705623393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14.67328964696819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19.284894964586762</v>
          </cell>
          <cell r="U44">
            <v>20.961842352811697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41.923684705623394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41.923684705623394</v>
          </cell>
        </row>
        <row r="45">
          <cell r="A45" t="str">
            <v>E</v>
          </cell>
          <cell r="B45">
            <v>250</v>
          </cell>
          <cell r="C45">
            <v>1</v>
          </cell>
          <cell r="D45">
            <v>302.52120211275781</v>
          </cell>
          <cell r="E45">
            <v>42.14388236776</v>
          </cell>
          <cell r="F45">
            <v>509.48360118233893</v>
          </cell>
          <cell r="G45">
            <v>33.486418160429452</v>
          </cell>
          <cell r="H45">
            <v>0</v>
          </cell>
          <cell r="I45">
            <v>0</v>
          </cell>
          <cell r="J45">
            <v>2.4502257190558137</v>
          </cell>
          <cell r="K45">
            <v>6.4522610601803096</v>
          </cell>
          <cell r="L45">
            <v>5.2271482006524028</v>
          </cell>
          <cell r="M45">
            <v>0</v>
          </cell>
          <cell r="N45">
            <v>0</v>
          </cell>
          <cell r="O45">
            <v>0</v>
          </cell>
          <cell r="P45">
            <v>16.498186508309146</v>
          </cell>
          <cell r="Q45">
            <v>0</v>
          </cell>
          <cell r="R45">
            <v>0</v>
          </cell>
          <cell r="S45">
            <v>0</v>
          </cell>
          <cell r="U45">
            <v>17363.932929042199</v>
          </cell>
          <cell r="V45">
            <v>212.35289565150387</v>
          </cell>
          <cell r="W45">
            <v>17510.946472185551</v>
          </cell>
          <cell r="X45">
            <v>65.339352508155031</v>
          </cell>
          <cell r="Y45">
            <v>0</v>
          </cell>
          <cell r="Z45">
            <v>0</v>
          </cell>
          <cell r="AA45">
            <v>163.34838127038759</v>
          </cell>
          <cell r="AB45">
            <v>359.36643879485268</v>
          </cell>
          <cell r="AC45">
            <v>261.35741003262012</v>
          </cell>
          <cell r="AD45">
            <v>0</v>
          </cell>
          <cell r="AE45">
            <v>0</v>
          </cell>
          <cell r="AF45">
            <v>0</v>
          </cell>
          <cell r="AG45">
            <v>163.34838127038759</v>
          </cell>
          <cell r="AH45">
            <v>0</v>
          </cell>
          <cell r="AI45">
            <v>0</v>
          </cell>
          <cell r="AJ45">
            <v>0</v>
          </cell>
        </row>
        <row r="46">
          <cell r="A46" t="str">
            <v>E</v>
          </cell>
          <cell r="B46">
            <v>350</v>
          </cell>
          <cell r="C46">
            <v>1</v>
          </cell>
          <cell r="D46">
            <v>0</v>
          </cell>
          <cell r="E46">
            <v>18.920766656710022</v>
          </cell>
          <cell r="F46">
            <v>0</v>
          </cell>
          <cell r="G46">
            <v>121.02150748348485</v>
          </cell>
          <cell r="H46">
            <v>49.622388024201754</v>
          </cell>
          <cell r="I46">
            <v>72.113110653875935</v>
          </cell>
          <cell r="J46">
            <v>33.914581743159474</v>
          </cell>
          <cell r="K46">
            <v>6.604418549983686</v>
          </cell>
          <cell r="L46">
            <v>19.81325564995106</v>
          </cell>
          <cell r="M46">
            <v>0</v>
          </cell>
          <cell r="N46">
            <v>0</v>
          </cell>
          <cell r="O46">
            <v>0</v>
          </cell>
          <cell r="P46">
            <v>3.5699559729641552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  <cell r="V46">
            <v>53.549339594462324</v>
          </cell>
          <cell r="W46">
            <v>0</v>
          </cell>
          <cell r="X46">
            <v>178.49779864820775</v>
          </cell>
          <cell r="Y46">
            <v>17.849779864820775</v>
          </cell>
          <cell r="Z46">
            <v>124.94845905374542</v>
          </cell>
          <cell r="AA46">
            <v>571.19295567426479</v>
          </cell>
          <cell r="AB46">
            <v>71.399119459283099</v>
          </cell>
          <cell r="AC46">
            <v>107.09867918892465</v>
          </cell>
          <cell r="AD46">
            <v>0</v>
          </cell>
          <cell r="AE46">
            <v>0</v>
          </cell>
          <cell r="AF46">
            <v>0</v>
          </cell>
          <cell r="AG46">
            <v>17.849779864820775</v>
          </cell>
          <cell r="AH46">
            <v>0</v>
          </cell>
          <cell r="AI46">
            <v>0</v>
          </cell>
          <cell r="AJ46">
            <v>0</v>
          </cell>
        </row>
        <row r="47">
          <cell r="A47" t="str">
            <v>E</v>
          </cell>
          <cell r="B47">
            <v>450</v>
          </cell>
          <cell r="C47">
            <v>1</v>
          </cell>
          <cell r="D47">
            <v>0</v>
          </cell>
          <cell r="E47">
            <v>14.021859155006078</v>
          </cell>
          <cell r="F47">
            <v>0</v>
          </cell>
          <cell r="G47">
            <v>7.8973689493712396</v>
          </cell>
          <cell r="H47">
            <v>0</v>
          </cell>
          <cell r="I47">
            <v>306.30509567918455</v>
          </cell>
          <cell r="J47">
            <v>43.999627003639766</v>
          </cell>
          <cell r="K47">
            <v>83.325300955610828</v>
          </cell>
          <cell r="L47">
            <v>32.556500566795727</v>
          </cell>
          <cell r="M47">
            <v>0</v>
          </cell>
          <cell r="N47">
            <v>8.0585397442563669E-2</v>
          </cell>
          <cell r="O47">
            <v>0</v>
          </cell>
          <cell r="P47">
            <v>29.816597053748559</v>
          </cell>
          <cell r="Q47">
            <v>0</v>
          </cell>
          <cell r="R47">
            <v>0</v>
          </cell>
          <cell r="S47">
            <v>0</v>
          </cell>
          <cell r="U47">
            <v>0</v>
          </cell>
          <cell r="V47">
            <v>16.117079488512733</v>
          </cell>
          <cell r="W47">
            <v>0</v>
          </cell>
          <cell r="X47">
            <v>16.117079488512733</v>
          </cell>
          <cell r="Y47">
            <v>0</v>
          </cell>
          <cell r="Z47">
            <v>660.80025902902219</v>
          </cell>
          <cell r="AA47">
            <v>854.20521289117494</v>
          </cell>
          <cell r="AB47">
            <v>547.98070260943302</v>
          </cell>
          <cell r="AC47">
            <v>128.93663590810186</v>
          </cell>
          <cell r="AD47">
            <v>0</v>
          </cell>
          <cell r="AE47">
            <v>16.117079488512733</v>
          </cell>
          <cell r="AF47">
            <v>0</v>
          </cell>
          <cell r="AG47">
            <v>96.702476931076404</v>
          </cell>
          <cell r="AH47">
            <v>0</v>
          </cell>
          <cell r="AI47">
            <v>0</v>
          </cell>
          <cell r="AJ47">
            <v>0</v>
          </cell>
        </row>
        <row r="48">
          <cell r="A48" t="str">
            <v>E</v>
          </cell>
          <cell r="B48">
            <v>550</v>
          </cell>
          <cell r="C48">
            <v>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80.084764937451212</v>
          </cell>
          <cell r="J48">
            <v>105.74633477762376</v>
          </cell>
          <cell r="K48">
            <v>2.4111542131705743</v>
          </cell>
          <cell r="L48">
            <v>6.3723361348079459</v>
          </cell>
          <cell r="M48">
            <v>0</v>
          </cell>
          <cell r="N48">
            <v>9.8168421536230532</v>
          </cell>
          <cell r="O48">
            <v>8.7834903479785211</v>
          </cell>
          <cell r="P48">
            <v>294.16081400681009</v>
          </cell>
          <cell r="Q48">
            <v>0</v>
          </cell>
          <cell r="R48">
            <v>152.07494073068693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172.22530094075529</v>
          </cell>
          <cell r="AA48">
            <v>2979.4977062750668</v>
          </cell>
          <cell r="AB48">
            <v>17.22253009407553</v>
          </cell>
          <cell r="AC48">
            <v>17.22253009407553</v>
          </cell>
          <cell r="AD48">
            <v>0</v>
          </cell>
          <cell r="AE48">
            <v>120.55771065852872</v>
          </cell>
          <cell r="AF48">
            <v>120.55771065852872</v>
          </cell>
          <cell r="AG48">
            <v>1085.0193959267585</v>
          </cell>
          <cell r="AH48">
            <v>0</v>
          </cell>
          <cell r="AI48">
            <v>86.112650470377659</v>
          </cell>
          <cell r="AJ48">
            <v>0</v>
          </cell>
        </row>
        <row r="49">
          <cell r="A49" t="str">
            <v>E</v>
          </cell>
          <cell r="B49">
            <v>650</v>
          </cell>
          <cell r="C49">
            <v>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313.90309933070944</v>
          </cell>
          <cell r="J49">
            <v>44.159249566862513</v>
          </cell>
          <cell r="K49">
            <v>0</v>
          </cell>
          <cell r="L49">
            <v>0</v>
          </cell>
          <cell r="M49">
            <v>0</v>
          </cell>
          <cell r="N49">
            <v>1.0640783028159644</v>
          </cell>
          <cell r="O49">
            <v>14.631076663719512</v>
          </cell>
          <cell r="P49">
            <v>23.675742237655207</v>
          </cell>
          <cell r="Q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718.25285440077596</v>
          </cell>
          <cell r="AA49">
            <v>1037.4763452455652</v>
          </cell>
          <cell r="AB49">
            <v>0</v>
          </cell>
          <cell r="AC49">
            <v>0</v>
          </cell>
          <cell r="AD49">
            <v>0</v>
          </cell>
          <cell r="AE49">
            <v>53.203915140798216</v>
          </cell>
          <cell r="AF49">
            <v>106.40783028159643</v>
          </cell>
          <cell r="AG49">
            <v>79.805872711197324</v>
          </cell>
          <cell r="AH49">
            <v>0</v>
          </cell>
          <cell r="AI49">
            <v>0</v>
          </cell>
          <cell r="AJ49">
            <v>0</v>
          </cell>
        </row>
        <row r="50">
          <cell r="A50" t="str">
            <v>E</v>
          </cell>
          <cell r="B50">
            <v>750</v>
          </cell>
          <cell r="C50">
            <v>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917.89725280479774</v>
          </cell>
          <cell r="J50">
            <v>83.58399100384645</v>
          </cell>
          <cell r="K50">
            <v>0</v>
          </cell>
          <cell r="L50">
            <v>0</v>
          </cell>
          <cell r="M50">
            <v>0</v>
          </cell>
          <cell r="N50">
            <v>7.2515791281875916</v>
          </cell>
          <cell r="O50">
            <v>78.240722172550321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2328.138562207595</v>
          </cell>
          <cell r="AA50">
            <v>305.32964750263545</v>
          </cell>
          <cell r="AB50">
            <v>0</v>
          </cell>
          <cell r="AC50">
            <v>0</v>
          </cell>
          <cell r="AD50">
            <v>0</v>
          </cell>
          <cell r="AE50">
            <v>38.166205937829432</v>
          </cell>
          <cell r="AF50">
            <v>152.66482375131773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A51" t="str">
            <v>E</v>
          </cell>
          <cell r="B51">
            <v>900</v>
          </cell>
          <cell r="C51">
            <v>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990.56528693374275</v>
          </cell>
          <cell r="J51">
            <v>75.048089083720939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1737.2242843453923</v>
          </cell>
          <cell r="AA51">
            <v>521.16728530361775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</row>
        <row r="52">
          <cell r="A52" t="str">
            <v>F</v>
          </cell>
          <cell r="B52">
            <v>150</v>
          </cell>
          <cell r="C52">
            <v>1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90.157609298308387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1.3779547272667223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708.66243116574276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39.370135064763488</v>
          </cell>
        </row>
        <row r="53">
          <cell r="A53" t="str">
            <v>F</v>
          </cell>
          <cell r="B53">
            <v>250</v>
          </cell>
          <cell r="C53">
            <v>1</v>
          </cell>
          <cell r="D53">
            <v>364.45877489578476</v>
          </cell>
          <cell r="E53">
            <v>64.103657171127068</v>
          </cell>
          <cell r="F53">
            <v>1578.6238898017314</v>
          </cell>
          <cell r="G53">
            <v>237.39277195717088</v>
          </cell>
          <cell r="H53">
            <v>0</v>
          </cell>
          <cell r="I53">
            <v>0</v>
          </cell>
          <cell r="J53">
            <v>15.027266814596555</v>
          </cell>
          <cell r="K53">
            <v>4.3750270472876043</v>
          </cell>
          <cell r="L53">
            <v>5.1359013163811005</v>
          </cell>
          <cell r="M53">
            <v>4.5652456145609781</v>
          </cell>
          <cell r="N53">
            <v>0</v>
          </cell>
          <cell r="O53">
            <v>0</v>
          </cell>
          <cell r="P53">
            <v>103.09846346216875</v>
          </cell>
          <cell r="Q53">
            <v>1.1413114036402445</v>
          </cell>
          <cell r="R53">
            <v>0</v>
          </cell>
          <cell r="S53">
            <v>0</v>
          </cell>
          <cell r="U53">
            <v>17043.583627694319</v>
          </cell>
          <cell r="V53">
            <v>247.28413745538631</v>
          </cell>
          <cell r="W53">
            <v>39983.942840863238</v>
          </cell>
          <cell r="X53">
            <v>513.59013163811005</v>
          </cell>
          <cell r="Y53">
            <v>0</v>
          </cell>
          <cell r="Z53">
            <v>0</v>
          </cell>
          <cell r="AA53">
            <v>722.83055563882158</v>
          </cell>
          <cell r="AB53">
            <v>190.21856727337411</v>
          </cell>
          <cell r="AC53">
            <v>228.26228072804892</v>
          </cell>
          <cell r="AD53">
            <v>19.021856727337408</v>
          </cell>
          <cell r="AE53">
            <v>0</v>
          </cell>
          <cell r="AF53">
            <v>0</v>
          </cell>
          <cell r="AG53">
            <v>2016.3168130977654</v>
          </cell>
          <cell r="AH53">
            <v>19.021856727337408</v>
          </cell>
          <cell r="AI53">
            <v>0</v>
          </cell>
          <cell r="AJ53">
            <v>0</v>
          </cell>
        </row>
        <row r="54">
          <cell r="A54" t="str">
            <v>F</v>
          </cell>
          <cell r="B54">
            <v>350</v>
          </cell>
          <cell r="C54">
            <v>1</v>
          </cell>
          <cell r="D54">
            <v>0</v>
          </cell>
          <cell r="E54">
            <v>18.121672347809028</v>
          </cell>
          <cell r="F54">
            <v>0</v>
          </cell>
          <cell r="G54">
            <v>284.71575936145319</v>
          </cell>
          <cell r="H54">
            <v>162.53458703705007</v>
          </cell>
          <cell r="I54">
            <v>0</v>
          </cell>
          <cell r="J54">
            <v>3.7364272882080471</v>
          </cell>
          <cell r="K54">
            <v>3.9232486526184491</v>
          </cell>
          <cell r="L54">
            <v>70.431654382721689</v>
          </cell>
          <cell r="M54">
            <v>0</v>
          </cell>
          <cell r="N54">
            <v>0</v>
          </cell>
          <cell r="O54">
            <v>0</v>
          </cell>
          <cell r="P54">
            <v>15.506173246063396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18.682136441040235</v>
          </cell>
          <cell r="W54">
            <v>0</v>
          </cell>
          <cell r="X54">
            <v>523.09982034912662</v>
          </cell>
          <cell r="Y54">
            <v>56.046409323120706</v>
          </cell>
          <cell r="Z54">
            <v>0</v>
          </cell>
          <cell r="AA54">
            <v>186.82136441040234</v>
          </cell>
          <cell r="AB54">
            <v>37.364272882080471</v>
          </cell>
          <cell r="AC54">
            <v>298.91418305664376</v>
          </cell>
          <cell r="AD54">
            <v>0</v>
          </cell>
          <cell r="AE54">
            <v>0</v>
          </cell>
          <cell r="AF54">
            <v>0</v>
          </cell>
          <cell r="AG54">
            <v>168.13922796936211</v>
          </cell>
          <cell r="AH54">
            <v>0</v>
          </cell>
          <cell r="AI54">
            <v>0</v>
          </cell>
          <cell r="AJ54">
            <v>0</v>
          </cell>
        </row>
        <row r="55">
          <cell r="A55" t="str">
            <v>F</v>
          </cell>
          <cell r="B55">
            <v>450</v>
          </cell>
          <cell r="C55">
            <v>1</v>
          </cell>
          <cell r="D55">
            <v>0</v>
          </cell>
          <cell r="E55">
            <v>0</v>
          </cell>
          <cell r="F55">
            <v>0</v>
          </cell>
          <cell r="G55">
            <v>12.340766404643681</v>
          </cell>
          <cell r="H55">
            <v>0</v>
          </cell>
          <cell r="I55">
            <v>6.731327129805643</v>
          </cell>
          <cell r="J55">
            <v>49.924009546058521</v>
          </cell>
          <cell r="K55">
            <v>2.4307570190964825</v>
          </cell>
          <cell r="L55">
            <v>87.507252687473354</v>
          </cell>
          <cell r="M55">
            <v>0</v>
          </cell>
          <cell r="N55">
            <v>0</v>
          </cell>
          <cell r="O55">
            <v>0.18698130916126787</v>
          </cell>
          <cell r="P55">
            <v>471.94082432304015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>
            <v>18.698130916126786</v>
          </cell>
          <cell r="Y55">
            <v>0</v>
          </cell>
          <cell r="Z55">
            <v>18.698130916126786</v>
          </cell>
          <cell r="AA55">
            <v>1720.2280442836645</v>
          </cell>
          <cell r="AB55">
            <v>18.698130916126786</v>
          </cell>
          <cell r="AC55">
            <v>280.47196374190179</v>
          </cell>
          <cell r="AD55">
            <v>0</v>
          </cell>
          <cell r="AE55">
            <v>0</v>
          </cell>
          <cell r="AF55">
            <v>18.698130916126786</v>
          </cell>
          <cell r="AG55">
            <v>3590.0411358963433</v>
          </cell>
          <cell r="AH55">
            <v>0</v>
          </cell>
          <cell r="AI55">
            <v>0</v>
          </cell>
          <cell r="AJ55">
            <v>0</v>
          </cell>
        </row>
        <row r="56">
          <cell r="A56" t="str">
            <v>F</v>
          </cell>
          <cell r="B56">
            <v>550</v>
          </cell>
          <cell r="C56">
            <v>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42.938041479731474</v>
          </cell>
          <cell r="J56">
            <v>36.828970537493262</v>
          </cell>
          <cell r="K56">
            <v>0</v>
          </cell>
          <cell r="L56">
            <v>0</v>
          </cell>
          <cell r="M56">
            <v>0</v>
          </cell>
          <cell r="N56">
            <v>33.861707508406127</v>
          </cell>
          <cell r="O56">
            <v>414.3695547678152</v>
          </cell>
          <cell r="P56">
            <v>59.519805465806648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122.18141884476438</v>
          </cell>
          <cell r="AA56">
            <v>1012.3603275709048</v>
          </cell>
          <cell r="AB56">
            <v>0</v>
          </cell>
          <cell r="AC56">
            <v>0</v>
          </cell>
          <cell r="AD56">
            <v>0</v>
          </cell>
          <cell r="AE56">
            <v>296.72630290871348</v>
          </cell>
          <cell r="AF56">
            <v>645.81607103661167</v>
          </cell>
          <cell r="AG56">
            <v>157.09039565755418</v>
          </cell>
          <cell r="AH56">
            <v>0</v>
          </cell>
          <cell r="AI56">
            <v>0</v>
          </cell>
          <cell r="AJ56">
            <v>0</v>
          </cell>
        </row>
        <row r="57">
          <cell r="A57" t="str">
            <v>F</v>
          </cell>
          <cell r="B57">
            <v>650</v>
          </cell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175.69830667848112</v>
          </cell>
          <cell r="J57">
            <v>56.701479579307225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0.76280017371265318</v>
          </cell>
          <cell r="P57">
            <v>15.001736749682179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381.4000868563266</v>
          </cell>
          <cell r="AA57">
            <v>279.69339702797282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25.42667245708844</v>
          </cell>
          <cell r="AG57">
            <v>25.42667245708844</v>
          </cell>
          <cell r="AH57">
            <v>0</v>
          </cell>
          <cell r="AI57">
            <v>0</v>
          </cell>
          <cell r="AJ57">
            <v>0</v>
          </cell>
        </row>
        <row r="58">
          <cell r="A58" t="str">
            <v>F</v>
          </cell>
          <cell r="B58">
            <v>750</v>
          </cell>
          <cell r="C58">
            <v>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883.79646586334775</v>
          </cell>
          <cell r="J58">
            <v>26.73791433928362</v>
          </cell>
          <cell r="K58">
            <v>0</v>
          </cell>
          <cell r="L58">
            <v>0</v>
          </cell>
          <cell r="M58">
            <v>0</v>
          </cell>
          <cell r="N58">
            <v>1.0839695002412277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1373.0280336388885</v>
          </cell>
          <cell r="AA58">
            <v>144.52926669883038</v>
          </cell>
          <cell r="AB58">
            <v>0</v>
          </cell>
          <cell r="AC58">
            <v>0</v>
          </cell>
          <cell r="AD58">
            <v>0</v>
          </cell>
          <cell r="AE58">
            <v>36.132316674707596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</row>
        <row r="59">
          <cell r="A59" t="str">
            <v>F</v>
          </cell>
          <cell r="B59">
            <v>900</v>
          </cell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230.76082130782481</v>
          </cell>
          <cell r="J59">
            <v>113.48892851204499</v>
          </cell>
          <cell r="K59">
            <v>0</v>
          </cell>
          <cell r="L59">
            <v>0</v>
          </cell>
          <cell r="M59">
            <v>0</v>
          </cell>
          <cell r="N59">
            <v>1.6212704073149282</v>
          </cell>
          <cell r="O59">
            <v>12.970163258519426</v>
          </cell>
          <cell r="P59">
            <v>0</v>
          </cell>
          <cell r="Q59">
            <v>0</v>
          </cell>
          <cell r="R59">
            <v>537.18092829034617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270.21173455248805</v>
          </cell>
          <cell r="AA59">
            <v>378.29642837348325</v>
          </cell>
          <cell r="AB59">
            <v>0</v>
          </cell>
          <cell r="AC59">
            <v>0</v>
          </cell>
          <cell r="AD59">
            <v>0</v>
          </cell>
          <cell r="AE59">
            <v>54.042346910497614</v>
          </cell>
          <cell r="AF59">
            <v>54.042346910497614</v>
          </cell>
          <cell r="AG59">
            <v>0</v>
          </cell>
          <cell r="AH59">
            <v>0</v>
          </cell>
          <cell r="AI59">
            <v>378.29642837348325</v>
          </cell>
          <cell r="AJ59">
            <v>0</v>
          </cell>
        </row>
        <row r="60">
          <cell r="A60" t="str">
            <v>G</v>
          </cell>
          <cell r="B60">
            <v>150</v>
          </cell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846.09887330415245</v>
          </cell>
          <cell r="N60">
            <v>0</v>
          </cell>
          <cell r="O60">
            <v>0</v>
          </cell>
          <cell r="P60">
            <v>0.10564351021402828</v>
          </cell>
          <cell r="Q60">
            <v>0</v>
          </cell>
          <cell r="R60">
            <v>0</v>
          </cell>
          <cell r="S60">
            <v>9.7192029396906019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3782.037665662212</v>
          </cell>
          <cell r="AE60">
            <v>0</v>
          </cell>
          <cell r="AF60">
            <v>0</v>
          </cell>
          <cell r="AG60">
            <v>21.128702042805653</v>
          </cell>
          <cell r="AH60">
            <v>0</v>
          </cell>
          <cell r="AI60">
            <v>0</v>
          </cell>
          <cell r="AJ60">
            <v>63.386106128416955</v>
          </cell>
        </row>
        <row r="61">
          <cell r="A61" t="str">
            <v>G</v>
          </cell>
          <cell r="B61">
            <v>250</v>
          </cell>
          <cell r="C61">
            <v>1</v>
          </cell>
          <cell r="D61">
            <v>0.66959233218177527</v>
          </cell>
          <cell r="E61">
            <v>4.2407514371512436</v>
          </cell>
          <cell r="F61">
            <v>59.147322676056817</v>
          </cell>
          <cell r="G61">
            <v>170.74604470635271</v>
          </cell>
          <cell r="H61">
            <v>0</v>
          </cell>
          <cell r="I61">
            <v>0</v>
          </cell>
          <cell r="J61">
            <v>0.11159872203029589</v>
          </cell>
          <cell r="K61">
            <v>0</v>
          </cell>
          <cell r="L61">
            <v>1.3391846643635505</v>
          </cell>
          <cell r="M61">
            <v>328.99303254531225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320.51152967100978</v>
          </cell>
          <cell r="U61">
            <v>22.319744406059176</v>
          </cell>
          <cell r="V61">
            <v>22.319744406059176</v>
          </cell>
          <cell r="W61">
            <v>1138.3069647090178</v>
          </cell>
          <cell r="X61">
            <v>290.15667727876928</v>
          </cell>
          <cell r="Y61">
            <v>0</v>
          </cell>
          <cell r="Z61">
            <v>0</v>
          </cell>
          <cell r="AA61">
            <v>22.319744406059176</v>
          </cell>
          <cell r="AB61">
            <v>0</v>
          </cell>
          <cell r="AC61">
            <v>66.95923321817753</v>
          </cell>
          <cell r="AD61">
            <v>669.5923321817753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758.87130980601205</v>
          </cell>
        </row>
        <row r="62">
          <cell r="A62" t="str">
            <v>G</v>
          </cell>
          <cell r="B62">
            <v>350</v>
          </cell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83.645954134178851</v>
          </cell>
          <cell r="H62">
            <v>132.36972241733804</v>
          </cell>
          <cell r="I62">
            <v>0</v>
          </cell>
          <cell r="J62">
            <v>4.8096423627152838</v>
          </cell>
          <cell r="K62">
            <v>0</v>
          </cell>
          <cell r="L62">
            <v>4.3914125920443903</v>
          </cell>
          <cell r="M62">
            <v>9.6192847254305693</v>
          </cell>
          <cell r="N62">
            <v>0</v>
          </cell>
          <cell r="O62">
            <v>0</v>
          </cell>
          <cell r="P62">
            <v>8.3645954134178861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>
            <v>167.2919082683577</v>
          </cell>
          <cell r="Y62">
            <v>20.911488533544713</v>
          </cell>
          <cell r="Z62">
            <v>0</v>
          </cell>
          <cell r="AA62">
            <v>167.2919082683577</v>
          </cell>
          <cell r="AB62">
            <v>0</v>
          </cell>
          <cell r="AC62">
            <v>62.734465600634145</v>
          </cell>
          <cell r="AD62">
            <v>20.911488533544713</v>
          </cell>
          <cell r="AE62">
            <v>0</v>
          </cell>
          <cell r="AF62">
            <v>0</v>
          </cell>
          <cell r="AG62">
            <v>20.911488533544713</v>
          </cell>
          <cell r="AH62">
            <v>0</v>
          </cell>
          <cell r="AI62">
            <v>0</v>
          </cell>
          <cell r="AJ62">
            <v>0</v>
          </cell>
        </row>
        <row r="63">
          <cell r="A63" t="str">
            <v>G</v>
          </cell>
          <cell r="B63">
            <v>450</v>
          </cell>
          <cell r="C63">
            <v>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308.71050650937343</v>
          </cell>
          <cell r="K63">
            <v>0</v>
          </cell>
          <cell r="L63">
            <v>24.610343914523103</v>
          </cell>
          <cell r="M63">
            <v>16.887432644275268</v>
          </cell>
          <cell r="N63">
            <v>0.10297215026997113</v>
          </cell>
          <cell r="O63">
            <v>17.608237696165062</v>
          </cell>
          <cell r="P63">
            <v>36.45214119556978</v>
          </cell>
          <cell r="Q63">
            <v>0</v>
          </cell>
          <cell r="R63">
            <v>16.475544043195381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7187.4560888439846</v>
          </cell>
          <cell r="AB63">
            <v>0</v>
          </cell>
          <cell r="AC63">
            <v>144.16101037795957</v>
          </cell>
          <cell r="AD63">
            <v>20.594430053994227</v>
          </cell>
          <cell r="AE63">
            <v>20.594430053994227</v>
          </cell>
          <cell r="AF63">
            <v>226.53873059393649</v>
          </cell>
          <cell r="AG63">
            <v>123.56658032396535</v>
          </cell>
          <cell r="AH63">
            <v>0</v>
          </cell>
          <cell r="AI63">
            <v>20.594430053994227</v>
          </cell>
          <cell r="AJ63">
            <v>0</v>
          </cell>
        </row>
        <row r="64">
          <cell r="A64" t="str">
            <v>G</v>
          </cell>
          <cell r="B64">
            <v>550</v>
          </cell>
          <cell r="C64">
            <v>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2182.3574495051726</v>
          </cell>
          <cell r="J64">
            <v>93.118432678653591</v>
          </cell>
          <cell r="K64">
            <v>8.1831349929725885</v>
          </cell>
          <cell r="L64">
            <v>0</v>
          </cell>
          <cell r="M64">
            <v>0</v>
          </cell>
          <cell r="N64">
            <v>895.06566198996734</v>
          </cell>
          <cell r="O64">
            <v>1353.8855757338788</v>
          </cell>
          <cell r="P64">
            <v>41.197852033586138</v>
          </cell>
          <cell r="Q64">
            <v>0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19470.217741900298</v>
          </cell>
          <cell r="AA64">
            <v>4176.2206171032522</v>
          </cell>
          <cell r="AB64">
            <v>56.435413744638545</v>
          </cell>
          <cell r="AC64">
            <v>0</v>
          </cell>
          <cell r="AD64">
            <v>0</v>
          </cell>
          <cell r="AE64">
            <v>8803.9245441636122</v>
          </cell>
          <cell r="AF64">
            <v>2737.1175666149693</v>
          </cell>
          <cell r="AG64">
            <v>169.30624123391561</v>
          </cell>
          <cell r="AH64">
            <v>0</v>
          </cell>
          <cell r="AI64">
            <v>0</v>
          </cell>
          <cell r="AJ64">
            <v>0</v>
          </cell>
        </row>
        <row r="65">
          <cell r="A65" t="str">
            <v>G</v>
          </cell>
          <cell r="B65">
            <v>650</v>
          </cell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176.27794599315953</v>
          </cell>
          <cell r="J65">
            <v>15.910380787250245</v>
          </cell>
          <cell r="K65">
            <v>0</v>
          </cell>
          <cell r="L65">
            <v>0</v>
          </cell>
          <cell r="M65">
            <v>0</v>
          </cell>
          <cell r="N65">
            <v>15.262300103451865</v>
          </cell>
          <cell r="O65">
            <v>247.56682121098143</v>
          </cell>
          <cell r="P65">
            <v>26.247267693834416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291.63630770927131</v>
          </cell>
          <cell r="AA65">
            <v>97.212102569757093</v>
          </cell>
          <cell r="AB65">
            <v>0</v>
          </cell>
          <cell r="AC65">
            <v>0</v>
          </cell>
          <cell r="AD65">
            <v>0</v>
          </cell>
          <cell r="AE65">
            <v>226.82823932943322</v>
          </cell>
          <cell r="AF65">
            <v>453.65647865886643</v>
          </cell>
          <cell r="AG65">
            <v>64.808068379838062</v>
          </cell>
          <cell r="AH65">
            <v>0</v>
          </cell>
          <cell r="AI65">
            <v>0</v>
          </cell>
          <cell r="AJ65">
            <v>0</v>
          </cell>
        </row>
        <row r="66">
          <cell r="A66" t="str">
            <v>G</v>
          </cell>
          <cell r="B66">
            <v>750</v>
          </cell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81.797057163049587</v>
          </cell>
          <cell r="J66">
            <v>196.49744183153643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92.252320108702548</v>
          </cell>
          <cell r="AA66">
            <v>584.26469402178282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67" t="str">
            <v>G</v>
          </cell>
          <cell r="B67">
            <v>900</v>
          </cell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71.906938938982961</v>
          </cell>
          <cell r="J67">
            <v>255.07287295271067</v>
          </cell>
          <cell r="K67">
            <v>0</v>
          </cell>
          <cell r="L67">
            <v>0</v>
          </cell>
          <cell r="M67">
            <v>0</v>
          </cell>
          <cell r="N67">
            <v>253.50075831008698</v>
          </cell>
          <cell r="O67">
            <v>493.68746391856871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107.32378946116859</v>
          </cell>
          <cell r="AA67">
            <v>715.49192974112395</v>
          </cell>
          <cell r="AB67">
            <v>0</v>
          </cell>
          <cell r="AC67">
            <v>0</v>
          </cell>
          <cell r="AD67">
            <v>0</v>
          </cell>
          <cell r="AE67">
            <v>105463.51044384166</v>
          </cell>
          <cell r="AF67">
            <v>120882.36152976289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</row>
        <row r="68">
          <cell r="A68" t="str">
            <v>H</v>
          </cell>
          <cell r="B68">
            <v>150</v>
          </cell>
          <cell r="C68">
            <v>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93.19678193767129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16.827196738746203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698.97586453253462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77.663984948059408</v>
          </cell>
        </row>
        <row r="69">
          <cell r="A69" t="str">
            <v>H</v>
          </cell>
          <cell r="B69">
            <v>250</v>
          </cell>
          <cell r="C69">
            <v>1</v>
          </cell>
          <cell r="D69">
            <v>0.61603588178730873</v>
          </cell>
          <cell r="E69">
            <v>0</v>
          </cell>
          <cell r="F69">
            <v>128.95684458747664</v>
          </cell>
          <cell r="G69">
            <v>57.907372888007018</v>
          </cell>
          <cell r="H69">
            <v>0</v>
          </cell>
          <cell r="I69">
            <v>0</v>
          </cell>
          <cell r="J69">
            <v>11.91002704788797</v>
          </cell>
          <cell r="K69">
            <v>1.0267264696455145</v>
          </cell>
          <cell r="L69">
            <v>0.41069058785820584</v>
          </cell>
          <cell r="M69">
            <v>45.175964664402642</v>
          </cell>
          <cell r="N69">
            <v>0</v>
          </cell>
          <cell r="O69">
            <v>0</v>
          </cell>
          <cell r="P69">
            <v>9.959246755561491</v>
          </cell>
          <cell r="Q69">
            <v>0</v>
          </cell>
          <cell r="R69">
            <v>0</v>
          </cell>
          <cell r="S69">
            <v>0</v>
          </cell>
          <cell r="U69">
            <v>20.53452939291029</v>
          </cell>
          <cell r="V69">
            <v>0</v>
          </cell>
          <cell r="W69">
            <v>2340.9363507917733</v>
          </cell>
          <cell r="X69">
            <v>102.67264696455146</v>
          </cell>
          <cell r="Y69">
            <v>0</v>
          </cell>
          <cell r="Z69">
            <v>0</v>
          </cell>
          <cell r="AA69">
            <v>862.45023450223221</v>
          </cell>
          <cell r="AB69">
            <v>20.53452939291029</v>
          </cell>
          <cell r="AC69">
            <v>20.53452939291029</v>
          </cell>
          <cell r="AD69">
            <v>102.67264696455146</v>
          </cell>
          <cell r="AE69">
            <v>0</v>
          </cell>
          <cell r="AF69">
            <v>0</v>
          </cell>
          <cell r="AG69">
            <v>554.43229360857777</v>
          </cell>
          <cell r="AH69">
            <v>0</v>
          </cell>
          <cell r="AI69">
            <v>0</v>
          </cell>
          <cell r="AJ69">
            <v>0</v>
          </cell>
        </row>
        <row r="70">
          <cell r="A70" t="str">
            <v>H</v>
          </cell>
          <cell r="B70">
            <v>350</v>
          </cell>
          <cell r="C70">
            <v>1</v>
          </cell>
          <cell r="D70">
            <v>0</v>
          </cell>
          <cell r="E70">
            <v>30.603547395339085</v>
          </cell>
          <cell r="F70">
            <v>0</v>
          </cell>
          <cell r="G70">
            <v>0</v>
          </cell>
          <cell r="H70">
            <v>80.997388772997454</v>
          </cell>
          <cell r="I70">
            <v>0</v>
          </cell>
          <cell r="J70">
            <v>220.9576121943482</v>
          </cell>
          <cell r="K70">
            <v>19.382246683714754</v>
          </cell>
          <cell r="L70">
            <v>47.537510287426713</v>
          </cell>
          <cell r="M70">
            <v>6.1207094790678171</v>
          </cell>
          <cell r="N70">
            <v>0</v>
          </cell>
          <cell r="O70">
            <v>0</v>
          </cell>
          <cell r="P70">
            <v>45.293250145101844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61.20709479067817</v>
          </cell>
          <cell r="W70">
            <v>0</v>
          </cell>
          <cell r="X70">
            <v>0</v>
          </cell>
          <cell r="Y70">
            <v>20.402364930226057</v>
          </cell>
          <cell r="Z70">
            <v>0</v>
          </cell>
          <cell r="AA70">
            <v>9140.2594887412743</v>
          </cell>
          <cell r="AB70">
            <v>897.70405692994655</v>
          </cell>
          <cell r="AC70">
            <v>1366.9584503251458</v>
          </cell>
          <cell r="AD70">
            <v>20.402364930226057</v>
          </cell>
          <cell r="AE70">
            <v>0</v>
          </cell>
          <cell r="AF70">
            <v>0</v>
          </cell>
          <cell r="AG70">
            <v>816.09459720904226</v>
          </cell>
          <cell r="AH70">
            <v>0</v>
          </cell>
          <cell r="AI70">
            <v>0</v>
          </cell>
          <cell r="AJ70">
            <v>0</v>
          </cell>
        </row>
        <row r="71">
          <cell r="A71" t="str">
            <v>H</v>
          </cell>
          <cell r="B71">
            <v>450</v>
          </cell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231.34574294345754</v>
          </cell>
          <cell r="K71">
            <v>0</v>
          </cell>
          <cell r="L71">
            <v>1.264184387669167</v>
          </cell>
          <cell r="M71">
            <v>16.750443136616465</v>
          </cell>
          <cell r="N71">
            <v>0.31604609691729174</v>
          </cell>
          <cell r="O71">
            <v>0.31604609691729174</v>
          </cell>
          <cell r="P71">
            <v>471.54077660059926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3508.1116757819382</v>
          </cell>
          <cell r="AB71">
            <v>0</v>
          </cell>
          <cell r="AC71">
            <v>31.604609691729173</v>
          </cell>
          <cell r="AD71">
            <v>31.604609691729173</v>
          </cell>
          <cell r="AE71">
            <v>31.604609691729173</v>
          </cell>
          <cell r="AF71">
            <v>31.604609691729173</v>
          </cell>
          <cell r="AG71">
            <v>1991.090410578938</v>
          </cell>
          <cell r="AH71">
            <v>0</v>
          </cell>
          <cell r="AI71">
            <v>0</v>
          </cell>
          <cell r="AJ71">
            <v>0</v>
          </cell>
        </row>
        <row r="72">
          <cell r="A72" t="str">
            <v>H</v>
          </cell>
          <cell r="B72">
            <v>550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604.89950282846257</v>
          </cell>
          <cell r="J72">
            <v>12.497923612158317</v>
          </cell>
          <cell r="K72">
            <v>0</v>
          </cell>
          <cell r="L72">
            <v>0</v>
          </cell>
          <cell r="M72">
            <v>0</v>
          </cell>
          <cell r="N72">
            <v>17.497093057021644</v>
          </cell>
          <cell r="O72">
            <v>399.43363864457984</v>
          </cell>
          <cell r="P72">
            <v>52.991196115551269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5174.1403754335433</v>
          </cell>
          <cell r="AA72">
            <v>449.92525003769947</v>
          </cell>
          <cell r="AB72">
            <v>0</v>
          </cell>
          <cell r="AC72">
            <v>0</v>
          </cell>
          <cell r="AD72">
            <v>0</v>
          </cell>
          <cell r="AE72">
            <v>149.9750833458998</v>
          </cell>
          <cell r="AF72">
            <v>724.87956950518242</v>
          </cell>
          <cell r="AG72">
            <v>174.97093057021644</v>
          </cell>
          <cell r="AH72">
            <v>0</v>
          </cell>
          <cell r="AI72">
            <v>0</v>
          </cell>
          <cell r="AJ72">
            <v>0</v>
          </cell>
        </row>
        <row r="73">
          <cell r="A73" t="str">
            <v>H</v>
          </cell>
          <cell r="B73">
            <v>650</v>
          </cell>
          <cell r="C73">
            <v>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134.30199037141048</v>
          </cell>
          <cell r="J73">
            <v>0.24597434133957966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959.29993122436053</v>
          </cell>
          <cell r="AA73">
            <v>24.597434133957965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</row>
        <row r="74">
          <cell r="A74" t="str">
            <v>H</v>
          </cell>
          <cell r="B74">
            <v>750</v>
          </cell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206.16625788614522</v>
          </cell>
          <cell r="J74">
            <v>25.126512679873951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322.1347779471019</v>
          </cell>
          <cell r="AA74">
            <v>64.426955589420388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A75" t="str">
            <v>H</v>
          </cell>
          <cell r="B75">
            <v>900</v>
          </cell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131.05758690950492</v>
          </cell>
          <cell r="J75">
            <v>65.736821370481834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166.42233258349833</v>
          </cell>
          <cell r="AA75">
            <v>166.42233258349833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108-A5FE-4A09-A84D-1E3CEBA73B38}">
  <dimension ref="A1:F61"/>
  <sheetViews>
    <sheetView showGridLines="0" zoomScaleNormal="100" workbookViewId="0">
      <selection activeCell="I21" sqref="I21"/>
    </sheetView>
  </sheetViews>
  <sheetFormatPr defaultColWidth="9" defaultRowHeight="11.25" customHeight="1"/>
  <cols>
    <col min="1" max="1" width="7.25" style="77" customWidth="1"/>
    <col min="2" max="2" width="7.625" style="77" customWidth="1"/>
    <col min="3" max="3" width="11" style="77" customWidth="1"/>
    <col min="4" max="4" width="12.375" style="77" customWidth="1"/>
    <col min="5" max="5" width="11.25" style="77" customWidth="1"/>
    <col min="6" max="6" width="11" style="77" customWidth="1"/>
    <col min="7" max="16384" width="9" style="77"/>
  </cols>
  <sheetData>
    <row r="1" spans="1:6" ht="25.5" customHeight="1">
      <c r="A1" s="149" t="s">
        <v>193</v>
      </c>
    </row>
    <row r="2" spans="1:6" ht="16.5" customHeight="1">
      <c r="A2" s="94" t="s">
        <v>173</v>
      </c>
      <c r="B2" s="78"/>
      <c r="C2" s="78"/>
      <c r="D2" s="78"/>
      <c r="E2" s="78"/>
      <c r="F2" s="78"/>
    </row>
    <row r="3" spans="1:6" ht="15.75" customHeight="1">
      <c r="A3" s="155" t="s">
        <v>163</v>
      </c>
      <c r="B3" s="156" t="s">
        <v>164</v>
      </c>
      <c r="C3" s="156"/>
      <c r="D3" s="80" t="s">
        <v>165</v>
      </c>
      <c r="E3" s="157" t="s">
        <v>166</v>
      </c>
      <c r="F3" s="155" t="s">
        <v>167</v>
      </c>
    </row>
    <row r="4" spans="1:6" ht="15.75" customHeight="1">
      <c r="A4" s="156"/>
      <c r="B4" s="79" t="s">
        <v>168</v>
      </c>
      <c r="C4" s="81" t="s">
        <v>169</v>
      </c>
      <c r="D4" s="79" t="s">
        <v>170</v>
      </c>
      <c r="E4" s="158"/>
      <c r="F4" s="156"/>
    </row>
    <row r="5" spans="1:6" ht="11.25" customHeight="1">
      <c r="A5" s="82">
        <v>1966</v>
      </c>
      <c r="B5" s="83">
        <v>2829</v>
      </c>
      <c r="C5" s="84"/>
      <c r="D5" s="84"/>
      <c r="E5" s="84"/>
      <c r="F5" s="85">
        <v>2829</v>
      </c>
    </row>
    <row r="6" spans="1:6" ht="11.25" customHeight="1">
      <c r="A6" s="82">
        <v>1967</v>
      </c>
      <c r="B6" s="83">
        <v>2169</v>
      </c>
      <c r="C6" s="84"/>
      <c r="D6" s="84"/>
      <c r="E6" s="84"/>
      <c r="F6" s="85">
        <v>2169</v>
      </c>
    </row>
    <row r="7" spans="1:6" ht="11.25" customHeight="1">
      <c r="A7" s="82">
        <v>1968</v>
      </c>
      <c r="B7" s="83">
        <v>2069</v>
      </c>
      <c r="C7" s="84"/>
      <c r="D7" s="84"/>
      <c r="E7" s="84"/>
      <c r="F7" s="85">
        <v>2069</v>
      </c>
    </row>
    <row r="8" spans="1:6" ht="11.25" customHeight="1">
      <c r="A8" s="82">
        <v>1969</v>
      </c>
      <c r="B8" s="83">
        <v>2247</v>
      </c>
      <c r="C8" s="84"/>
      <c r="D8" s="84"/>
      <c r="E8" s="84"/>
      <c r="F8" s="85">
        <v>2247</v>
      </c>
    </row>
    <row r="9" spans="1:6" ht="11.25" customHeight="1">
      <c r="A9" s="82">
        <v>1970</v>
      </c>
      <c r="B9" s="83">
        <v>2384</v>
      </c>
      <c r="C9" s="84"/>
      <c r="D9" s="86"/>
      <c r="E9" s="84"/>
      <c r="F9" s="85">
        <v>2384</v>
      </c>
    </row>
    <row r="10" spans="1:6" ht="11.25" customHeight="1">
      <c r="A10" s="82">
        <v>1971</v>
      </c>
      <c r="B10" s="83">
        <v>2954</v>
      </c>
      <c r="C10" s="84"/>
      <c r="D10" s="86"/>
      <c r="E10" s="84"/>
      <c r="F10" s="85">
        <v>2954</v>
      </c>
    </row>
    <row r="11" spans="1:6" ht="11.25" customHeight="1">
      <c r="A11" s="82">
        <v>1972</v>
      </c>
      <c r="B11" s="83">
        <v>3371</v>
      </c>
      <c r="C11" s="84"/>
      <c r="D11" s="86"/>
      <c r="E11" s="84"/>
      <c r="F11" s="85">
        <v>3371</v>
      </c>
    </row>
    <row r="12" spans="1:6" ht="11.25" customHeight="1">
      <c r="A12" s="82">
        <v>1973</v>
      </c>
      <c r="B12" s="83">
        <v>3322</v>
      </c>
      <c r="C12" s="85"/>
      <c r="D12" s="86"/>
      <c r="E12" s="84"/>
      <c r="F12" s="85">
        <v>3322</v>
      </c>
    </row>
    <row r="13" spans="1:6" ht="11.25" customHeight="1">
      <c r="A13" s="82">
        <v>1974</v>
      </c>
      <c r="B13" s="83">
        <v>2711</v>
      </c>
      <c r="C13" s="85"/>
      <c r="D13" s="86"/>
      <c r="E13" s="84"/>
      <c r="F13" s="85">
        <v>2711</v>
      </c>
    </row>
    <row r="14" spans="1:6" ht="11.25" customHeight="1">
      <c r="A14" s="82">
        <v>1975</v>
      </c>
      <c r="B14" s="83">
        <v>2920</v>
      </c>
      <c r="C14" s="85">
        <v>137</v>
      </c>
      <c r="D14" s="86"/>
      <c r="E14" s="84"/>
      <c r="F14" s="85">
        <v>3057</v>
      </c>
    </row>
    <row r="15" spans="1:6" ht="11.25" customHeight="1">
      <c r="A15" s="82">
        <v>1976</v>
      </c>
      <c r="B15" s="83">
        <v>3436</v>
      </c>
      <c r="C15" s="85">
        <v>109</v>
      </c>
      <c r="D15" s="86"/>
      <c r="E15" s="84"/>
      <c r="F15" s="85">
        <v>3545</v>
      </c>
    </row>
    <row r="16" spans="1:6" ht="11.25" customHeight="1">
      <c r="A16" s="82">
        <v>1977</v>
      </c>
      <c r="B16" s="83">
        <v>3384</v>
      </c>
      <c r="C16" s="85">
        <v>75</v>
      </c>
      <c r="D16" s="86"/>
      <c r="E16" s="84"/>
      <c r="F16" s="85">
        <v>3460</v>
      </c>
    </row>
    <row r="17" spans="1:6" ht="11.25" customHeight="1">
      <c r="A17" s="82">
        <v>1978</v>
      </c>
      <c r="B17" s="83">
        <v>4906</v>
      </c>
      <c r="C17" s="85">
        <v>86</v>
      </c>
      <c r="D17" s="86"/>
      <c r="E17" s="84"/>
      <c r="F17" s="85">
        <v>4991</v>
      </c>
    </row>
    <row r="18" spans="1:6" ht="11.25" customHeight="1">
      <c r="A18" s="82">
        <v>1979</v>
      </c>
      <c r="B18" s="83">
        <v>3848</v>
      </c>
      <c r="C18" s="85">
        <v>100</v>
      </c>
      <c r="D18" s="86"/>
      <c r="E18" s="84"/>
      <c r="F18" s="85">
        <v>3948</v>
      </c>
    </row>
    <row r="19" spans="1:6" ht="11.25" customHeight="1">
      <c r="A19" s="82">
        <v>1980</v>
      </c>
      <c r="B19" s="83">
        <v>4048</v>
      </c>
      <c r="C19" s="85">
        <v>46</v>
      </c>
      <c r="D19" s="86"/>
      <c r="E19" s="84"/>
      <c r="F19" s="85">
        <v>4094</v>
      </c>
    </row>
    <row r="20" spans="1:6" ht="11.25" customHeight="1">
      <c r="A20" s="82">
        <v>1981</v>
      </c>
      <c r="B20" s="83">
        <v>3604</v>
      </c>
      <c r="C20" s="85">
        <v>64</v>
      </c>
      <c r="D20" s="86"/>
      <c r="E20" s="84"/>
      <c r="F20" s="85">
        <v>3668</v>
      </c>
    </row>
    <row r="21" spans="1:6" ht="11.25" customHeight="1">
      <c r="A21" s="82">
        <v>1982</v>
      </c>
      <c r="B21" s="83">
        <v>3721</v>
      </c>
      <c r="C21" s="85">
        <v>38</v>
      </c>
      <c r="D21" s="86">
        <v>2</v>
      </c>
      <c r="E21" s="84"/>
      <c r="F21" s="85">
        <v>3761</v>
      </c>
    </row>
    <row r="22" spans="1:6" ht="11.25" customHeight="1">
      <c r="A22" s="82">
        <v>1983</v>
      </c>
      <c r="B22" s="83">
        <v>2588</v>
      </c>
      <c r="C22" s="85">
        <v>27</v>
      </c>
      <c r="D22" s="86">
        <v>11</v>
      </c>
      <c r="E22" s="84"/>
      <c r="F22" s="85">
        <v>2625</v>
      </c>
    </row>
    <row r="23" spans="1:6" ht="11.25" customHeight="1">
      <c r="A23" s="82">
        <v>1984</v>
      </c>
      <c r="B23" s="83">
        <v>2490</v>
      </c>
      <c r="C23" s="85">
        <v>50</v>
      </c>
      <c r="D23" s="86">
        <v>6</v>
      </c>
      <c r="E23" s="84"/>
      <c r="F23" s="85">
        <v>2546</v>
      </c>
    </row>
    <row r="24" spans="1:6" ht="11.25" customHeight="1">
      <c r="A24" s="82">
        <v>1985</v>
      </c>
      <c r="B24" s="83">
        <v>1764</v>
      </c>
      <c r="C24" s="85">
        <v>49</v>
      </c>
      <c r="D24" s="86">
        <v>4</v>
      </c>
      <c r="E24" s="84"/>
      <c r="F24" s="85">
        <v>1817</v>
      </c>
    </row>
    <row r="25" spans="1:6" ht="11.25" customHeight="1">
      <c r="A25" s="82">
        <v>1986</v>
      </c>
      <c r="B25" s="83">
        <v>1887</v>
      </c>
      <c r="C25" s="85">
        <v>72</v>
      </c>
      <c r="D25" s="86">
        <v>2</v>
      </c>
      <c r="E25" s="83">
        <v>456</v>
      </c>
      <c r="F25" s="85">
        <v>2417</v>
      </c>
    </row>
    <row r="26" spans="1:6" ht="11.25" customHeight="1">
      <c r="A26" s="82">
        <v>1987</v>
      </c>
      <c r="B26" s="83">
        <v>1364</v>
      </c>
      <c r="C26" s="85">
        <v>61</v>
      </c>
      <c r="D26" s="86">
        <v>4</v>
      </c>
      <c r="E26" s="83">
        <v>379</v>
      </c>
      <c r="F26" s="85">
        <v>1808</v>
      </c>
    </row>
    <row r="27" spans="1:6" ht="11.25" customHeight="1">
      <c r="A27" s="82">
        <v>1988</v>
      </c>
      <c r="B27" s="83">
        <v>1017</v>
      </c>
      <c r="C27" s="85">
        <v>40</v>
      </c>
      <c r="D27" s="86">
        <v>1</v>
      </c>
      <c r="E27" s="83">
        <v>314</v>
      </c>
      <c r="F27" s="85">
        <v>1373</v>
      </c>
    </row>
    <row r="28" spans="1:6" ht="11.25" customHeight="1">
      <c r="A28" s="82">
        <v>1989</v>
      </c>
      <c r="B28" s="83">
        <v>1107</v>
      </c>
      <c r="C28" s="85">
        <v>89</v>
      </c>
      <c r="D28" s="86">
        <v>1</v>
      </c>
      <c r="E28" s="83">
        <v>317</v>
      </c>
      <c r="F28" s="85">
        <v>1514</v>
      </c>
    </row>
    <row r="29" spans="1:6" ht="11.25" customHeight="1">
      <c r="A29" s="82">
        <v>1990</v>
      </c>
      <c r="B29" s="83">
        <v>1221</v>
      </c>
      <c r="C29" s="85">
        <v>68</v>
      </c>
      <c r="D29" s="86">
        <v>5</v>
      </c>
      <c r="E29" s="83">
        <v>428</v>
      </c>
      <c r="F29" s="85">
        <v>1722</v>
      </c>
    </row>
    <row r="30" spans="1:6" ht="11.25" customHeight="1">
      <c r="A30" s="82">
        <v>1991</v>
      </c>
      <c r="B30" s="83">
        <v>1292</v>
      </c>
      <c r="C30" s="85">
        <v>101</v>
      </c>
      <c r="D30" s="86">
        <v>3</v>
      </c>
      <c r="E30" s="83">
        <v>331</v>
      </c>
      <c r="F30" s="85">
        <v>1726</v>
      </c>
    </row>
    <row r="31" spans="1:6" ht="11.25" customHeight="1">
      <c r="A31" s="82">
        <v>1992</v>
      </c>
      <c r="B31" s="83">
        <v>1187</v>
      </c>
      <c r="C31" s="85">
        <v>139</v>
      </c>
      <c r="D31" s="86">
        <v>2</v>
      </c>
      <c r="E31" s="83">
        <v>393</v>
      </c>
      <c r="F31" s="85">
        <v>1722</v>
      </c>
    </row>
    <row r="32" spans="1:6" ht="11.25" customHeight="1">
      <c r="A32" s="82">
        <v>1993</v>
      </c>
      <c r="B32" s="83">
        <v>821</v>
      </c>
      <c r="C32" s="85">
        <v>141</v>
      </c>
      <c r="D32" s="86">
        <v>6</v>
      </c>
      <c r="E32" s="83">
        <v>362</v>
      </c>
      <c r="F32" s="85">
        <v>1330</v>
      </c>
    </row>
    <row r="33" spans="1:6" ht="11.25" customHeight="1">
      <c r="A33" s="82">
        <v>1994</v>
      </c>
      <c r="B33" s="83">
        <v>814</v>
      </c>
      <c r="C33" s="85">
        <v>157</v>
      </c>
      <c r="D33" s="86">
        <v>5</v>
      </c>
      <c r="E33" s="83">
        <v>333</v>
      </c>
      <c r="F33" s="85">
        <v>1308</v>
      </c>
    </row>
    <row r="34" spans="1:6" ht="11.25" customHeight="1">
      <c r="A34" s="82">
        <v>1995</v>
      </c>
      <c r="B34" s="83">
        <v>970</v>
      </c>
      <c r="C34" s="85">
        <v>175</v>
      </c>
      <c r="D34" s="86">
        <v>2</v>
      </c>
      <c r="E34" s="83">
        <v>531</v>
      </c>
      <c r="F34" s="85">
        <v>1678</v>
      </c>
    </row>
    <row r="35" spans="1:6" ht="11.25" customHeight="1">
      <c r="A35" s="82">
        <v>1996</v>
      </c>
      <c r="B35" s="83">
        <v>1225</v>
      </c>
      <c r="C35" s="85">
        <v>140</v>
      </c>
      <c r="D35" s="86">
        <v>2</v>
      </c>
      <c r="E35" s="83">
        <v>593</v>
      </c>
      <c r="F35" s="85">
        <v>1960</v>
      </c>
    </row>
    <row r="36" spans="1:6" ht="11.25" customHeight="1">
      <c r="A36" s="82">
        <v>1997</v>
      </c>
      <c r="B36" s="83">
        <v>960</v>
      </c>
      <c r="C36" s="85">
        <v>126</v>
      </c>
      <c r="D36" s="86">
        <v>31</v>
      </c>
      <c r="E36" s="83">
        <v>408</v>
      </c>
      <c r="F36" s="85">
        <v>1526</v>
      </c>
    </row>
    <row r="37" spans="1:6" ht="11.25" customHeight="1">
      <c r="A37" s="82">
        <v>1998</v>
      </c>
      <c r="B37" s="83">
        <v>507</v>
      </c>
      <c r="C37" s="85">
        <v>115</v>
      </c>
      <c r="D37" s="86">
        <v>17</v>
      </c>
      <c r="E37" s="83">
        <v>444</v>
      </c>
      <c r="F37" s="85">
        <v>1083</v>
      </c>
    </row>
    <row r="38" spans="1:6" ht="11.25" customHeight="1">
      <c r="A38" s="82">
        <v>1999</v>
      </c>
      <c r="B38" s="83">
        <v>763</v>
      </c>
      <c r="C38" s="85">
        <v>110</v>
      </c>
      <c r="D38" s="86">
        <v>22</v>
      </c>
      <c r="E38" s="83">
        <v>411</v>
      </c>
      <c r="F38" s="85">
        <v>1305</v>
      </c>
    </row>
    <row r="39" spans="1:6" ht="11.25" customHeight="1">
      <c r="A39" s="82">
        <v>2000</v>
      </c>
      <c r="B39" s="83">
        <v>1037</v>
      </c>
      <c r="C39" s="85">
        <v>107</v>
      </c>
      <c r="D39" s="86">
        <v>10</v>
      </c>
      <c r="E39" s="83">
        <v>377</v>
      </c>
      <c r="F39" s="85">
        <v>1531</v>
      </c>
    </row>
    <row r="40" spans="1:6" ht="11.25" customHeight="1">
      <c r="A40" s="82">
        <v>2001</v>
      </c>
      <c r="B40" s="83">
        <v>1228</v>
      </c>
      <c r="C40" s="85">
        <v>161</v>
      </c>
      <c r="D40" s="86">
        <v>18</v>
      </c>
      <c r="E40" s="83">
        <v>347</v>
      </c>
      <c r="F40" s="85">
        <v>1754</v>
      </c>
    </row>
    <row r="41" spans="1:6" ht="11.25" customHeight="1">
      <c r="A41" s="82">
        <v>2002</v>
      </c>
      <c r="B41" s="83">
        <v>1346</v>
      </c>
      <c r="C41" s="85">
        <v>179</v>
      </c>
      <c r="D41" s="86">
        <v>12</v>
      </c>
      <c r="E41" s="83">
        <v>362</v>
      </c>
      <c r="F41" s="85">
        <v>1899</v>
      </c>
    </row>
    <row r="42" spans="1:6" ht="11.25" customHeight="1">
      <c r="A42" s="82">
        <v>2003</v>
      </c>
      <c r="B42" s="83">
        <v>1210</v>
      </c>
      <c r="C42" s="85">
        <v>151</v>
      </c>
      <c r="D42" s="86">
        <v>16</v>
      </c>
      <c r="E42" s="83">
        <v>406</v>
      </c>
      <c r="F42" s="85">
        <v>1783</v>
      </c>
    </row>
    <row r="43" spans="1:6" ht="11.25" customHeight="1">
      <c r="A43" s="82">
        <v>2004</v>
      </c>
      <c r="B43" s="83">
        <v>887</v>
      </c>
      <c r="C43" s="85">
        <v>110</v>
      </c>
      <c r="D43" s="86">
        <v>37</v>
      </c>
      <c r="E43" s="83">
        <v>197</v>
      </c>
      <c r="F43" s="85">
        <v>1231</v>
      </c>
    </row>
    <row r="44" spans="1:6" ht="11.25" customHeight="1">
      <c r="A44" s="82">
        <v>2005</v>
      </c>
      <c r="B44" s="83">
        <v>1007</v>
      </c>
      <c r="C44" s="85">
        <v>199</v>
      </c>
      <c r="D44" s="86">
        <v>15</v>
      </c>
      <c r="E44" s="83">
        <v>303</v>
      </c>
      <c r="F44" s="85">
        <v>1524</v>
      </c>
    </row>
    <row r="45" spans="1:6" ht="11.25" customHeight="1">
      <c r="A45" s="82">
        <v>2006</v>
      </c>
      <c r="B45" s="83">
        <v>1076</v>
      </c>
      <c r="C45" s="85">
        <v>191</v>
      </c>
      <c r="D45" s="86">
        <v>22</v>
      </c>
      <c r="E45" s="83">
        <v>385</v>
      </c>
      <c r="F45" s="85">
        <v>1674</v>
      </c>
    </row>
    <row r="46" spans="1:6" ht="11.25" customHeight="1">
      <c r="A46" s="82">
        <v>2007</v>
      </c>
      <c r="B46" s="83">
        <v>990</v>
      </c>
      <c r="C46" s="85">
        <v>164</v>
      </c>
      <c r="D46" s="86">
        <v>29</v>
      </c>
      <c r="E46" s="83">
        <v>326</v>
      </c>
      <c r="F46" s="85">
        <v>1509</v>
      </c>
    </row>
    <row r="47" spans="1:6" ht="11.25" customHeight="1">
      <c r="A47" s="82">
        <v>2008</v>
      </c>
      <c r="B47" s="83">
        <v>1074</v>
      </c>
      <c r="C47" s="85">
        <v>243</v>
      </c>
      <c r="D47" s="86">
        <v>24</v>
      </c>
      <c r="E47" s="83">
        <v>318</v>
      </c>
      <c r="F47" s="85">
        <v>1659</v>
      </c>
    </row>
    <row r="48" spans="1:6" ht="11.25" customHeight="1">
      <c r="A48" s="82">
        <v>2009</v>
      </c>
      <c r="B48" s="83">
        <v>1037</v>
      </c>
      <c r="C48" s="85">
        <v>236</v>
      </c>
      <c r="D48" s="86">
        <v>11</v>
      </c>
      <c r="E48" s="83">
        <v>270</v>
      </c>
      <c r="F48" s="85">
        <v>1554</v>
      </c>
    </row>
    <row r="49" spans="1:6" ht="11.25" customHeight="1">
      <c r="A49" s="82">
        <v>2010</v>
      </c>
      <c r="B49" s="88">
        <v>833</v>
      </c>
      <c r="C49" s="85">
        <v>172</v>
      </c>
      <c r="D49" s="86">
        <v>32</v>
      </c>
      <c r="E49" s="88">
        <v>276</v>
      </c>
      <c r="F49" s="85">
        <v>1313</v>
      </c>
    </row>
    <row r="50" spans="1:6" ht="11.25" customHeight="1">
      <c r="A50" s="82">
        <v>2011</v>
      </c>
      <c r="B50" s="88">
        <v>710</v>
      </c>
      <c r="C50" s="85">
        <v>174</v>
      </c>
      <c r="D50" s="86">
        <v>22</v>
      </c>
      <c r="E50" s="88">
        <v>220</v>
      </c>
      <c r="F50" s="85">
        <v>1126</v>
      </c>
    </row>
    <row r="51" spans="1:6" ht="11.25" customHeight="1">
      <c r="A51" s="82">
        <v>2012</v>
      </c>
      <c r="B51" s="88">
        <v>630</v>
      </c>
      <c r="C51" s="85">
        <v>96</v>
      </c>
      <c r="D51" s="86">
        <v>28</v>
      </c>
      <c r="E51" s="88">
        <v>187</v>
      </c>
      <c r="F51" s="85">
        <v>940</v>
      </c>
    </row>
    <row r="52" spans="1:6" ht="11.25" customHeight="1">
      <c r="A52" s="82">
        <v>2013</v>
      </c>
      <c r="B52" s="89">
        <v>551</v>
      </c>
      <c r="C52" s="85">
        <v>68</v>
      </c>
      <c r="D52" s="86">
        <v>37</v>
      </c>
      <c r="E52" s="89">
        <v>169</v>
      </c>
      <c r="F52" s="85">
        <v>826</v>
      </c>
    </row>
    <row r="53" spans="1:6" ht="11.25" customHeight="1">
      <c r="A53" s="82">
        <v>2014</v>
      </c>
      <c r="B53" s="89">
        <v>502</v>
      </c>
      <c r="C53" s="85">
        <v>23</v>
      </c>
      <c r="D53" s="86">
        <v>40</v>
      </c>
      <c r="E53" s="89">
        <v>143</v>
      </c>
      <c r="F53" s="85">
        <v>708</v>
      </c>
    </row>
    <row r="54" spans="1:6" ht="12.75" customHeight="1">
      <c r="A54" s="82">
        <v>2015</v>
      </c>
      <c r="B54" s="89">
        <v>502</v>
      </c>
      <c r="C54" s="85">
        <v>8</v>
      </c>
      <c r="D54" s="86">
        <v>34</v>
      </c>
      <c r="E54" s="89">
        <v>137</v>
      </c>
      <c r="F54" s="85">
        <v>681</v>
      </c>
    </row>
    <row r="55" spans="1:6" ht="12.75" customHeight="1">
      <c r="A55" s="82">
        <v>2016</v>
      </c>
      <c r="B55" s="89">
        <v>369</v>
      </c>
      <c r="C55" s="85">
        <v>3</v>
      </c>
      <c r="D55" s="86">
        <v>34</v>
      </c>
      <c r="E55" s="89">
        <v>128</v>
      </c>
      <c r="F55" s="85">
        <v>534</v>
      </c>
    </row>
    <row r="56" spans="1:6" ht="12.75" customHeight="1">
      <c r="A56" s="82">
        <v>2017</v>
      </c>
      <c r="B56" s="89">
        <v>356</v>
      </c>
      <c r="C56" s="85">
        <v>2</v>
      </c>
      <c r="D56" s="86">
        <v>30</v>
      </c>
      <c r="E56" s="89">
        <v>97</v>
      </c>
      <c r="F56" s="85">
        <v>485</v>
      </c>
    </row>
    <row r="57" spans="1:6" ht="12.75" customHeight="1">
      <c r="A57" s="82">
        <v>2018</v>
      </c>
      <c r="B57" s="89">
        <v>377</v>
      </c>
      <c r="C57" s="85">
        <v>2</v>
      </c>
      <c r="D57" s="86">
        <v>32</v>
      </c>
      <c r="E57" s="89">
        <v>142</v>
      </c>
      <c r="F57" s="85">
        <v>553</v>
      </c>
    </row>
    <row r="58" spans="1:6" ht="12.75" customHeight="1">
      <c r="A58" s="82">
        <v>2019</v>
      </c>
      <c r="B58" s="89">
        <v>357</v>
      </c>
      <c r="C58" s="85">
        <v>1</v>
      </c>
      <c r="D58" s="86">
        <v>38</v>
      </c>
      <c r="E58" s="89">
        <v>137</v>
      </c>
      <c r="F58" s="85">
        <v>532</v>
      </c>
    </row>
    <row r="59" spans="1:6" ht="12.75" customHeight="1">
      <c r="A59" s="82">
        <v>2020</v>
      </c>
      <c r="B59" s="89">
        <v>313</v>
      </c>
      <c r="C59" s="85">
        <v>1</v>
      </c>
      <c r="D59" s="86">
        <v>27</v>
      </c>
      <c r="E59" s="89">
        <v>93</v>
      </c>
      <c r="F59" s="85">
        <v>435</v>
      </c>
    </row>
    <row r="60" spans="1:6" ht="13.5" customHeight="1">
      <c r="A60" s="90" t="s">
        <v>171</v>
      </c>
      <c r="B60" s="91">
        <v>179</v>
      </c>
      <c r="C60" s="92">
        <v>0</v>
      </c>
      <c r="D60" s="93">
        <v>41</v>
      </c>
      <c r="E60" s="91">
        <v>86</v>
      </c>
      <c r="F60" s="92">
        <v>306</v>
      </c>
    </row>
    <row r="61" spans="1:6" ht="17.25" customHeight="1">
      <c r="A61" s="59" t="s">
        <v>172</v>
      </c>
      <c r="F61" s="87"/>
    </row>
  </sheetData>
  <mergeCells count="4">
    <mergeCell ref="A3:A4"/>
    <mergeCell ref="B3:C3"/>
    <mergeCell ref="E3:E4"/>
    <mergeCell ref="F3:F4"/>
  </mergeCells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C013-A014-4CC8-96D4-D5DD9B799F72}">
  <dimension ref="A1:H62"/>
  <sheetViews>
    <sheetView topLeftCell="A3" zoomScale="70" zoomScaleNormal="70" workbookViewId="0">
      <selection activeCell="I35" sqref="I35"/>
    </sheetView>
  </sheetViews>
  <sheetFormatPr defaultRowHeight="15"/>
  <cols>
    <col min="1" max="1" width="8.5" style="46" customWidth="1"/>
    <col min="2" max="2" width="15.375" style="2" customWidth="1"/>
    <col min="3" max="3" width="17.875" style="2" customWidth="1"/>
    <col min="4" max="4" width="15.5" style="2" customWidth="1"/>
    <col min="5" max="5" width="16.5" style="2" customWidth="1"/>
    <col min="6" max="6" width="21" style="2" customWidth="1"/>
    <col min="7" max="7" width="14.375" style="2" customWidth="1"/>
    <col min="8" max="8" width="14.75" style="2" customWidth="1"/>
    <col min="9" max="16384" width="9" style="2"/>
  </cols>
  <sheetData>
    <row r="1" spans="1:8" ht="18" customHeight="1">
      <c r="A1" s="94" t="s">
        <v>194</v>
      </c>
      <c r="B1" s="1"/>
      <c r="C1" s="1"/>
      <c r="D1" s="1"/>
      <c r="E1" s="1"/>
      <c r="F1" s="1"/>
      <c r="G1" s="1"/>
    </row>
    <row r="2" spans="1:8" ht="21.75" customHeight="1">
      <c r="A2" s="42" t="s">
        <v>10</v>
      </c>
      <c r="B2" s="43" t="s">
        <v>22</v>
      </c>
      <c r="C2" s="43" t="s">
        <v>23</v>
      </c>
      <c r="D2" s="43" t="s">
        <v>24</v>
      </c>
      <c r="E2" s="43" t="s">
        <v>25</v>
      </c>
      <c r="F2" s="42" t="s">
        <v>26</v>
      </c>
      <c r="G2" s="44" t="s">
        <v>27</v>
      </c>
      <c r="H2" s="45"/>
    </row>
    <row r="3" spans="1:8" ht="14.25" customHeight="1">
      <c r="A3" s="46">
        <v>1966</v>
      </c>
      <c r="B3" s="151">
        <v>2829</v>
      </c>
      <c r="C3" s="150">
        <v>57426</v>
      </c>
      <c r="D3" s="150">
        <v>1125</v>
      </c>
      <c r="E3" s="150">
        <v>55430</v>
      </c>
      <c r="F3" s="47">
        <v>49.3</v>
      </c>
      <c r="G3" s="46"/>
    </row>
    <row r="4" spans="1:8" ht="14.25" customHeight="1">
      <c r="A4" s="46">
        <v>1967</v>
      </c>
      <c r="B4" s="151">
        <v>2169</v>
      </c>
      <c r="C4" s="150">
        <v>58805</v>
      </c>
      <c r="D4" s="150">
        <v>1059</v>
      </c>
      <c r="E4" s="150">
        <v>39069</v>
      </c>
      <c r="F4" s="47">
        <v>36.9</v>
      </c>
      <c r="G4" s="46"/>
    </row>
    <row r="5" spans="1:8" ht="14.25" customHeight="1">
      <c r="A5" s="46">
        <v>1968</v>
      </c>
      <c r="B5" s="151">
        <v>2069</v>
      </c>
      <c r="C5" s="150">
        <v>60832</v>
      </c>
      <c r="D5" s="150">
        <v>1070</v>
      </c>
      <c r="E5" s="150">
        <v>36385</v>
      </c>
      <c r="F5" s="47">
        <v>34</v>
      </c>
      <c r="G5" s="46"/>
    </row>
    <row r="6" spans="1:8" ht="14.25" customHeight="1">
      <c r="A6" s="46">
        <v>1969</v>
      </c>
      <c r="B6" s="151">
        <v>2247</v>
      </c>
      <c r="C6" s="150">
        <v>61894</v>
      </c>
      <c r="D6" s="150">
        <v>1066</v>
      </c>
      <c r="E6" s="150">
        <v>38703</v>
      </c>
      <c r="F6" s="47">
        <v>36.299999999999997</v>
      </c>
      <c r="G6" s="46"/>
    </row>
    <row r="7" spans="1:8" ht="14.25" customHeight="1">
      <c r="A7" s="46">
        <v>1970</v>
      </c>
      <c r="B7" s="151">
        <v>2384</v>
      </c>
      <c r="C7" s="150">
        <v>57777</v>
      </c>
      <c r="D7" s="150">
        <v>1018</v>
      </c>
      <c r="E7" s="150">
        <v>42010</v>
      </c>
      <c r="F7" s="47">
        <v>41.3</v>
      </c>
      <c r="G7" s="46"/>
    </row>
    <row r="8" spans="1:8" ht="14.25" customHeight="1">
      <c r="A8" s="46">
        <v>1971</v>
      </c>
      <c r="B8" s="151">
        <v>2954</v>
      </c>
      <c r="C8" s="150">
        <v>62139</v>
      </c>
      <c r="D8" s="150">
        <v>1008</v>
      </c>
      <c r="E8" s="150">
        <v>47926</v>
      </c>
      <c r="F8" s="47">
        <v>47.5</v>
      </c>
      <c r="G8" s="46"/>
    </row>
    <row r="9" spans="1:8" ht="14.25" customHeight="1">
      <c r="A9" s="46">
        <v>1972</v>
      </c>
      <c r="B9" s="151">
        <v>3371</v>
      </c>
      <c r="C9" s="150">
        <v>64747</v>
      </c>
      <c r="D9" s="150">
        <v>1020</v>
      </c>
      <c r="E9" s="150">
        <v>53104</v>
      </c>
      <c r="F9" s="47">
        <v>52.1</v>
      </c>
      <c r="G9" s="46"/>
    </row>
    <row r="10" spans="1:8" ht="14.25" customHeight="1">
      <c r="A10" s="46">
        <v>1973</v>
      </c>
      <c r="B10" s="151">
        <v>3322</v>
      </c>
      <c r="C10" s="150">
        <v>69069</v>
      </c>
      <c r="D10" s="150">
        <v>939</v>
      </c>
      <c r="E10" s="150">
        <v>45160</v>
      </c>
      <c r="F10" s="47">
        <v>48.1</v>
      </c>
      <c r="G10" s="46"/>
    </row>
    <row r="11" spans="1:8" ht="14.25" customHeight="1">
      <c r="A11" s="46">
        <v>1974</v>
      </c>
      <c r="B11" s="151">
        <v>2711</v>
      </c>
      <c r="C11" s="150">
        <v>64965</v>
      </c>
      <c r="D11" s="150">
        <v>993</v>
      </c>
      <c r="E11" s="150">
        <v>41436</v>
      </c>
      <c r="F11" s="47">
        <v>41.7</v>
      </c>
      <c r="G11" s="46"/>
    </row>
    <row r="12" spans="1:8" ht="14.25" customHeight="1">
      <c r="A12" s="46">
        <v>1975</v>
      </c>
      <c r="B12" s="151">
        <v>2920</v>
      </c>
      <c r="C12" s="150">
        <v>65281</v>
      </c>
      <c r="D12" s="150">
        <v>992</v>
      </c>
      <c r="E12" s="150">
        <v>44372</v>
      </c>
      <c r="F12" s="47">
        <v>44.7</v>
      </c>
      <c r="G12" s="46"/>
    </row>
    <row r="13" spans="1:8" ht="14.25" customHeight="1">
      <c r="A13" s="46">
        <v>1976</v>
      </c>
      <c r="B13" s="151">
        <v>3436</v>
      </c>
      <c r="C13" s="150">
        <v>68379</v>
      </c>
      <c r="D13" s="150">
        <v>968</v>
      </c>
      <c r="E13" s="150">
        <v>48643</v>
      </c>
      <c r="F13" s="47">
        <v>50.3</v>
      </c>
      <c r="G13" s="46"/>
    </row>
    <row r="14" spans="1:8" ht="14.25" customHeight="1">
      <c r="A14" s="46">
        <v>1977</v>
      </c>
      <c r="B14" s="151">
        <v>3384</v>
      </c>
      <c r="C14" s="150">
        <v>69365</v>
      </c>
      <c r="D14" s="150">
        <v>852</v>
      </c>
      <c r="E14" s="150">
        <v>41571</v>
      </c>
      <c r="F14" s="47">
        <v>48.8</v>
      </c>
      <c r="G14" s="46"/>
    </row>
    <row r="15" spans="1:8" ht="14.25" customHeight="1">
      <c r="A15" s="46">
        <v>1978</v>
      </c>
      <c r="B15" s="151">
        <v>4906</v>
      </c>
      <c r="C15" s="150">
        <v>79841</v>
      </c>
      <c r="D15" s="150">
        <v>872</v>
      </c>
      <c r="E15" s="150">
        <v>53580</v>
      </c>
      <c r="F15" s="47">
        <v>61.4</v>
      </c>
      <c r="G15" s="46"/>
    </row>
    <row r="16" spans="1:8" ht="14.25" customHeight="1">
      <c r="A16" s="46">
        <v>1979</v>
      </c>
      <c r="B16" s="151">
        <v>3848</v>
      </c>
      <c r="C16" s="150">
        <v>76802</v>
      </c>
      <c r="D16" s="150">
        <v>798</v>
      </c>
      <c r="E16" s="150">
        <v>39979</v>
      </c>
      <c r="F16" s="47">
        <v>50.1</v>
      </c>
      <c r="G16" s="46"/>
    </row>
    <row r="17" spans="1:8" ht="14.25" customHeight="1">
      <c r="A17" s="46">
        <v>1980</v>
      </c>
      <c r="B17" s="151">
        <v>4048</v>
      </c>
      <c r="C17" s="150">
        <v>73844</v>
      </c>
      <c r="D17" s="150">
        <v>814</v>
      </c>
      <c r="E17" s="150">
        <v>44621</v>
      </c>
      <c r="F17" s="47">
        <v>54.8</v>
      </c>
      <c r="G17" s="46"/>
    </row>
    <row r="18" spans="1:8" ht="14.25" customHeight="1">
      <c r="A18" s="46">
        <v>1981</v>
      </c>
      <c r="B18" s="151">
        <v>3604</v>
      </c>
      <c r="C18" s="150">
        <v>76131</v>
      </c>
      <c r="D18" s="150">
        <v>837</v>
      </c>
      <c r="E18" s="150">
        <v>39622</v>
      </c>
      <c r="F18" s="47">
        <v>47.3</v>
      </c>
      <c r="G18" s="46"/>
    </row>
    <row r="19" spans="1:8" ht="14.25" customHeight="1">
      <c r="A19" s="46">
        <v>1982</v>
      </c>
      <c r="B19" s="151">
        <v>3721</v>
      </c>
      <c r="C19" s="150">
        <v>79403</v>
      </c>
      <c r="D19" s="150">
        <v>791</v>
      </c>
      <c r="E19" s="150">
        <v>37071</v>
      </c>
      <c r="F19" s="47">
        <v>46.9</v>
      </c>
      <c r="G19" s="46"/>
    </row>
    <row r="20" spans="1:8" ht="14.25" customHeight="1">
      <c r="A20" s="46">
        <v>1983</v>
      </c>
      <c r="B20" s="151">
        <v>2588</v>
      </c>
      <c r="C20" s="150">
        <v>76750</v>
      </c>
      <c r="D20" s="150">
        <v>802</v>
      </c>
      <c r="E20" s="150">
        <v>27040</v>
      </c>
      <c r="F20" s="47">
        <v>33.700000000000003</v>
      </c>
      <c r="G20" s="46"/>
    </row>
    <row r="21" spans="1:8" ht="14.25" customHeight="1">
      <c r="A21" s="46">
        <v>1984</v>
      </c>
      <c r="B21" s="151">
        <v>2490</v>
      </c>
      <c r="C21" s="150">
        <v>77753</v>
      </c>
      <c r="D21" s="150">
        <v>835</v>
      </c>
      <c r="E21" s="150">
        <v>26745</v>
      </c>
      <c r="F21" s="47">
        <v>32</v>
      </c>
      <c r="G21" s="46"/>
    </row>
    <row r="22" spans="1:8" ht="14.25" customHeight="1">
      <c r="A22" s="46">
        <v>1985</v>
      </c>
      <c r="B22" s="151">
        <v>1764</v>
      </c>
      <c r="C22" s="150">
        <v>68513</v>
      </c>
      <c r="D22" s="150">
        <v>786</v>
      </c>
      <c r="E22" s="150">
        <v>20236</v>
      </c>
      <c r="F22" s="47">
        <v>25.7</v>
      </c>
      <c r="G22" s="46"/>
    </row>
    <row r="23" spans="1:8" ht="14.25" customHeight="1">
      <c r="A23" s="46">
        <v>1986</v>
      </c>
      <c r="B23" s="151">
        <v>1887</v>
      </c>
      <c r="C23" s="150">
        <v>66718</v>
      </c>
      <c r="D23" s="150">
        <v>844</v>
      </c>
      <c r="E23" s="150">
        <v>23867</v>
      </c>
      <c r="F23" s="47">
        <v>28.3</v>
      </c>
      <c r="G23" s="46"/>
    </row>
    <row r="24" spans="1:8" ht="14.25" customHeight="1">
      <c r="A24" s="46">
        <v>1987</v>
      </c>
      <c r="B24" s="151">
        <v>1364</v>
      </c>
      <c r="C24" s="150">
        <v>61896</v>
      </c>
      <c r="D24" s="150">
        <v>787</v>
      </c>
      <c r="E24" s="150">
        <v>17348</v>
      </c>
      <c r="F24" s="47">
        <v>22</v>
      </c>
      <c r="G24" s="46"/>
    </row>
    <row r="25" spans="1:8" ht="14.25" customHeight="1">
      <c r="A25" s="46">
        <v>1988</v>
      </c>
      <c r="B25" s="151">
        <v>1017</v>
      </c>
      <c r="C25" s="150">
        <v>62958</v>
      </c>
      <c r="D25" s="150">
        <v>827</v>
      </c>
      <c r="E25" s="150">
        <v>13360</v>
      </c>
      <c r="F25" s="47">
        <v>16.2</v>
      </c>
      <c r="G25" s="46"/>
    </row>
    <row r="26" spans="1:8" ht="14.25" customHeight="1">
      <c r="A26" s="46">
        <v>1989</v>
      </c>
      <c r="B26" s="151">
        <v>1107</v>
      </c>
      <c r="C26" s="150">
        <v>60453</v>
      </c>
      <c r="D26" s="150">
        <v>819</v>
      </c>
      <c r="E26" s="150">
        <v>14997</v>
      </c>
      <c r="F26" s="47">
        <v>18.3</v>
      </c>
      <c r="G26" s="46"/>
    </row>
    <row r="27" spans="1:8" ht="14.25" customHeight="1">
      <c r="A27" s="46">
        <v>1990</v>
      </c>
      <c r="B27" s="151">
        <v>1221</v>
      </c>
      <c r="C27" s="150">
        <v>61599</v>
      </c>
      <c r="D27" s="150">
        <v>806</v>
      </c>
      <c r="E27" s="150">
        <v>15973</v>
      </c>
      <c r="F27" s="47">
        <v>19.8</v>
      </c>
      <c r="G27" s="46"/>
    </row>
    <row r="28" spans="1:8" ht="14.25" customHeight="1">
      <c r="A28" s="46">
        <v>1991</v>
      </c>
      <c r="B28" s="151">
        <v>1292</v>
      </c>
      <c r="C28" s="150">
        <v>56045</v>
      </c>
      <c r="D28" s="150">
        <v>784</v>
      </c>
      <c r="E28" s="150">
        <v>18069</v>
      </c>
      <c r="F28" s="47">
        <v>23</v>
      </c>
      <c r="G28" s="46"/>
    </row>
    <row r="29" spans="1:8" ht="14.25" customHeight="1">
      <c r="A29" s="46">
        <v>1992</v>
      </c>
      <c r="B29" s="151">
        <v>1187</v>
      </c>
      <c r="C29" s="150">
        <v>50931</v>
      </c>
      <c r="D29" s="150">
        <v>696</v>
      </c>
      <c r="E29" s="150">
        <v>16227</v>
      </c>
      <c r="F29" s="47">
        <v>23.3</v>
      </c>
      <c r="G29" s="46"/>
    </row>
    <row r="30" spans="1:8" ht="14.25" customHeight="1">
      <c r="A30" s="46">
        <v>1993</v>
      </c>
      <c r="B30" s="151">
        <v>821</v>
      </c>
      <c r="C30" s="150">
        <v>44873</v>
      </c>
      <c r="D30" s="150">
        <v>682</v>
      </c>
      <c r="E30" s="150">
        <v>12480</v>
      </c>
      <c r="F30" s="47">
        <v>18.3</v>
      </c>
      <c r="G30" s="48">
        <v>18.100000000000001</v>
      </c>
      <c r="H30" s="49"/>
    </row>
    <row r="31" spans="1:8" ht="14.25" customHeight="1">
      <c r="A31" s="46">
        <v>1994</v>
      </c>
      <c r="B31" s="151">
        <v>814</v>
      </c>
      <c r="C31" s="150">
        <v>39444</v>
      </c>
      <c r="D31" s="150">
        <v>589</v>
      </c>
      <c r="E31" s="150">
        <v>12151</v>
      </c>
      <c r="F31" s="47">
        <v>20.6</v>
      </c>
      <c r="G31" s="48">
        <v>23.3</v>
      </c>
      <c r="H31" s="49"/>
    </row>
    <row r="32" spans="1:8" ht="14.25" customHeight="1">
      <c r="A32" s="46">
        <v>1995</v>
      </c>
      <c r="B32" s="151">
        <v>970</v>
      </c>
      <c r="C32" s="150">
        <v>37970</v>
      </c>
      <c r="D32" s="150">
        <v>600</v>
      </c>
      <c r="E32" s="150">
        <v>15322</v>
      </c>
      <c r="F32" s="47">
        <v>25.5</v>
      </c>
      <c r="G32" s="48">
        <v>27.8</v>
      </c>
      <c r="H32" s="49"/>
    </row>
    <row r="33" spans="1:8" ht="14.25" customHeight="1">
      <c r="A33" s="46">
        <v>1996</v>
      </c>
      <c r="B33" s="151">
        <v>1225</v>
      </c>
      <c r="C33" s="150">
        <v>37928</v>
      </c>
      <c r="D33" s="150">
        <v>558</v>
      </c>
      <c r="E33" s="150">
        <v>18019</v>
      </c>
      <c r="F33" s="47">
        <v>32.299999999999997</v>
      </c>
      <c r="G33" s="48">
        <v>34.5</v>
      </c>
      <c r="H33" s="49"/>
    </row>
    <row r="34" spans="1:8" ht="14.25" customHeight="1">
      <c r="A34" s="46">
        <v>1997</v>
      </c>
      <c r="B34" s="151">
        <v>960</v>
      </c>
      <c r="C34" s="150">
        <v>32672</v>
      </c>
      <c r="D34" s="150">
        <v>558</v>
      </c>
      <c r="E34" s="150">
        <v>16402</v>
      </c>
      <c r="F34" s="47">
        <v>29.4</v>
      </c>
      <c r="G34" s="48">
        <v>28.7</v>
      </c>
      <c r="H34" s="49"/>
    </row>
    <row r="35" spans="1:8" ht="14.25" customHeight="1">
      <c r="A35" s="46">
        <v>1998</v>
      </c>
      <c r="B35" s="151">
        <v>507</v>
      </c>
      <c r="C35" s="150">
        <v>33267</v>
      </c>
      <c r="D35" s="150">
        <v>577</v>
      </c>
      <c r="E35" s="150">
        <v>8793</v>
      </c>
      <c r="F35" s="47">
        <v>15.2</v>
      </c>
      <c r="G35" s="48">
        <v>18</v>
      </c>
      <c r="H35" s="51"/>
    </row>
    <row r="36" spans="1:8" ht="14.25" customHeight="1">
      <c r="A36" s="46">
        <v>1999</v>
      </c>
      <c r="B36" s="151">
        <v>763</v>
      </c>
      <c r="C36" s="150">
        <v>27996</v>
      </c>
      <c r="D36" s="150">
        <v>504</v>
      </c>
      <c r="E36" s="150">
        <v>13728</v>
      </c>
      <c r="F36" s="47">
        <v>27.2</v>
      </c>
      <c r="G36" s="48">
        <v>23.9</v>
      </c>
      <c r="H36" s="51"/>
    </row>
    <row r="37" spans="1:8" ht="14.25" customHeight="1">
      <c r="A37" s="46">
        <v>2000</v>
      </c>
      <c r="B37" s="151">
        <v>1037</v>
      </c>
      <c r="C37" s="150">
        <v>33189</v>
      </c>
      <c r="D37" s="150">
        <v>506</v>
      </c>
      <c r="E37" s="150">
        <v>15806</v>
      </c>
      <c r="F37" s="47">
        <v>31.2</v>
      </c>
      <c r="G37" s="48">
        <v>33.799999999999997</v>
      </c>
      <c r="H37" s="49"/>
    </row>
    <row r="38" spans="1:8" ht="14.25" customHeight="1">
      <c r="A38" s="46">
        <v>2001</v>
      </c>
      <c r="B38" s="151">
        <v>1228</v>
      </c>
      <c r="C38" s="150">
        <v>34420</v>
      </c>
      <c r="D38" s="150">
        <v>547</v>
      </c>
      <c r="E38" s="150">
        <v>19510</v>
      </c>
      <c r="F38" s="47">
        <v>35.700000000000003</v>
      </c>
      <c r="G38" s="48">
        <v>37.700000000000003</v>
      </c>
      <c r="H38" s="49"/>
    </row>
    <row r="39" spans="1:8" ht="14.25" customHeight="1">
      <c r="A39" s="46">
        <v>2002</v>
      </c>
      <c r="B39" s="151">
        <v>1346</v>
      </c>
      <c r="C39" s="150">
        <v>32815</v>
      </c>
      <c r="D39" s="150">
        <v>536</v>
      </c>
      <c r="E39" s="150">
        <v>21985</v>
      </c>
      <c r="F39" s="47">
        <v>41</v>
      </c>
      <c r="G39" s="48">
        <v>40.6</v>
      </c>
      <c r="H39" s="49"/>
    </row>
    <row r="40" spans="1:8" ht="14.25" customHeight="1">
      <c r="A40" s="46">
        <v>2003</v>
      </c>
      <c r="B40" s="151">
        <v>1210</v>
      </c>
      <c r="C40" s="150">
        <v>33635</v>
      </c>
      <c r="D40" s="150">
        <v>546</v>
      </c>
      <c r="E40" s="150">
        <v>19640</v>
      </c>
      <c r="F40" s="47">
        <v>36</v>
      </c>
      <c r="G40" s="48">
        <v>41.7</v>
      </c>
      <c r="H40" s="52"/>
    </row>
    <row r="41" spans="1:8" ht="14.25" customHeight="1">
      <c r="A41" s="46">
        <v>2004</v>
      </c>
      <c r="B41" s="151">
        <v>887</v>
      </c>
      <c r="C41" s="150">
        <v>31692</v>
      </c>
      <c r="D41" s="150">
        <v>543</v>
      </c>
      <c r="E41" s="150">
        <v>15194</v>
      </c>
      <c r="F41" s="47">
        <v>28</v>
      </c>
      <c r="G41" s="48">
        <v>36.299999999999997</v>
      </c>
      <c r="H41" s="49"/>
    </row>
    <row r="42" spans="1:8" ht="14.25" customHeight="1">
      <c r="A42" s="46">
        <v>2005</v>
      </c>
      <c r="B42" s="151">
        <v>1007</v>
      </c>
      <c r="C42" s="150">
        <v>31130</v>
      </c>
      <c r="D42" s="150">
        <v>498</v>
      </c>
      <c r="E42" s="150">
        <v>16114</v>
      </c>
      <c r="F42" s="47">
        <v>32.4</v>
      </c>
      <c r="G42" s="48">
        <v>35.6</v>
      </c>
      <c r="H42" s="52"/>
    </row>
    <row r="43" spans="1:8" ht="14.25" customHeight="1">
      <c r="A43" s="46">
        <v>2006</v>
      </c>
      <c r="B43" s="151">
        <v>1076</v>
      </c>
      <c r="C43" s="150">
        <v>28621</v>
      </c>
      <c r="D43" s="150">
        <v>530</v>
      </c>
      <c r="E43" s="150">
        <v>19926</v>
      </c>
      <c r="F43" s="47">
        <v>37.6</v>
      </c>
      <c r="G43" s="48">
        <v>42.4</v>
      </c>
      <c r="H43" s="49"/>
    </row>
    <row r="44" spans="1:8" ht="14.25" customHeight="1">
      <c r="A44" s="46">
        <v>2007</v>
      </c>
      <c r="B44" s="151">
        <v>990</v>
      </c>
      <c r="C44" s="150">
        <v>27949</v>
      </c>
      <c r="D44" s="150">
        <v>522</v>
      </c>
      <c r="E44" s="150">
        <v>18494</v>
      </c>
      <c r="F44" s="47">
        <v>35.4</v>
      </c>
      <c r="G44" s="48">
        <v>43.9</v>
      </c>
      <c r="H44" s="49"/>
    </row>
    <row r="45" spans="1:8" ht="14.25" customHeight="1">
      <c r="A45" s="46">
        <v>2008</v>
      </c>
      <c r="B45" s="151">
        <v>1074</v>
      </c>
      <c r="C45" s="150">
        <v>23852</v>
      </c>
      <c r="D45" s="150">
        <v>524</v>
      </c>
      <c r="E45" s="150">
        <v>23593</v>
      </c>
      <c r="F45" s="47">
        <v>45</v>
      </c>
      <c r="G45" s="48">
        <v>51.5</v>
      </c>
      <c r="H45" s="52"/>
    </row>
    <row r="46" spans="1:8" ht="14.25" customHeight="1">
      <c r="A46" s="46">
        <v>2009</v>
      </c>
      <c r="B46" s="151">
        <v>1037</v>
      </c>
      <c r="C46" s="150">
        <v>22102</v>
      </c>
      <c r="D46" s="150">
        <v>525</v>
      </c>
      <c r="E46" s="150">
        <v>24633</v>
      </c>
      <c r="F46" s="47">
        <v>46.9</v>
      </c>
      <c r="G46" s="48">
        <v>50.6</v>
      </c>
      <c r="H46" s="49"/>
    </row>
    <row r="47" spans="1:8" ht="14.25" customHeight="1">
      <c r="A47" s="46">
        <v>2010</v>
      </c>
      <c r="B47" s="151">
        <v>833</v>
      </c>
      <c r="C47" s="150">
        <v>21102</v>
      </c>
      <c r="D47" s="150">
        <v>511</v>
      </c>
      <c r="E47" s="150">
        <v>20182</v>
      </c>
      <c r="F47" s="47">
        <v>39.5</v>
      </c>
      <c r="G47" s="48">
        <v>42.2</v>
      </c>
      <c r="H47" s="49"/>
    </row>
    <row r="48" spans="1:8" ht="14.25" customHeight="1">
      <c r="A48" s="46">
        <v>2011</v>
      </c>
      <c r="B48" s="151">
        <v>710</v>
      </c>
      <c r="C48" s="150">
        <v>22173</v>
      </c>
      <c r="D48" s="150">
        <v>515</v>
      </c>
      <c r="E48" s="150">
        <v>16488</v>
      </c>
      <c r="F48" s="47">
        <v>32</v>
      </c>
      <c r="G48" s="48">
        <v>34.1</v>
      </c>
      <c r="H48" s="49"/>
    </row>
    <row r="49" spans="1:8" ht="14.25" customHeight="1">
      <c r="A49" s="46">
        <v>2012</v>
      </c>
      <c r="B49" s="151">
        <v>630</v>
      </c>
      <c r="C49" s="150">
        <v>22204</v>
      </c>
      <c r="D49" s="150">
        <v>559</v>
      </c>
      <c r="E49" s="150">
        <v>15849</v>
      </c>
      <c r="F49" s="47">
        <v>28.4</v>
      </c>
      <c r="G49" s="48">
        <v>32.299999999999997</v>
      </c>
      <c r="H49" s="49"/>
    </row>
    <row r="50" spans="1:8" ht="14.25" customHeight="1">
      <c r="A50" s="46">
        <v>2013</v>
      </c>
      <c r="B50" s="151">
        <v>551</v>
      </c>
      <c r="C50" s="150">
        <v>20393</v>
      </c>
      <c r="D50" s="150">
        <v>573</v>
      </c>
      <c r="E50" s="150">
        <v>15490</v>
      </c>
      <c r="F50" s="47">
        <v>27</v>
      </c>
      <c r="G50" s="48">
        <v>26.7</v>
      </c>
      <c r="H50" s="49"/>
    </row>
    <row r="51" spans="1:8" ht="14.25" customHeight="1">
      <c r="A51" s="46">
        <v>2014</v>
      </c>
      <c r="B51" s="151">
        <v>502</v>
      </c>
      <c r="C51" s="150">
        <v>16373</v>
      </c>
      <c r="D51" s="150">
        <v>519</v>
      </c>
      <c r="E51" s="150">
        <v>15921</v>
      </c>
      <c r="F51" s="47">
        <v>30.7</v>
      </c>
      <c r="G51" s="48">
        <v>25.4</v>
      </c>
      <c r="H51" s="49"/>
    </row>
    <row r="52" spans="1:8" ht="14.25" customHeight="1">
      <c r="A52" s="46">
        <v>2015</v>
      </c>
      <c r="B52" s="151">
        <v>502</v>
      </c>
      <c r="C52" s="150">
        <v>15747</v>
      </c>
      <c r="D52" s="150">
        <v>530</v>
      </c>
      <c r="E52" s="150">
        <v>16892</v>
      </c>
      <c r="F52" s="47">
        <v>31.9</v>
      </c>
      <c r="G52" s="48">
        <v>28</v>
      </c>
      <c r="H52" s="49"/>
    </row>
    <row r="53" spans="1:8" ht="14.25" customHeight="1">
      <c r="A53" s="46">
        <v>2016</v>
      </c>
      <c r="B53" s="151">
        <v>369</v>
      </c>
      <c r="C53" s="150">
        <v>14021</v>
      </c>
      <c r="D53" s="150">
        <v>528</v>
      </c>
      <c r="E53" s="150">
        <v>13904</v>
      </c>
      <c r="F53" s="47">
        <v>26.3</v>
      </c>
      <c r="G53" s="48">
        <v>22.8</v>
      </c>
      <c r="H53" s="49"/>
    </row>
    <row r="54" spans="1:8" ht="14.25" customHeight="1">
      <c r="A54" s="46">
        <v>2017</v>
      </c>
      <c r="B54" s="151">
        <v>356</v>
      </c>
      <c r="C54" s="150">
        <v>14316</v>
      </c>
      <c r="D54" s="150">
        <v>530</v>
      </c>
      <c r="E54" s="150">
        <v>13186</v>
      </c>
      <c r="F54" s="47">
        <v>24.9</v>
      </c>
      <c r="G54" s="48">
        <v>22.1</v>
      </c>
      <c r="H54" s="49"/>
    </row>
    <row r="55" spans="1:8" ht="14.25" customHeight="1">
      <c r="A55" s="46">
        <v>2018</v>
      </c>
      <c r="B55" s="151">
        <v>377</v>
      </c>
      <c r="C55" s="150">
        <v>14968</v>
      </c>
      <c r="D55" s="150">
        <v>490</v>
      </c>
      <c r="E55" s="150">
        <v>12325</v>
      </c>
      <c r="F55" s="47">
        <v>25.2</v>
      </c>
      <c r="G55" s="48">
        <v>21.9</v>
      </c>
      <c r="H55" s="49"/>
    </row>
    <row r="56" spans="1:8" ht="14.25" customHeight="1">
      <c r="A56" s="46">
        <v>2019</v>
      </c>
      <c r="B56" s="151">
        <v>357</v>
      </c>
      <c r="C56" s="150">
        <v>14400</v>
      </c>
      <c r="D56" s="150">
        <v>492</v>
      </c>
      <c r="E56" s="150">
        <v>12202</v>
      </c>
      <c r="F56" s="47">
        <v>24.8</v>
      </c>
      <c r="G56" s="48">
        <v>24.7</v>
      </c>
      <c r="H56" s="49"/>
    </row>
    <row r="57" spans="1:8" ht="14.25" customHeight="1">
      <c r="A57" s="46">
        <v>2020</v>
      </c>
      <c r="B57" s="151">
        <v>313</v>
      </c>
      <c r="C57" s="150">
        <v>12878</v>
      </c>
      <c r="D57" s="150">
        <v>492</v>
      </c>
      <c r="E57" s="150">
        <v>10988</v>
      </c>
      <c r="F57" s="47">
        <v>24.3</v>
      </c>
      <c r="G57" s="48">
        <v>27.9</v>
      </c>
      <c r="H57" s="49"/>
    </row>
    <row r="58" spans="1:8" ht="14.25" customHeight="1">
      <c r="A58" s="53" t="s">
        <v>28</v>
      </c>
      <c r="B58" s="152">
        <v>179</v>
      </c>
      <c r="C58" s="153">
        <v>11191</v>
      </c>
      <c r="D58" s="153">
        <v>379</v>
      </c>
      <c r="E58" s="153">
        <v>7707</v>
      </c>
      <c r="F58" s="54">
        <v>20.3</v>
      </c>
      <c r="G58" s="55">
        <v>20.8</v>
      </c>
      <c r="H58" s="49"/>
    </row>
    <row r="59" spans="1:8">
      <c r="A59" s="56" t="s">
        <v>29</v>
      </c>
      <c r="G59" s="57"/>
      <c r="H59" s="50"/>
    </row>
    <row r="60" spans="1:8" ht="18">
      <c r="A60" s="56" t="s">
        <v>30</v>
      </c>
    </row>
    <row r="61" spans="1:8" ht="18">
      <c r="A61" s="56" t="s">
        <v>31</v>
      </c>
    </row>
    <row r="62" spans="1:8" ht="15.75">
      <c r="A62" s="58" t="s">
        <v>32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6218-11E5-46A9-B37F-27F071E371B6}">
  <dimension ref="A1:I33"/>
  <sheetViews>
    <sheetView workbookViewId="0">
      <selection activeCell="J27" sqref="J27"/>
    </sheetView>
  </sheetViews>
  <sheetFormatPr defaultRowHeight="18.75"/>
  <cols>
    <col min="1" max="1" width="9" style="2"/>
    <col min="2" max="2" width="6.5" style="2" customWidth="1"/>
    <col min="3" max="3" width="6.375" style="2" customWidth="1"/>
    <col min="4" max="4" width="7.5" style="2" customWidth="1"/>
    <col min="5" max="5" width="9.375" style="2" customWidth="1"/>
    <col min="6" max="6" width="8.625" style="2" customWidth="1"/>
    <col min="7" max="8" width="8.25" style="2" customWidth="1"/>
    <col min="9" max="9" width="10.125" style="3" customWidth="1"/>
    <col min="10" max="16384" width="9" style="3"/>
  </cols>
  <sheetData>
    <row r="1" spans="1:9" ht="18" customHeight="1">
      <c r="A1" s="76" t="s">
        <v>175</v>
      </c>
      <c r="B1" s="1"/>
      <c r="C1" s="1"/>
      <c r="D1" s="1"/>
      <c r="E1" s="1"/>
      <c r="F1" s="1"/>
      <c r="G1" s="1"/>
      <c r="H1" s="1"/>
    </row>
    <row r="2" spans="1:9" ht="33" customHeight="1">
      <c r="A2" s="4" t="s">
        <v>0</v>
      </c>
      <c r="B2" s="5" t="s">
        <v>1</v>
      </c>
      <c r="C2" s="4" t="s">
        <v>2</v>
      </c>
      <c r="D2" s="4" t="s">
        <v>3</v>
      </c>
      <c r="E2" s="5" t="s">
        <v>4</v>
      </c>
      <c r="F2" s="4" t="s">
        <v>6</v>
      </c>
      <c r="G2" s="5" t="s">
        <v>5</v>
      </c>
      <c r="H2" s="5" t="s">
        <v>8</v>
      </c>
    </row>
    <row r="3" spans="1:9" ht="18" customHeight="1">
      <c r="A3" s="6">
        <v>1993</v>
      </c>
      <c r="B3" s="7">
        <v>1330</v>
      </c>
      <c r="C3" s="7">
        <v>4764</v>
      </c>
      <c r="D3" s="7">
        <v>3521</v>
      </c>
      <c r="E3" s="8">
        <v>42080</v>
      </c>
      <c r="F3" s="10">
        <v>28</v>
      </c>
      <c r="G3" s="9">
        <v>0.92</v>
      </c>
      <c r="H3" s="10">
        <v>33</v>
      </c>
      <c r="I3" s="11"/>
    </row>
    <row r="4" spans="1:9" ht="18" customHeight="1">
      <c r="A4" s="6">
        <v>1994</v>
      </c>
      <c r="B4" s="7">
        <v>1308</v>
      </c>
      <c r="C4" s="7">
        <v>4827</v>
      </c>
      <c r="D4" s="7">
        <v>3280</v>
      </c>
      <c r="E4" s="8">
        <v>48237</v>
      </c>
      <c r="F4" s="10">
        <v>27</v>
      </c>
      <c r="G4" s="9">
        <v>1.03</v>
      </c>
      <c r="H4" s="10">
        <v>30</v>
      </c>
      <c r="I4" s="11"/>
    </row>
    <row r="5" spans="1:9" ht="18" customHeight="1">
      <c r="A5" s="6">
        <v>1995</v>
      </c>
      <c r="B5" s="7">
        <v>1678</v>
      </c>
      <c r="C5" s="7">
        <v>5236</v>
      </c>
      <c r="D5" s="7">
        <v>3328</v>
      </c>
      <c r="E5" s="8">
        <v>36313</v>
      </c>
      <c r="F5" s="10">
        <v>32</v>
      </c>
      <c r="G5" s="9">
        <v>1.4</v>
      </c>
      <c r="H5" s="10">
        <v>22</v>
      </c>
      <c r="I5" s="11"/>
    </row>
    <row r="6" spans="1:9" ht="18" customHeight="1">
      <c r="A6" s="6">
        <v>1996</v>
      </c>
      <c r="B6" s="7">
        <v>1960</v>
      </c>
      <c r="C6" s="7">
        <v>4992</v>
      </c>
      <c r="D6" s="7">
        <v>3374</v>
      </c>
      <c r="E6" s="8">
        <v>41028</v>
      </c>
      <c r="F6" s="10">
        <v>39</v>
      </c>
      <c r="G6" s="9">
        <v>1.73</v>
      </c>
      <c r="H6" s="10">
        <v>18</v>
      </c>
      <c r="I6" s="11"/>
    </row>
    <row r="7" spans="1:9" ht="18" customHeight="1">
      <c r="A7" s="6">
        <v>1997</v>
      </c>
      <c r="B7" s="7">
        <v>1526</v>
      </c>
      <c r="C7" s="7">
        <v>4389</v>
      </c>
      <c r="D7" s="7">
        <v>2856</v>
      </c>
      <c r="E7" s="8">
        <v>35791</v>
      </c>
      <c r="F7" s="10">
        <v>35</v>
      </c>
      <c r="G7" s="9">
        <v>1.54</v>
      </c>
      <c r="H7" s="10">
        <v>20</v>
      </c>
      <c r="I7" s="11"/>
    </row>
    <row r="8" spans="1:9" ht="18" customHeight="1">
      <c r="A8" s="6">
        <v>1998</v>
      </c>
      <c r="B8" s="7">
        <v>1083</v>
      </c>
      <c r="C8" s="7">
        <v>4144</v>
      </c>
      <c r="D8" s="7">
        <v>2676</v>
      </c>
      <c r="E8" s="8">
        <v>39238</v>
      </c>
      <c r="F8" s="10">
        <v>26</v>
      </c>
      <c r="G8" s="9">
        <v>1.03</v>
      </c>
      <c r="H8" s="10">
        <v>30</v>
      </c>
      <c r="I8" s="11"/>
    </row>
    <row r="9" spans="1:9" ht="18" customHeight="1">
      <c r="A9" s="6">
        <v>1999</v>
      </c>
      <c r="B9" s="7">
        <v>1305</v>
      </c>
      <c r="C9" s="7">
        <v>4586</v>
      </c>
      <c r="D9" s="7">
        <v>3033</v>
      </c>
      <c r="E9" s="8">
        <v>48811</v>
      </c>
      <c r="F9" s="10">
        <v>28</v>
      </c>
      <c r="G9" s="9">
        <v>1.1599999999999999</v>
      </c>
      <c r="H9" s="10">
        <v>27</v>
      </c>
      <c r="I9" s="11"/>
    </row>
    <row r="10" spans="1:9" ht="18" customHeight="1">
      <c r="A10" s="6">
        <v>2000</v>
      </c>
      <c r="B10" s="7">
        <v>1531</v>
      </c>
      <c r="C10" s="7">
        <v>5009</v>
      </c>
      <c r="D10" s="7">
        <v>3216</v>
      </c>
      <c r="E10" s="8">
        <v>55503</v>
      </c>
      <c r="F10" s="10">
        <v>31</v>
      </c>
      <c r="G10" s="9">
        <v>1.27</v>
      </c>
      <c r="H10" s="10">
        <v>25</v>
      </c>
      <c r="I10" s="11"/>
    </row>
    <row r="11" spans="1:9" ht="18" customHeight="1">
      <c r="A11" s="6">
        <v>2001</v>
      </c>
      <c r="B11" s="7">
        <v>1754</v>
      </c>
      <c r="C11" s="7">
        <v>5463</v>
      </c>
      <c r="D11" s="7">
        <v>3312</v>
      </c>
      <c r="E11" s="8">
        <v>39993</v>
      </c>
      <c r="F11" s="10">
        <v>32</v>
      </c>
      <c r="G11" s="9">
        <v>1.44</v>
      </c>
      <c r="H11" s="10">
        <v>21</v>
      </c>
      <c r="I11" s="11"/>
    </row>
    <row r="12" spans="1:9" ht="18" customHeight="1">
      <c r="A12" s="6">
        <v>2002</v>
      </c>
      <c r="B12" s="7">
        <v>1899</v>
      </c>
      <c r="C12" s="7">
        <v>5346</v>
      </c>
      <c r="D12" s="7">
        <v>3551</v>
      </c>
      <c r="E12" s="8">
        <v>33714</v>
      </c>
      <c r="F12" s="10">
        <v>36</v>
      </c>
      <c r="G12" s="9">
        <v>1.55</v>
      </c>
      <c r="H12" s="10">
        <v>19</v>
      </c>
      <c r="I12" s="11"/>
    </row>
    <row r="13" spans="1:9" ht="18" customHeight="1">
      <c r="A13" s="6">
        <v>2003</v>
      </c>
      <c r="B13" s="7">
        <v>1783</v>
      </c>
      <c r="C13" s="7">
        <v>4768</v>
      </c>
      <c r="D13" s="7">
        <v>3335</v>
      </c>
      <c r="E13" s="8">
        <v>38216</v>
      </c>
      <c r="F13" s="10">
        <v>37</v>
      </c>
      <c r="G13" s="9">
        <v>1.53</v>
      </c>
      <c r="H13" s="10">
        <v>21</v>
      </c>
      <c r="I13" s="11"/>
    </row>
    <row r="14" spans="1:9" ht="18" customHeight="1">
      <c r="A14" s="6">
        <v>2004</v>
      </c>
      <c r="B14" s="7">
        <v>1231</v>
      </c>
      <c r="C14" s="7">
        <v>4268</v>
      </c>
      <c r="D14" s="7">
        <v>2804</v>
      </c>
      <c r="E14" s="8">
        <v>39734</v>
      </c>
      <c r="F14" s="10">
        <v>29</v>
      </c>
      <c r="G14" s="9">
        <v>1.18</v>
      </c>
      <c r="H14" s="10">
        <v>26</v>
      </c>
      <c r="I14" s="11"/>
    </row>
    <row r="15" spans="1:9" ht="18" customHeight="1">
      <c r="A15" s="6">
        <v>2005</v>
      </c>
      <c r="B15" s="7">
        <v>1524</v>
      </c>
      <c r="C15" s="7">
        <v>4525</v>
      </c>
      <c r="D15" s="7">
        <v>2946</v>
      </c>
      <c r="E15" s="8">
        <v>44611</v>
      </c>
      <c r="F15" s="10">
        <v>34</v>
      </c>
      <c r="G15" s="9">
        <v>1.48</v>
      </c>
      <c r="H15" s="10">
        <v>21</v>
      </c>
      <c r="I15" s="11"/>
    </row>
    <row r="16" spans="1:9" ht="18" customHeight="1">
      <c r="A16" s="6">
        <v>2006</v>
      </c>
      <c r="B16" s="7">
        <v>1674</v>
      </c>
      <c r="C16" s="7">
        <v>4496</v>
      </c>
      <c r="D16" s="7">
        <v>2858</v>
      </c>
      <c r="E16" s="8">
        <v>48313</v>
      </c>
      <c r="F16" s="10">
        <v>37</v>
      </c>
      <c r="G16" s="9">
        <v>1.68</v>
      </c>
      <c r="H16" s="10">
        <v>18</v>
      </c>
      <c r="I16" s="11"/>
    </row>
    <row r="17" spans="1:9" ht="18" customHeight="1">
      <c r="A17" s="6">
        <v>2007</v>
      </c>
      <c r="B17" s="7">
        <v>1509</v>
      </c>
      <c r="C17" s="7">
        <v>4443</v>
      </c>
      <c r="D17" s="7">
        <v>2607</v>
      </c>
      <c r="E17" s="8">
        <v>39329</v>
      </c>
      <c r="F17" s="10">
        <v>34</v>
      </c>
      <c r="G17" s="9">
        <v>1.55</v>
      </c>
      <c r="H17" s="10">
        <v>19</v>
      </c>
      <c r="I17" s="11"/>
    </row>
    <row r="18" spans="1:9" ht="18" customHeight="1">
      <c r="A18" s="6">
        <v>2008</v>
      </c>
      <c r="B18" s="7">
        <v>1659</v>
      </c>
      <c r="C18" s="7">
        <v>4456</v>
      </c>
      <c r="D18" s="7">
        <v>2774</v>
      </c>
      <c r="E18" s="8">
        <v>33053</v>
      </c>
      <c r="F18" s="10">
        <v>37</v>
      </c>
      <c r="G18" s="9">
        <v>1.71</v>
      </c>
      <c r="H18" s="10">
        <v>17</v>
      </c>
      <c r="I18" s="11"/>
    </row>
    <row r="19" spans="1:9" ht="18" customHeight="1">
      <c r="A19" s="6">
        <v>2009</v>
      </c>
      <c r="B19" s="7">
        <v>1554</v>
      </c>
      <c r="C19" s="7">
        <v>4028</v>
      </c>
      <c r="D19" s="7">
        <v>2674</v>
      </c>
      <c r="E19" s="8">
        <v>29632</v>
      </c>
      <c r="F19" s="10">
        <v>39</v>
      </c>
      <c r="G19" s="9">
        <v>1.73</v>
      </c>
      <c r="H19" s="10">
        <v>18</v>
      </c>
      <c r="I19" s="11"/>
    </row>
    <row r="20" spans="1:9" ht="18" customHeight="1">
      <c r="A20" s="6">
        <v>2010</v>
      </c>
      <c r="B20" s="7">
        <v>1313</v>
      </c>
      <c r="C20" s="7">
        <v>3542</v>
      </c>
      <c r="D20" s="7">
        <v>2317</v>
      </c>
      <c r="E20" s="8">
        <v>22399</v>
      </c>
      <c r="F20" s="10">
        <v>37</v>
      </c>
      <c r="G20" s="9">
        <v>1.67</v>
      </c>
      <c r="H20" s="10">
        <v>18</v>
      </c>
      <c r="I20" s="11"/>
    </row>
    <row r="21" spans="1:9" ht="18" customHeight="1">
      <c r="A21" s="6">
        <v>2011</v>
      </c>
      <c r="B21" s="7">
        <v>1126</v>
      </c>
      <c r="C21" s="7">
        <v>3072</v>
      </c>
      <c r="D21" s="7">
        <v>2088</v>
      </c>
      <c r="E21" s="8">
        <v>18790</v>
      </c>
      <c r="F21" s="10">
        <v>37</v>
      </c>
      <c r="G21" s="9">
        <v>1.58</v>
      </c>
      <c r="H21" s="10">
        <v>19</v>
      </c>
      <c r="I21" s="11"/>
    </row>
    <row r="22" spans="1:9" ht="18" customHeight="1">
      <c r="A22" s="6">
        <v>2012</v>
      </c>
      <c r="B22" s="7">
        <v>940</v>
      </c>
      <c r="C22" s="7">
        <v>2667</v>
      </c>
      <c r="D22" s="7">
        <v>1856</v>
      </c>
      <c r="E22" s="8">
        <v>16078</v>
      </c>
      <c r="F22" s="10">
        <v>35</v>
      </c>
      <c r="G22" s="9">
        <v>1.44</v>
      </c>
      <c r="H22" s="10">
        <v>22</v>
      </c>
      <c r="I22" s="11"/>
    </row>
    <row r="23" spans="1:9" ht="18" customHeight="1">
      <c r="A23" s="6">
        <v>2013</v>
      </c>
      <c r="B23" s="7">
        <v>826</v>
      </c>
      <c r="C23" s="7">
        <v>2344</v>
      </c>
      <c r="D23" s="7">
        <v>1639</v>
      </c>
      <c r="E23" s="8">
        <v>15678</v>
      </c>
      <c r="F23" s="10">
        <v>35</v>
      </c>
      <c r="G23" s="9">
        <v>1.44</v>
      </c>
      <c r="H23" s="10">
        <v>22</v>
      </c>
      <c r="I23" s="11"/>
    </row>
    <row r="24" spans="1:9" ht="18" customHeight="1">
      <c r="A24" s="6">
        <v>2014</v>
      </c>
      <c r="B24" s="7">
        <v>708</v>
      </c>
      <c r="C24" s="7">
        <v>2088</v>
      </c>
      <c r="D24" s="7">
        <v>1441</v>
      </c>
      <c r="E24" s="8">
        <v>14405</v>
      </c>
      <c r="F24" s="10">
        <v>34</v>
      </c>
      <c r="G24" s="9">
        <v>1.33</v>
      </c>
      <c r="H24" s="10">
        <v>24</v>
      </c>
      <c r="I24" s="11"/>
    </row>
    <row r="25" spans="1:9" ht="18" customHeight="1">
      <c r="A25" s="6">
        <v>2015</v>
      </c>
      <c r="B25" s="7">
        <v>681</v>
      </c>
      <c r="C25" s="7">
        <v>1940</v>
      </c>
      <c r="D25" s="7">
        <v>1315</v>
      </c>
      <c r="E25" s="8">
        <v>13523</v>
      </c>
      <c r="F25" s="10">
        <v>35</v>
      </c>
      <c r="G25" s="9">
        <v>1.46</v>
      </c>
      <c r="H25" s="10">
        <v>21</v>
      </c>
      <c r="I25" s="11"/>
    </row>
    <row r="26" spans="1:9" ht="18" customHeight="1">
      <c r="A26" s="6">
        <v>2016</v>
      </c>
      <c r="B26" s="7">
        <v>534</v>
      </c>
      <c r="C26" s="7">
        <v>1767</v>
      </c>
      <c r="D26" s="7">
        <v>1202</v>
      </c>
      <c r="E26" s="8">
        <v>14081</v>
      </c>
      <c r="F26" s="10">
        <v>30</v>
      </c>
      <c r="G26" s="9">
        <v>1.1499999999999999</v>
      </c>
      <c r="H26" s="10">
        <v>28</v>
      </c>
      <c r="I26" s="11"/>
    </row>
    <row r="27" spans="1:9" ht="18" customHeight="1">
      <c r="A27" s="6">
        <v>2017</v>
      </c>
      <c r="B27" s="7">
        <v>485</v>
      </c>
      <c r="C27" s="7">
        <v>1794</v>
      </c>
      <c r="D27" s="7">
        <v>1214</v>
      </c>
      <c r="E27" s="8">
        <v>14059</v>
      </c>
      <c r="F27" s="10">
        <v>27</v>
      </c>
      <c r="G27" s="9">
        <v>1.01</v>
      </c>
      <c r="H27" s="10">
        <v>31</v>
      </c>
      <c r="I27" s="11"/>
    </row>
    <row r="28" spans="1:9" ht="18" customHeight="1">
      <c r="A28" s="6">
        <v>2018</v>
      </c>
      <c r="B28" s="7">
        <v>553</v>
      </c>
      <c r="C28" s="7">
        <v>1893</v>
      </c>
      <c r="D28" s="7">
        <v>1298</v>
      </c>
      <c r="E28" s="8">
        <v>13490</v>
      </c>
      <c r="F28" s="10">
        <v>29</v>
      </c>
      <c r="G28" s="9">
        <v>1.1200000000000001</v>
      </c>
      <c r="H28" s="10">
        <v>28</v>
      </c>
      <c r="I28" s="11"/>
    </row>
    <row r="29" spans="1:9" ht="18" customHeight="1">
      <c r="A29" s="6">
        <v>2019</v>
      </c>
      <c r="B29" s="7">
        <v>532</v>
      </c>
      <c r="C29" s="7">
        <v>1896</v>
      </c>
      <c r="D29" s="7">
        <v>1321</v>
      </c>
      <c r="E29" s="7">
        <v>12429</v>
      </c>
      <c r="F29" s="10">
        <v>28</v>
      </c>
      <c r="G29" s="9">
        <v>1.03</v>
      </c>
      <c r="H29" s="10">
        <v>30</v>
      </c>
      <c r="I29" s="11"/>
    </row>
    <row r="30" spans="1:9" ht="18" customHeight="1">
      <c r="A30" s="6">
        <v>2020</v>
      </c>
      <c r="B30" s="7">
        <v>435</v>
      </c>
      <c r="C30" s="7">
        <v>1902</v>
      </c>
      <c r="D30" s="7">
        <v>1349</v>
      </c>
      <c r="E30" s="7">
        <v>9602</v>
      </c>
      <c r="F30" s="10">
        <v>23</v>
      </c>
      <c r="G30" s="9">
        <v>0.76</v>
      </c>
      <c r="H30" s="10">
        <v>38</v>
      </c>
      <c r="I30" s="12"/>
    </row>
    <row r="31" spans="1:9">
      <c r="A31" s="13">
        <v>2021</v>
      </c>
      <c r="B31" s="14">
        <v>306</v>
      </c>
      <c r="C31" s="14">
        <v>1968</v>
      </c>
      <c r="D31" s="14">
        <v>1485</v>
      </c>
      <c r="E31" s="148" t="s">
        <v>192</v>
      </c>
      <c r="F31" s="15">
        <v>16</v>
      </c>
      <c r="G31" s="16">
        <v>0.48</v>
      </c>
      <c r="H31" s="15">
        <v>51</v>
      </c>
    </row>
    <row r="32" spans="1:9">
      <c r="A32" s="17" t="s">
        <v>7</v>
      </c>
      <c r="F32" s="18"/>
    </row>
    <row r="33" spans="6:9" s="2" customFormat="1">
      <c r="F33" s="18"/>
      <c r="I33" s="3"/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6F9D-28E5-499F-9F2D-0FE9D85AABA6}">
  <dimension ref="A1:AD56"/>
  <sheetViews>
    <sheetView showGridLines="0" zoomScale="70" zoomScaleNormal="70" workbookViewId="0">
      <selection activeCell="I2" sqref="I2"/>
    </sheetView>
  </sheetViews>
  <sheetFormatPr defaultRowHeight="18.75"/>
  <cols>
    <col min="1" max="1" width="11.625" style="22" customWidth="1"/>
    <col min="2" max="29" width="7.75" customWidth="1"/>
    <col min="30" max="30" width="7.75" style="20" customWidth="1"/>
  </cols>
  <sheetData>
    <row r="1" spans="1:30" ht="28.5" customHeight="1">
      <c r="A1" s="75" t="s">
        <v>174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30">
      <c r="A2" s="21" t="s">
        <v>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2"/>
      <c r="U2" s="22"/>
      <c r="V2" s="22"/>
      <c r="W2" s="22"/>
    </row>
    <row r="3" spans="1:30" ht="15" customHeight="1">
      <c r="A3" s="23" t="s">
        <v>10</v>
      </c>
      <c r="B3" s="24">
        <v>1993</v>
      </c>
      <c r="C3" s="24">
        <v>1994</v>
      </c>
      <c r="D3" s="24">
        <v>1995</v>
      </c>
      <c r="E3" s="24">
        <v>1996</v>
      </c>
      <c r="F3" s="24">
        <v>1997</v>
      </c>
      <c r="G3" s="24">
        <v>1998</v>
      </c>
      <c r="H3" s="24">
        <v>1999</v>
      </c>
      <c r="I3" s="24">
        <v>2000</v>
      </c>
      <c r="J3" s="24">
        <v>2001</v>
      </c>
      <c r="K3" s="24">
        <v>2002</v>
      </c>
      <c r="L3" s="24">
        <v>2003</v>
      </c>
      <c r="M3" s="24">
        <v>2004</v>
      </c>
      <c r="N3" s="24">
        <v>2005</v>
      </c>
      <c r="O3" s="24">
        <v>2006</v>
      </c>
      <c r="P3" s="24">
        <v>2007</v>
      </c>
      <c r="Q3" s="24">
        <v>2008</v>
      </c>
      <c r="R3" s="24">
        <v>2009</v>
      </c>
      <c r="S3" s="24">
        <v>2010</v>
      </c>
      <c r="T3" s="24">
        <v>2011</v>
      </c>
      <c r="U3" s="24">
        <v>2012</v>
      </c>
      <c r="V3" s="24">
        <v>2013</v>
      </c>
      <c r="W3" s="24">
        <v>2014</v>
      </c>
      <c r="X3" s="24">
        <v>2015</v>
      </c>
      <c r="Y3" s="24">
        <v>2016</v>
      </c>
      <c r="Z3" s="24">
        <v>2017</v>
      </c>
      <c r="AA3" s="24">
        <v>2018</v>
      </c>
      <c r="AB3" s="24">
        <v>2019</v>
      </c>
      <c r="AC3" s="24">
        <v>2020</v>
      </c>
      <c r="AD3" s="24">
        <v>2021</v>
      </c>
    </row>
    <row r="4" spans="1:30" ht="15" customHeight="1">
      <c r="A4" s="25" t="s">
        <v>11</v>
      </c>
      <c r="B4" s="26">
        <v>1446</v>
      </c>
      <c r="C4" s="26">
        <v>3341</v>
      </c>
      <c r="D4" s="26">
        <v>10169</v>
      </c>
      <c r="E4" s="26">
        <v>6339</v>
      </c>
      <c r="F4" s="26">
        <v>8882</v>
      </c>
      <c r="G4" s="26">
        <v>3974</v>
      </c>
      <c r="H4" s="26">
        <v>5272</v>
      </c>
      <c r="I4" s="26">
        <v>5632</v>
      </c>
      <c r="J4" s="26">
        <v>12723</v>
      </c>
      <c r="K4" s="26">
        <v>7773</v>
      </c>
      <c r="L4" s="26">
        <v>4596</v>
      </c>
      <c r="M4" s="26">
        <v>5477</v>
      </c>
      <c r="N4" s="26">
        <v>8095</v>
      </c>
      <c r="O4" s="26">
        <v>7945</v>
      </c>
      <c r="P4" s="26">
        <v>10108</v>
      </c>
      <c r="Q4" s="26">
        <v>9494</v>
      </c>
      <c r="R4" s="26">
        <v>6268</v>
      </c>
      <c r="S4" s="26">
        <v>6654</v>
      </c>
      <c r="T4" s="26">
        <v>4029</v>
      </c>
      <c r="U4" s="26">
        <v>2732</v>
      </c>
      <c r="V4" s="26">
        <v>2167</v>
      </c>
      <c r="W4" s="26">
        <v>1699</v>
      </c>
      <c r="X4" s="26">
        <v>2059</v>
      </c>
      <c r="Y4" s="26">
        <v>1211</v>
      </c>
      <c r="Z4" s="26">
        <v>1136</v>
      </c>
      <c r="AA4" s="26">
        <v>1440</v>
      </c>
      <c r="AB4" s="26">
        <v>966</v>
      </c>
      <c r="AC4" s="26">
        <v>524</v>
      </c>
      <c r="AD4" s="26">
        <v>345</v>
      </c>
    </row>
    <row r="5" spans="1:30" ht="15" customHeight="1">
      <c r="A5" s="25" t="s">
        <v>12</v>
      </c>
      <c r="B5" s="26">
        <v>3825</v>
      </c>
      <c r="C5" s="26">
        <v>5300</v>
      </c>
      <c r="D5" s="26">
        <v>8583</v>
      </c>
      <c r="E5" s="26">
        <v>10811</v>
      </c>
      <c r="F5" s="26">
        <v>6881</v>
      </c>
      <c r="G5" s="26">
        <v>5853</v>
      </c>
      <c r="H5" s="26">
        <v>6555</v>
      </c>
      <c r="I5" s="26">
        <v>7474</v>
      </c>
      <c r="J5" s="26">
        <v>9864</v>
      </c>
      <c r="K5" s="26">
        <v>11250</v>
      </c>
      <c r="L5" s="26">
        <v>7528</v>
      </c>
      <c r="M5" s="26">
        <v>5739</v>
      </c>
      <c r="N5" s="26">
        <v>7708</v>
      </c>
      <c r="O5" s="26">
        <v>8235</v>
      </c>
      <c r="P5" s="26">
        <v>9438</v>
      </c>
      <c r="Q5" s="26">
        <v>10597</v>
      </c>
      <c r="R5" s="26">
        <v>8126</v>
      </c>
      <c r="S5" s="26">
        <v>6771</v>
      </c>
      <c r="T5" s="26">
        <v>5793</v>
      </c>
      <c r="U5" s="26">
        <v>4039</v>
      </c>
      <c r="V5" s="26">
        <v>3805</v>
      </c>
      <c r="W5" s="26">
        <v>2841</v>
      </c>
      <c r="X5" s="26">
        <v>3391</v>
      </c>
      <c r="Y5" s="26">
        <v>2294</v>
      </c>
      <c r="Z5" s="26">
        <v>2152</v>
      </c>
      <c r="AA5" s="26">
        <v>2407</v>
      </c>
      <c r="AB5" s="26">
        <v>2208</v>
      </c>
      <c r="AC5" s="26">
        <v>1648</v>
      </c>
      <c r="AD5" s="26">
        <v>1063</v>
      </c>
    </row>
    <row r="6" spans="1:30" ht="15" customHeight="1">
      <c r="A6" s="25" t="s">
        <v>13</v>
      </c>
      <c r="B6" s="26">
        <v>3476</v>
      </c>
      <c r="C6" s="26">
        <v>3188</v>
      </c>
      <c r="D6" s="26">
        <v>3501</v>
      </c>
      <c r="E6" s="26">
        <v>5074</v>
      </c>
      <c r="F6" s="26">
        <v>3523</v>
      </c>
      <c r="G6" s="26">
        <v>2590</v>
      </c>
      <c r="H6" s="26">
        <v>3309</v>
      </c>
      <c r="I6" s="26">
        <v>3646</v>
      </c>
      <c r="J6" s="26">
        <v>3561</v>
      </c>
      <c r="K6" s="26">
        <v>4762</v>
      </c>
      <c r="L6" s="26">
        <v>4689</v>
      </c>
      <c r="M6" s="26">
        <v>3008</v>
      </c>
      <c r="N6" s="26">
        <v>3466</v>
      </c>
      <c r="O6" s="26">
        <v>4058</v>
      </c>
      <c r="P6" s="26">
        <v>2996</v>
      </c>
      <c r="Q6" s="26">
        <v>3731</v>
      </c>
      <c r="R6" s="26">
        <v>3937</v>
      </c>
      <c r="S6" s="26">
        <v>2939</v>
      </c>
      <c r="T6" s="26">
        <v>2872</v>
      </c>
      <c r="U6" s="26">
        <v>2454</v>
      </c>
      <c r="V6" s="26">
        <v>2170</v>
      </c>
      <c r="W6" s="26">
        <v>1886</v>
      </c>
      <c r="X6" s="26">
        <v>1750</v>
      </c>
      <c r="Y6" s="26">
        <v>1471</v>
      </c>
      <c r="Z6" s="26">
        <v>1329</v>
      </c>
      <c r="AA6" s="26">
        <v>1480</v>
      </c>
      <c r="AB6" s="26">
        <v>1478</v>
      </c>
      <c r="AC6" s="26">
        <v>1225</v>
      </c>
      <c r="AD6" s="26">
        <v>873</v>
      </c>
    </row>
    <row r="7" spans="1:30" ht="15" customHeight="1">
      <c r="A7" s="27" t="s">
        <v>14</v>
      </c>
      <c r="B7" s="28">
        <v>3137</v>
      </c>
      <c r="C7" s="28">
        <v>2596</v>
      </c>
      <c r="D7" s="28">
        <v>2682</v>
      </c>
      <c r="E7" s="28">
        <v>2983</v>
      </c>
      <c r="F7" s="28">
        <v>2522</v>
      </c>
      <c r="G7" s="28">
        <v>1718</v>
      </c>
      <c r="H7" s="28">
        <v>2060</v>
      </c>
      <c r="I7" s="28">
        <v>2633</v>
      </c>
      <c r="J7" s="28">
        <v>2388</v>
      </c>
      <c r="K7" s="28">
        <v>2597</v>
      </c>
      <c r="L7" s="28">
        <v>3353</v>
      </c>
      <c r="M7" s="28">
        <v>2036</v>
      </c>
      <c r="N7" s="28">
        <v>2383</v>
      </c>
      <c r="O7" s="28">
        <v>2644</v>
      </c>
      <c r="P7" s="28">
        <v>1925</v>
      </c>
      <c r="Q7" s="28">
        <v>2021</v>
      </c>
      <c r="R7" s="28">
        <v>2387</v>
      </c>
      <c r="S7" s="28">
        <v>2076</v>
      </c>
      <c r="T7" s="28">
        <v>1766</v>
      </c>
      <c r="U7" s="28">
        <v>1700</v>
      </c>
      <c r="V7" s="28">
        <v>1448</v>
      </c>
      <c r="W7" s="28">
        <v>1355</v>
      </c>
      <c r="X7" s="28">
        <v>1116</v>
      </c>
      <c r="Y7" s="28">
        <v>963</v>
      </c>
      <c r="Z7" s="28">
        <v>844</v>
      </c>
      <c r="AA7" s="28">
        <v>987</v>
      </c>
      <c r="AB7" s="28">
        <v>980</v>
      </c>
      <c r="AC7" s="28">
        <v>853</v>
      </c>
      <c r="AD7" s="26">
        <v>619</v>
      </c>
    </row>
    <row r="8" spans="1:30" ht="15" customHeight="1">
      <c r="A8" s="23" t="s">
        <v>15</v>
      </c>
      <c r="B8" s="29">
        <v>11884</v>
      </c>
      <c r="C8" s="29">
        <v>14424</v>
      </c>
      <c r="D8" s="29">
        <v>24935</v>
      </c>
      <c r="E8" s="29">
        <v>25208</v>
      </c>
      <c r="F8" s="29">
        <v>21808</v>
      </c>
      <c r="G8" s="29">
        <v>14135</v>
      </c>
      <c r="H8" s="29">
        <v>17195</v>
      </c>
      <c r="I8" s="29">
        <v>19384</v>
      </c>
      <c r="J8" s="29">
        <v>28536</v>
      </c>
      <c r="K8" s="29">
        <v>26382</v>
      </c>
      <c r="L8" s="29">
        <v>20165</v>
      </c>
      <c r="M8" s="29">
        <v>16259</v>
      </c>
      <c r="N8" s="29">
        <v>21652</v>
      </c>
      <c r="O8" s="29">
        <v>22882</v>
      </c>
      <c r="P8" s="29">
        <v>24466</v>
      </c>
      <c r="Q8" s="29">
        <v>25842</v>
      </c>
      <c r="R8" s="29">
        <v>20717</v>
      </c>
      <c r="S8" s="29">
        <v>18441</v>
      </c>
      <c r="T8" s="29">
        <v>14459</v>
      </c>
      <c r="U8" s="29">
        <v>10926</v>
      </c>
      <c r="V8" s="29">
        <v>9589</v>
      </c>
      <c r="W8" s="29">
        <v>7782</v>
      </c>
      <c r="X8" s="29">
        <v>8316</v>
      </c>
      <c r="Y8" s="29">
        <v>5939</v>
      </c>
      <c r="Z8" s="29">
        <v>5462</v>
      </c>
      <c r="AA8" s="29">
        <v>6313</v>
      </c>
      <c r="AB8" s="29">
        <v>5632</v>
      </c>
      <c r="AC8" s="29">
        <v>4250</v>
      </c>
      <c r="AD8" s="29">
        <v>2901</v>
      </c>
    </row>
    <row r="9" spans="1:30" ht="6.75" customHeight="1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AC9" s="22"/>
      <c r="AD9" s="22"/>
    </row>
    <row r="10" spans="1:30" ht="15" customHeight="1">
      <c r="A10" s="21" t="s">
        <v>16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AC10" s="22"/>
      <c r="AD10" s="22"/>
    </row>
    <row r="11" spans="1:30" ht="15" customHeight="1">
      <c r="A11" s="23" t="s">
        <v>162</v>
      </c>
      <c r="B11" s="24">
        <v>1993</v>
      </c>
      <c r="C11" s="24">
        <v>1994</v>
      </c>
      <c r="D11" s="24">
        <v>1995</v>
      </c>
      <c r="E11" s="24">
        <v>1996</v>
      </c>
      <c r="F11" s="24">
        <v>1997</v>
      </c>
      <c r="G11" s="24">
        <v>1998</v>
      </c>
      <c r="H11" s="24">
        <v>1999</v>
      </c>
      <c r="I11" s="24">
        <v>2000</v>
      </c>
      <c r="J11" s="24">
        <v>2001</v>
      </c>
      <c r="K11" s="24">
        <v>2002</v>
      </c>
      <c r="L11" s="24">
        <v>2003</v>
      </c>
      <c r="M11" s="24">
        <v>2004</v>
      </c>
      <c r="N11" s="24">
        <v>2005</v>
      </c>
      <c r="O11" s="24">
        <v>2006</v>
      </c>
      <c r="P11" s="24">
        <v>2007</v>
      </c>
      <c r="Q11" s="24">
        <v>2008</v>
      </c>
      <c r="R11" s="24">
        <v>2009</v>
      </c>
      <c r="S11" s="24">
        <v>2010</v>
      </c>
      <c r="T11" s="24">
        <v>2011</v>
      </c>
      <c r="U11" s="24">
        <v>2012</v>
      </c>
      <c r="V11" s="24">
        <v>2013</v>
      </c>
      <c r="W11" s="24">
        <v>2014</v>
      </c>
      <c r="X11" s="24">
        <v>2015</v>
      </c>
      <c r="Y11" s="24">
        <v>2016</v>
      </c>
      <c r="Z11" s="24">
        <v>2017</v>
      </c>
      <c r="AA11" s="24">
        <v>2018</v>
      </c>
      <c r="AB11" s="24">
        <v>2019</v>
      </c>
      <c r="AC11" s="24">
        <v>2020</v>
      </c>
      <c r="AD11" s="24">
        <v>2021</v>
      </c>
    </row>
    <row r="12" spans="1:30" ht="15" customHeight="1">
      <c r="A12" s="25" t="s">
        <v>11</v>
      </c>
      <c r="B12" s="30">
        <v>29</v>
      </c>
      <c r="C12" s="30">
        <v>67</v>
      </c>
      <c r="D12" s="30">
        <v>205</v>
      </c>
      <c r="E12" s="30">
        <v>128</v>
      </c>
      <c r="F12" s="30">
        <v>179</v>
      </c>
      <c r="G12" s="30">
        <v>80</v>
      </c>
      <c r="H12" s="30">
        <v>106</v>
      </c>
      <c r="I12" s="30">
        <v>114</v>
      </c>
      <c r="J12" s="30">
        <v>257</v>
      </c>
      <c r="K12" s="30">
        <v>157</v>
      </c>
      <c r="L12" s="30">
        <v>93</v>
      </c>
      <c r="M12" s="30">
        <v>111</v>
      </c>
      <c r="N12" s="30">
        <v>164</v>
      </c>
      <c r="O12" s="30">
        <v>160</v>
      </c>
      <c r="P12" s="30">
        <v>204</v>
      </c>
      <c r="Q12" s="30">
        <v>192</v>
      </c>
      <c r="R12" s="30">
        <v>127</v>
      </c>
      <c r="S12" s="30">
        <v>134</v>
      </c>
      <c r="T12" s="30">
        <v>81</v>
      </c>
      <c r="U12" s="30">
        <v>55</v>
      </c>
      <c r="V12" s="30">
        <v>44</v>
      </c>
      <c r="W12" s="30">
        <v>34</v>
      </c>
      <c r="X12" s="30">
        <v>42</v>
      </c>
      <c r="Y12" s="30">
        <v>24</v>
      </c>
      <c r="Z12" s="30">
        <v>23</v>
      </c>
      <c r="AA12" s="30">
        <v>29</v>
      </c>
      <c r="AB12" s="30">
        <v>20</v>
      </c>
      <c r="AC12" s="30">
        <v>11</v>
      </c>
      <c r="AD12" s="26">
        <v>7</v>
      </c>
    </row>
    <row r="13" spans="1:30" ht="15" customHeight="1">
      <c r="A13" s="25" t="s">
        <v>12</v>
      </c>
      <c r="B13" s="30">
        <v>221</v>
      </c>
      <c r="C13" s="30">
        <v>307</v>
      </c>
      <c r="D13" s="30">
        <v>497</v>
      </c>
      <c r="E13" s="30">
        <v>626</v>
      </c>
      <c r="F13" s="30">
        <v>398</v>
      </c>
      <c r="G13" s="30">
        <v>339</v>
      </c>
      <c r="H13" s="30">
        <v>380</v>
      </c>
      <c r="I13" s="30">
        <v>433</v>
      </c>
      <c r="J13" s="30">
        <v>571</v>
      </c>
      <c r="K13" s="30">
        <v>651</v>
      </c>
      <c r="L13" s="30">
        <v>436</v>
      </c>
      <c r="M13" s="30">
        <v>332</v>
      </c>
      <c r="N13" s="30">
        <v>446</v>
      </c>
      <c r="O13" s="30">
        <v>477</v>
      </c>
      <c r="P13" s="30">
        <v>546</v>
      </c>
      <c r="Q13" s="30">
        <v>614</v>
      </c>
      <c r="R13" s="30">
        <v>470</v>
      </c>
      <c r="S13" s="30">
        <v>392</v>
      </c>
      <c r="T13" s="30">
        <v>335</v>
      </c>
      <c r="U13" s="30">
        <v>234</v>
      </c>
      <c r="V13" s="30">
        <v>220</v>
      </c>
      <c r="W13" s="30">
        <v>164</v>
      </c>
      <c r="X13" s="30">
        <v>196</v>
      </c>
      <c r="Y13" s="30">
        <v>133</v>
      </c>
      <c r="Z13" s="30">
        <v>125</v>
      </c>
      <c r="AA13" s="30">
        <v>139</v>
      </c>
      <c r="AB13" s="30">
        <v>128</v>
      </c>
      <c r="AC13" s="30">
        <v>95</v>
      </c>
      <c r="AD13" s="26">
        <v>62</v>
      </c>
    </row>
    <row r="14" spans="1:30" ht="15" customHeight="1">
      <c r="A14" s="25" t="s">
        <v>13</v>
      </c>
      <c r="B14" s="30">
        <v>400</v>
      </c>
      <c r="C14" s="30">
        <v>367</v>
      </c>
      <c r="D14" s="30">
        <v>403</v>
      </c>
      <c r="E14" s="30">
        <v>585</v>
      </c>
      <c r="F14" s="30">
        <v>406</v>
      </c>
      <c r="G14" s="30">
        <v>298</v>
      </c>
      <c r="H14" s="30">
        <v>381</v>
      </c>
      <c r="I14" s="30">
        <v>420</v>
      </c>
      <c r="J14" s="30">
        <v>410</v>
      </c>
      <c r="K14" s="30">
        <v>549</v>
      </c>
      <c r="L14" s="30">
        <v>540</v>
      </c>
      <c r="M14" s="30">
        <v>347</v>
      </c>
      <c r="N14" s="30">
        <v>399</v>
      </c>
      <c r="O14" s="30">
        <v>467</v>
      </c>
      <c r="P14" s="30">
        <v>345</v>
      </c>
      <c r="Q14" s="30">
        <v>430</v>
      </c>
      <c r="R14" s="30">
        <v>454</v>
      </c>
      <c r="S14" s="30">
        <v>339</v>
      </c>
      <c r="T14" s="30">
        <v>331</v>
      </c>
      <c r="U14" s="30">
        <v>283</v>
      </c>
      <c r="V14" s="30">
        <v>250</v>
      </c>
      <c r="W14" s="30">
        <v>217</v>
      </c>
      <c r="X14" s="30">
        <v>202</v>
      </c>
      <c r="Y14" s="30">
        <v>169</v>
      </c>
      <c r="Z14" s="30">
        <v>153</v>
      </c>
      <c r="AA14" s="30">
        <v>170</v>
      </c>
      <c r="AB14" s="30">
        <v>170</v>
      </c>
      <c r="AC14" s="30">
        <v>141</v>
      </c>
      <c r="AD14" s="26">
        <v>101</v>
      </c>
    </row>
    <row r="15" spans="1:30" ht="15" customHeight="1">
      <c r="A15" s="27" t="s">
        <v>14</v>
      </c>
      <c r="B15" s="31">
        <v>679</v>
      </c>
      <c r="C15" s="31">
        <v>566</v>
      </c>
      <c r="D15" s="31">
        <v>573</v>
      </c>
      <c r="E15" s="31">
        <v>622</v>
      </c>
      <c r="F15" s="31">
        <v>543</v>
      </c>
      <c r="G15" s="31">
        <v>365</v>
      </c>
      <c r="H15" s="31">
        <v>438</v>
      </c>
      <c r="I15" s="31">
        <v>564</v>
      </c>
      <c r="J15" s="31">
        <v>516</v>
      </c>
      <c r="K15" s="31">
        <v>542</v>
      </c>
      <c r="L15" s="31">
        <v>714</v>
      </c>
      <c r="M15" s="31">
        <v>442</v>
      </c>
      <c r="N15" s="31">
        <v>515</v>
      </c>
      <c r="O15" s="31">
        <v>569</v>
      </c>
      <c r="P15" s="31">
        <v>413</v>
      </c>
      <c r="Q15" s="31">
        <v>424</v>
      </c>
      <c r="R15" s="31">
        <v>504</v>
      </c>
      <c r="S15" s="31">
        <v>449</v>
      </c>
      <c r="T15" s="31">
        <v>378</v>
      </c>
      <c r="U15" s="31">
        <v>368</v>
      </c>
      <c r="V15" s="31">
        <v>312</v>
      </c>
      <c r="W15" s="31">
        <v>292</v>
      </c>
      <c r="X15" s="31">
        <v>241</v>
      </c>
      <c r="Y15" s="31">
        <v>207</v>
      </c>
      <c r="Z15" s="31">
        <v>184</v>
      </c>
      <c r="AA15" s="31">
        <v>214</v>
      </c>
      <c r="AB15" s="31">
        <v>215</v>
      </c>
      <c r="AC15" s="31">
        <v>188</v>
      </c>
      <c r="AD15" s="28">
        <v>137</v>
      </c>
    </row>
    <row r="16" spans="1:30" ht="15" customHeight="1">
      <c r="A16" s="27" t="s">
        <v>15</v>
      </c>
      <c r="B16" s="32">
        <v>1330</v>
      </c>
      <c r="C16" s="32">
        <v>1308</v>
      </c>
      <c r="D16" s="32">
        <v>1678</v>
      </c>
      <c r="E16" s="32">
        <v>1960</v>
      </c>
      <c r="F16" s="32">
        <v>1526</v>
      </c>
      <c r="G16" s="32">
        <v>1083</v>
      </c>
      <c r="H16" s="32">
        <v>1305</v>
      </c>
      <c r="I16" s="32">
        <v>1531</v>
      </c>
      <c r="J16" s="32">
        <v>1754</v>
      </c>
      <c r="K16" s="32">
        <v>1899</v>
      </c>
      <c r="L16" s="32">
        <v>1783</v>
      </c>
      <c r="M16" s="32">
        <v>1231</v>
      </c>
      <c r="N16" s="32">
        <v>1524</v>
      </c>
      <c r="O16" s="32">
        <v>1674</v>
      </c>
      <c r="P16" s="32">
        <v>1509</v>
      </c>
      <c r="Q16" s="32">
        <v>1659</v>
      </c>
      <c r="R16" s="32">
        <v>1554</v>
      </c>
      <c r="S16" s="32">
        <v>1313</v>
      </c>
      <c r="T16" s="32">
        <v>1126</v>
      </c>
      <c r="U16" s="32">
        <v>940</v>
      </c>
      <c r="V16" s="32">
        <v>826</v>
      </c>
      <c r="W16" s="32">
        <v>708</v>
      </c>
      <c r="X16" s="32">
        <v>681</v>
      </c>
      <c r="Y16" s="32">
        <v>534</v>
      </c>
      <c r="Z16" s="32">
        <v>485</v>
      </c>
      <c r="AA16" s="32">
        <v>553</v>
      </c>
      <c r="AB16" s="32">
        <v>532</v>
      </c>
      <c r="AC16" s="32">
        <v>435</v>
      </c>
      <c r="AD16" s="28">
        <v>306</v>
      </c>
    </row>
    <row r="17" spans="1:30" ht="6.75" customHeight="1">
      <c r="B17" s="30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AC17" s="22"/>
      <c r="AD17" s="22"/>
    </row>
    <row r="18" spans="1:30" ht="15" customHeight="1">
      <c r="A18" s="21" t="s">
        <v>17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2"/>
      <c r="U18" s="22"/>
      <c r="V18" s="22"/>
      <c r="W18" s="22"/>
      <c r="AC18" s="22"/>
      <c r="AD18" s="22"/>
    </row>
    <row r="19" spans="1:30" ht="15" customHeight="1">
      <c r="A19" s="23" t="s">
        <v>10</v>
      </c>
      <c r="B19" s="24">
        <v>1993</v>
      </c>
      <c r="C19" s="24">
        <v>1994</v>
      </c>
      <c r="D19" s="24">
        <v>1995</v>
      </c>
      <c r="E19" s="24">
        <v>1996</v>
      </c>
      <c r="F19" s="24">
        <v>1997</v>
      </c>
      <c r="G19" s="24">
        <v>1998</v>
      </c>
      <c r="H19" s="24">
        <v>1999</v>
      </c>
      <c r="I19" s="24">
        <v>2000</v>
      </c>
      <c r="J19" s="24">
        <v>2001</v>
      </c>
      <c r="K19" s="24">
        <v>2002</v>
      </c>
      <c r="L19" s="24">
        <v>2003</v>
      </c>
      <c r="M19" s="24">
        <v>2004</v>
      </c>
      <c r="N19" s="24">
        <v>2005</v>
      </c>
      <c r="O19" s="24">
        <v>2006</v>
      </c>
      <c r="P19" s="24">
        <v>2007</v>
      </c>
      <c r="Q19" s="24">
        <v>2008</v>
      </c>
      <c r="R19" s="24">
        <v>2009</v>
      </c>
      <c r="S19" s="24">
        <v>2010</v>
      </c>
      <c r="T19" s="24">
        <v>2011</v>
      </c>
      <c r="U19" s="24">
        <v>2012</v>
      </c>
      <c r="V19" s="24">
        <v>2013</v>
      </c>
      <c r="W19" s="24">
        <v>2014</v>
      </c>
      <c r="X19" s="24">
        <v>2015</v>
      </c>
      <c r="Y19" s="24">
        <v>2016</v>
      </c>
      <c r="Z19" s="24">
        <v>2017</v>
      </c>
      <c r="AA19" s="24">
        <v>2018</v>
      </c>
      <c r="AB19" s="24">
        <v>2019</v>
      </c>
      <c r="AC19" s="24">
        <v>2020</v>
      </c>
      <c r="AD19" s="24">
        <v>2021</v>
      </c>
    </row>
    <row r="20" spans="1:30" ht="15" customHeight="1">
      <c r="A20" s="25" t="s">
        <v>11</v>
      </c>
      <c r="B20" s="33">
        <v>0.06</v>
      </c>
      <c r="C20" s="33">
        <v>0.1</v>
      </c>
      <c r="D20" s="33">
        <v>0.28999999999999998</v>
      </c>
      <c r="E20" s="33">
        <v>0.23</v>
      </c>
      <c r="F20" s="33">
        <v>0.3</v>
      </c>
      <c r="G20" s="33">
        <v>0.14000000000000001</v>
      </c>
      <c r="H20" s="33">
        <v>0.17</v>
      </c>
      <c r="I20" s="33">
        <v>0.15</v>
      </c>
      <c r="J20" s="33">
        <v>0.32</v>
      </c>
      <c r="K20" s="33">
        <v>0.26</v>
      </c>
      <c r="L20" s="33">
        <v>0.18</v>
      </c>
      <c r="M20" s="33">
        <v>0.19</v>
      </c>
      <c r="N20" s="33">
        <v>0.28000000000000003</v>
      </c>
      <c r="O20" s="33">
        <v>0.24</v>
      </c>
      <c r="P20" s="33">
        <v>0.28999999999999998</v>
      </c>
      <c r="Q20" s="33">
        <v>0.34</v>
      </c>
      <c r="R20" s="33">
        <v>0.26</v>
      </c>
      <c r="S20" s="33">
        <v>0.31</v>
      </c>
      <c r="T20" s="33">
        <v>0.24</v>
      </c>
      <c r="U20" s="33">
        <v>0.19</v>
      </c>
      <c r="V20" s="33">
        <v>0.17</v>
      </c>
      <c r="W20" s="33">
        <v>0.14000000000000001</v>
      </c>
      <c r="X20" s="33">
        <v>0.19</v>
      </c>
      <c r="Y20" s="33">
        <v>0.11</v>
      </c>
      <c r="Z20" s="33">
        <v>0.1</v>
      </c>
      <c r="AA20" s="33">
        <v>0.13</v>
      </c>
      <c r="AB20" s="33">
        <v>0.09</v>
      </c>
      <c r="AC20" s="34">
        <v>0.05</v>
      </c>
      <c r="AD20" s="34">
        <v>0.04</v>
      </c>
    </row>
    <row r="21" spans="1:30" ht="15" customHeight="1">
      <c r="A21" s="25" t="s">
        <v>12</v>
      </c>
      <c r="B21" s="33">
        <v>0.28999999999999998</v>
      </c>
      <c r="C21" s="33">
        <v>0.38</v>
      </c>
      <c r="D21" s="33">
        <v>0.48</v>
      </c>
      <c r="E21" s="33">
        <v>0.71</v>
      </c>
      <c r="F21" s="33">
        <v>0.52</v>
      </c>
      <c r="G21" s="33">
        <v>0.39</v>
      </c>
      <c r="H21" s="33">
        <v>0.44</v>
      </c>
      <c r="I21" s="33">
        <v>0.48</v>
      </c>
      <c r="J21" s="33">
        <v>0.5</v>
      </c>
      <c r="K21" s="33">
        <v>0.64</v>
      </c>
      <c r="L21" s="33">
        <v>0.53</v>
      </c>
      <c r="M21" s="33">
        <v>0.42</v>
      </c>
      <c r="N21" s="33">
        <v>0.53</v>
      </c>
      <c r="O21" s="33">
        <v>0.62</v>
      </c>
      <c r="P21" s="33">
        <v>0.6</v>
      </c>
      <c r="Q21" s="33">
        <v>0.68</v>
      </c>
      <c r="R21" s="33">
        <v>0.67</v>
      </c>
      <c r="S21" s="33">
        <v>0.59</v>
      </c>
      <c r="T21" s="33">
        <v>0.6</v>
      </c>
      <c r="U21" s="33">
        <v>0.49</v>
      </c>
      <c r="V21" s="33">
        <v>0.53</v>
      </c>
      <c r="W21" s="33">
        <v>0.44</v>
      </c>
      <c r="X21" s="33">
        <v>0.54</v>
      </c>
      <c r="Y21" s="33">
        <v>0.39</v>
      </c>
      <c r="Z21" s="33">
        <v>0.36</v>
      </c>
      <c r="AA21" s="33">
        <v>0.39</v>
      </c>
      <c r="AB21" s="33">
        <v>0.36</v>
      </c>
      <c r="AC21" s="34">
        <v>0.26</v>
      </c>
      <c r="AD21" s="34">
        <v>0.17</v>
      </c>
    </row>
    <row r="22" spans="1:30" ht="15" customHeight="1">
      <c r="A22" s="25" t="s">
        <v>13</v>
      </c>
      <c r="B22" s="33">
        <v>0.54</v>
      </c>
      <c r="C22" s="33">
        <v>0.5</v>
      </c>
      <c r="D22" s="33">
        <v>0.56000000000000005</v>
      </c>
      <c r="E22" s="33">
        <v>0.73</v>
      </c>
      <c r="F22" s="33">
        <v>0.64</v>
      </c>
      <c r="G22" s="33">
        <v>0.45</v>
      </c>
      <c r="H22" s="33">
        <v>0.49</v>
      </c>
      <c r="I22" s="33">
        <v>0.57999999999999996</v>
      </c>
      <c r="J22" s="33">
        <v>0.55000000000000004</v>
      </c>
      <c r="K22" s="33">
        <v>0.6</v>
      </c>
      <c r="L22" s="33">
        <v>0.75</v>
      </c>
      <c r="M22" s="33">
        <v>0.51</v>
      </c>
      <c r="N22" s="33">
        <v>0.6</v>
      </c>
      <c r="O22" s="33">
        <v>0.74</v>
      </c>
      <c r="P22" s="33">
        <v>0.59</v>
      </c>
      <c r="Q22" s="33">
        <v>0.63</v>
      </c>
      <c r="R22" s="33">
        <v>0.72</v>
      </c>
      <c r="S22" s="33">
        <v>0.68</v>
      </c>
      <c r="T22" s="33">
        <v>0.67</v>
      </c>
      <c r="U22" s="33">
        <v>0.68</v>
      </c>
      <c r="V22" s="33">
        <v>0.66</v>
      </c>
      <c r="W22" s="33">
        <v>0.69</v>
      </c>
      <c r="X22" s="33">
        <v>0.66</v>
      </c>
      <c r="Y22" s="33">
        <v>0.59</v>
      </c>
      <c r="Z22" s="33">
        <v>0.5</v>
      </c>
      <c r="AA22" s="33">
        <v>0.55000000000000004</v>
      </c>
      <c r="AB22" s="33">
        <v>0.53</v>
      </c>
      <c r="AC22" s="34">
        <v>0.42</v>
      </c>
      <c r="AD22" s="34">
        <v>0.25</v>
      </c>
    </row>
    <row r="23" spans="1:30" ht="15" customHeight="1">
      <c r="A23" s="27" t="s">
        <v>14</v>
      </c>
      <c r="B23" s="35">
        <v>0.54</v>
      </c>
      <c r="C23" s="35">
        <v>0.5</v>
      </c>
      <c r="D23" s="35">
        <v>0.56000000000000005</v>
      </c>
      <c r="E23" s="35">
        <v>0.73</v>
      </c>
      <c r="F23" s="35">
        <v>0.64</v>
      </c>
      <c r="G23" s="35">
        <v>0.45</v>
      </c>
      <c r="H23" s="35">
        <v>0.49</v>
      </c>
      <c r="I23" s="35">
        <v>0.57999999999999996</v>
      </c>
      <c r="J23" s="35">
        <v>0.55000000000000004</v>
      </c>
      <c r="K23" s="35">
        <v>0.6</v>
      </c>
      <c r="L23" s="35">
        <v>0.75</v>
      </c>
      <c r="M23" s="35">
        <v>0.51</v>
      </c>
      <c r="N23" s="35">
        <v>0.6</v>
      </c>
      <c r="O23" s="35">
        <v>0.74</v>
      </c>
      <c r="P23" s="35">
        <v>0.59</v>
      </c>
      <c r="Q23" s="35">
        <v>0.63</v>
      </c>
      <c r="R23" s="35">
        <v>0.72</v>
      </c>
      <c r="S23" s="35">
        <v>0.68</v>
      </c>
      <c r="T23" s="35">
        <v>0.67</v>
      </c>
      <c r="U23" s="35">
        <v>0.68</v>
      </c>
      <c r="V23" s="35">
        <v>0.66</v>
      </c>
      <c r="W23" s="35">
        <v>0.69</v>
      </c>
      <c r="X23" s="35">
        <v>0.66</v>
      </c>
      <c r="Y23" s="35">
        <v>0.59</v>
      </c>
      <c r="Z23" s="35">
        <v>0.5</v>
      </c>
      <c r="AA23" s="35">
        <v>0.55000000000000004</v>
      </c>
      <c r="AB23" s="35">
        <v>0.53</v>
      </c>
      <c r="AC23" s="34">
        <v>0.42</v>
      </c>
      <c r="AD23" s="34">
        <v>0.25</v>
      </c>
    </row>
    <row r="24" spans="1:30" ht="15" customHeight="1">
      <c r="A24" s="23" t="s">
        <v>18</v>
      </c>
      <c r="B24" s="36">
        <v>0.35</v>
      </c>
      <c r="C24" s="36">
        <v>0.37</v>
      </c>
      <c r="D24" s="36">
        <v>0.47</v>
      </c>
      <c r="E24" s="36">
        <v>0.6</v>
      </c>
      <c r="F24" s="36">
        <v>0.52</v>
      </c>
      <c r="G24" s="36">
        <v>0.36</v>
      </c>
      <c r="H24" s="36">
        <v>0.4</v>
      </c>
      <c r="I24" s="36">
        <v>0.45</v>
      </c>
      <c r="J24" s="36">
        <v>0.48</v>
      </c>
      <c r="K24" s="36">
        <v>0.52</v>
      </c>
      <c r="L24" s="36">
        <v>0.55000000000000004</v>
      </c>
      <c r="M24" s="36">
        <v>0.41</v>
      </c>
      <c r="N24" s="36">
        <v>0.5</v>
      </c>
      <c r="O24" s="36">
        <v>0.57999999999999996</v>
      </c>
      <c r="P24" s="36">
        <v>0.52</v>
      </c>
      <c r="Q24" s="36">
        <v>0.56999999999999995</v>
      </c>
      <c r="R24" s="36">
        <v>0.59</v>
      </c>
      <c r="S24" s="36">
        <v>0.56999999999999995</v>
      </c>
      <c r="T24" s="36">
        <v>0.54</v>
      </c>
      <c r="U24" s="36">
        <v>0.51</v>
      </c>
      <c r="V24" s="36">
        <v>0.51</v>
      </c>
      <c r="W24" s="36">
        <v>0.49</v>
      </c>
      <c r="X24" s="36">
        <v>0.51</v>
      </c>
      <c r="Y24" s="36">
        <v>0.42</v>
      </c>
      <c r="Z24" s="36">
        <v>0.37</v>
      </c>
      <c r="AA24" s="36">
        <v>0.4</v>
      </c>
      <c r="AB24" s="36">
        <v>0.38</v>
      </c>
      <c r="AC24" s="36">
        <v>0.28999999999999998</v>
      </c>
      <c r="AD24" s="36">
        <v>0.18</v>
      </c>
    </row>
    <row r="25" spans="1:30" ht="6.75" customHeight="1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AC25" s="22"/>
      <c r="AD25" s="22"/>
    </row>
    <row r="26" spans="1:30" ht="15" customHeight="1">
      <c r="A26" s="21" t="s">
        <v>19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2"/>
      <c r="U26" s="22"/>
      <c r="V26" s="22"/>
      <c r="W26" s="22"/>
      <c r="AC26" s="22"/>
      <c r="AD26" s="22"/>
    </row>
    <row r="27" spans="1:30" ht="15" customHeight="1">
      <c r="A27" s="23" t="s">
        <v>10</v>
      </c>
      <c r="B27" s="24">
        <v>1993</v>
      </c>
      <c r="C27" s="24">
        <v>1994</v>
      </c>
      <c r="D27" s="24">
        <v>1995</v>
      </c>
      <c r="E27" s="24">
        <v>1996</v>
      </c>
      <c r="F27" s="24">
        <v>1997</v>
      </c>
      <c r="G27" s="24">
        <v>1998</v>
      </c>
      <c r="H27" s="24">
        <v>1999</v>
      </c>
      <c r="I27" s="24">
        <v>2000</v>
      </c>
      <c r="J27" s="24">
        <v>2001</v>
      </c>
      <c r="K27" s="24">
        <v>2002</v>
      </c>
      <c r="L27" s="24">
        <v>2003</v>
      </c>
      <c r="M27" s="24">
        <v>2004</v>
      </c>
      <c r="N27" s="24">
        <v>2005</v>
      </c>
      <c r="O27" s="24">
        <v>2006</v>
      </c>
      <c r="P27" s="24">
        <v>2007</v>
      </c>
      <c r="Q27" s="24">
        <v>2008</v>
      </c>
      <c r="R27" s="24">
        <v>2009</v>
      </c>
      <c r="S27" s="24">
        <v>2010</v>
      </c>
      <c r="T27" s="24">
        <v>2011</v>
      </c>
      <c r="U27" s="24">
        <v>2012</v>
      </c>
      <c r="V27" s="24">
        <v>2013</v>
      </c>
      <c r="W27" s="24">
        <v>2014</v>
      </c>
      <c r="X27" s="24">
        <v>2015</v>
      </c>
      <c r="Y27" s="24">
        <v>2016</v>
      </c>
      <c r="Z27" s="24">
        <v>2017</v>
      </c>
      <c r="AA27" s="24">
        <v>2018</v>
      </c>
      <c r="AB27" s="24">
        <v>2019</v>
      </c>
      <c r="AC27" s="24">
        <v>2020</v>
      </c>
      <c r="AD27" s="24">
        <v>2021</v>
      </c>
    </row>
    <row r="28" spans="1:30" ht="15" customHeight="1">
      <c r="A28" s="25" t="s">
        <v>11</v>
      </c>
      <c r="B28" s="26">
        <v>30224</v>
      </c>
      <c r="C28" s="26">
        <v>42080</v>
      </c>
      <c r="D28" s="26">
        <v>48237</v>
      </c>
      <c r="E28" s="26">
        <v>36313</v>
      </c>
      <c r="F28" s="26">
        <v>41028</v>
      </c>
      <c r="G28" s="26">
        <v>35791</v>
      </c>
      <c r="H28" s="26">
        <v>39238</v>
      </c>
      <c r="I28" s="26">
        <v>48811</v>
      </c>
      <c r="J28" s="26">
        <v>55503</v>
      </c>
      <c r="K28" s="26">
        <v>39993</v>
      </c>
      <c r="L28" s="26">
        <v>33714</v>
      </c>
      <c r="M28" s="26">
        <v>38216</v>
      </c>
      <c r="N28" s="26">
        <v>39734</v>
      </c>
      <c r="O28" s="26">
        <v>44611</v>
      </c>
      <c r="P28" s="26">
        <v>48313</v>
      </c>
      <c r="Q28" s="26">
        <v>39329</v>
      </c>
      <c r="R28" s="26">
        <v>33053</v>
      </c>
      <c r="S28" s="26">
        <v>29632</v>
      </c>
      <c r="T28" s="26">
        <v>22399</v>
      </c>
      <c r="U28" s="26">
        <v>18790</v>
      </c>
      <c r="V28" s="26">
        <v>16078</v>
      </c>
      <c r="W28" s="26">
        <v>15678</v>
      </c>
      <c r="X28" s="26">
        <v>14405</v>
      </c>
      <c r="Y28" s="26">
        <v>13523</v>
      </c>
      <c r="Z28" s="26">
        <v>14081</v>
      </c>
      <c r="AA28" s="26">
        <v>14059</v>
      </c>
      <c r="AB28" s="26">
        <v>13490</v>
      </c>
      <c r="AC28" s="26">
        <v>12429</v>
      </c>
      <c r="AD28" s="26">
        <v>9602</v>
      </c>
    </row>
    <row r="29" spans="1:30" ht="15" customHeight="1">
      <c r="A29" s="25" t="s">
        <v>12</v>
      </c>
      <c r="B29" s="26">
        <v>18196</v>
      </c>
      <c r="C29" s="26">
        <v>20085</v>
      </c>
      <c r="D29" s="26">
        <v>26848</v>
      </c>
      <c r="E29" s="26">
        <v>25456</v>
      </c>
      <c r="F29" s="26">
        <v>20267</v>
      </c>
      <c r="G29" s="26">
        <v>21456</v>
      </c>
      <c r="H29" s="26">
        <v>21885</v>
      </c>
      <c r="I29" s="26">
        <v>23225</v>
      </c>
      <c r="J29" s="26">
        <v>29668</v>
      </c>
      <c r="K29" s="26">
        <v>28431</v>
      </c>
      <c r="L29" s="26">
        <v>21657</v>
      </c>
      <c r="M29" s="26">
        <v>19900</v>
      </c>
      <c r="N29" s="26">
        <v>22333</v>
      </c>
      <c r="O29" s="26">
        <v>21205</v>
      </c>
      <c r="P29" s="26">
        <v>24767</v>
      </c>
      <c r="Q29" s="26">
        <v>25561</v>
      </c>
      <c r="R29" s="26">
        <v>19746</v>
      </c>
      <c r="S29" s="26">
        <v>18030</v>
      </c>
      <c r="T29" s="26">
        <v>15296</v>
      </c>
      <c r="U29" s="26">
        <v>12403</v>
      </c>
      <c r="V29" s="26">
        <v>10948</v>
      </c>
      <c r="W29" s="26">
        <v>9511</v>
      </c>
      <c r="X29" s="26">
        <v>9622</v>
      </c>
      <c r="Y29" s="26">
        <v>8423</v>
      </c>
      <c r="Z29" s="26">
        <v>8513</v>
      </c>
      <c r="AA29" s="26">
        <v>8969</v>
      </c>
      <c r="AB29" s="26">
        <v>8698</v>
      </c>
      <c r="AC29" s="26">
        <v>8695</v>
      </c>
      <c r="AD29" s="26">
        <v>8319</v>
      </c>
    </row>
    <row r="30" spans="1:30" ht="15" customHeight="1">
      <c r="A30" s="25" t="s">
        <v>13</v>
      </c>
      <c r="B30" s="26">
        <v>9980</v>
      </c>
      <c r="C30" s="26">
        <v>9612</v>
      </c>
      <c r="D30" s="26">
        <v>9705</v>
      </c>
      <c r="E30" s="26">
        <v>11715</v>
      </c>
      <c r="F30" s="26">
        <v>8863</v>
      </c>
      <c r="G30" s="26">
        <v>8506</v>
      </c>
      <c r="H30" s="26">
        <v>10206</v>
      </c>
      <c r="I30" s="26">
        <v>9919</v>
      </c>
      <c r="J30" s="26">
        <v>10093</v>
      </c>
      <c r="K30" s="26">
        <v>12627</v>
      </c>
      <c r="L30" s="26">
        <v>10591</v>
      </c>
      <c r="M30" s="26">
        <v>8942</v>
      </c>
      <c r="N30" s="26">
        <v>9206</v>
      </c>
      <c r="O30" s="26">
        <v>9267</v>
      </c>
      <c r="P30" s="26">
        <v>8030</v>
      </c>
      <c r="Q30" s="26">
        <v>9531</v>
      </c>
      <c r="R30" s="26">
        <v>9117</v>
      </c>
      <c r="S30" s="26">
        <v>7093</v>
      </c>
      <c r="T30" s="26">
        <v>7022</v>
      </c>
      <c r="U30" s="26">
        <v>5916</v>
      </c>
      <c r="V30" s="26">
        <v>5349</v>
      </c>
      <c r="W30" s="26">
        <v>4521</v>
      </c>
      <c r="X30" s="26">
        <v>4317</v>
      </c>
      <c r="Y30" s="26">
        <v>3934</v>
      </c>
      <c r="Z30" s="26">
        <v>4010</v>
      </c>
      <c r="AA30" s="26">
        <v>4192</v>
      </c>
      <c r="AB30" s="26">
        <v>4300</v>
      </c>
      <c r="AC30" s="26">
        <v>4276</v>
      </c>
      <c r="AD30" s="26">
        <v>4744</v>
      </c>
    </row>
    <row r="31" spans="1:30" ht="15" customHeight="1">
      <c r="A31" s="27" t="s">
        <v>14</v>
      </c>
      <c r="B31" s="28">
        <v>9005</v>
      </c>
      <c r="C31" s="28">
        <v>7827</v>
      </c>
      <c r="D31" s="28">
        <v>7434</v>
      </c>
      <c r="E31" s="28">
        <v>6887</v>
      </c>
      <c r="F31" s="28">
        <v>6344</v>
      </c>
      <c r="G31" s="28">
        <v>5642</v>
      </c>
      <c r="H31" s="28">
        <v>6353</v>
      </c>
      <c r="I31" s="28">
        <v>7163</v>
      </c>
      <c r="J31" s="28">
        <v>6767</v>
      </c>
      <c r="K31" s="28">
        <v>6887</v>
      </c>
      <c r="L31" s="28">
        <v>7574</v>
      </c>
      <c r="M31" s="28">
        <v>6050</v>
      </c>
      <c r="N31" s="28">
        <v>6331</v>
      </c>
      <c r="O31" s="28">
        <v>6038</v>
      </c>
      <c r="P31" s="28">
        <v>5159</v>
      </c>
      <c r="Q31" s="28">
        <v>5164</v>
      </c>
      <c r="R31" s="28">
        <v>5527</v>
      </c>
      <c r="S31" s="28">
        <v>5011</v>
      </c>
      <c r="T31" s="28">
        <v>4319</v>
      </c>
      <c r="U31" s="28">
        <v>4098</v>
      </c>
      <c r="V31" s="28">
        <v>3569</v>
      </c>
      <c r="W31" s="28">
        <v>3248</v>
      </c>
      <c r="X31" s="28">
        <v>2754</v>
      </c>
      <c r="Y31" s="28">
        <v>2576</v>
      </c>
      <c r="Z31" s="28">
        <v>2545</v>
      </c>
      <c r="AA31" s="28">
        <v>2794</v>
      </c>
      <c r="AB31" s="28">
        <v>2853</v>
      </c>
      <c r="AC31" s="26">
        <v>2977</v>
      </c>
      <c r="AD31" s="26">
        <v>3366</v>
      </c>
    </row>
    <row r="32" spans="1:30" ht="15" customHeight="1">
      <c r="A32" s="23" t="s">
        <v>15</v>
      </c>
      <c r="B32" s="29">
        <v>67405</v>
      </c>
      <c r="C32" s="29">
        <v>79603</v>
      </c>
      <c r="D32" s="29">
        <v>92224</v>
      </c>
      <c r="E32" s="29">
        <v>80370</v>
      </c>
      <c r="F32" s="29">
        <v>76503</v>
      </c>
      <c r="G32" s="29">
        <v>71394</v>
      </c>
      <c r="H32" s="29">
        <v>77683</v>
      </c>
      <c r="I32" s="29">
        <v>89119</v>
      </c>
      <c r="J32" s="29">
        <v>102031</v>
      </c>
      <c r="K32" s="29">
        <v>87938</v>
      </c>
      <c r="L32" s="29">
        <v>73536</v>
      </c>
      <c r="M32" s="29">
        <v>73108</v>
      </c>
      <c r="N32" s="29">
        <v>77603</v>
      </c>
      <c r="O32" s="29">
        <v>81121</v>
      </c>
      <c r="P32" s="29">
        <v>86270</v>
      </c>
      <c r="Q32" s="29">
        <v>79585</v>
      </c>
      <c r="R32" s="29">
        <v>67442</v>
      </c>
      <c r="S32" s="29">
        <v>59766</v>
      </c>
      <c r="T32" s="29">
        <v>49036</v>
      </c>
      <c r="U32" s="29">
        <v>41207</v>
      </c>
      <c r="V32" s="29">
        <v>35944</v>
      </c>
      <c r="W32" s="29">
        <v>32958</v>
      </c>
      <c r="X32" s="29">
        <v>31098</v>
      </c>
      <c r="Y32" s="29">
        <v>28456</v>
      </c>
      <c r="Z32" s="29">
        <v>29148</v>
      </c>
      <c r="AA32" s="29">
        <v>30014</v>
      </c>
      <c r="AB32" s="29">
        <v>29341</v>
      </c>
      <c r="AC32" s="29">
        <v>28377</v>
      </c>
      <c r="AD32" s="29">
        <v>26031</v>
      </c>
    </row>
    <row r="33" spans="1:30" ht="6.75" customHeight="1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AC33" s="22"/>
      <c r="AD33" s="22"/>
    </row>
    <row r="34" spans="1:30" ht="15" customHeight="1">
      <c r="A34" s="21" t="s">
        <v>20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37"/>
      <c r="Y34" s="37"/>
      <c r="AC34" s="22"/>
      <c r="AD34" s="22"/>
    </row>
    <row r="35" spans="1:30" ht="15" customHeight="1">
      <c r="A35" s="23" t="s">
        <v>10</v>
      </c>
      <c r="B35" s="24">
        <v>1993</v>
      </c>
      <c r="C35" s="24">
        <v>1994</v>
      </c>
      <c r="D35" s="24">
        <v>1995</v>
      </c>
      <c r="E35" s="24">
        <v>1996</v>
      </c>
      <c r="F35" s="24">
        <v>1997</v>
      </c>
      <c r="G35" s="24">
        <v>1998</v>
      </c>
      <c r="H35" s="24">
        <v>1999</v>
      </c>
      <c r="I35" s="24">
        <v>2000</v>
      </c>
      <c r="J35" s="24">
        <v>2001</v>
      </c>
      <c r="K35" s="24">
        <v>2002</v>
      </c>
      <c r="L35" s="24">
        <v>2003</v>
      </c>
      <c r="M35" s="24">
        <v>2004</v>
      </c>
      <c r="N35" s="24">
        <v>2005</v>
      </c>
      <c r="O35" s="24">
        <v>2006</v>
      </c>
      <c r="P35" s="24">
        <v>2007</v>
      </c>
      <c r="Q35" s="24">
        <v>2008</v>
      </c>
      <c r="R35" s="24">
        <v>2009</v>
      </c>
      <c r="S35" s="24">
        <v>2010</v>
      </c>
      <c r="T35" s="24">
        <v>2011</v>
      </c>
      <c r="U35" s="24">
        <v>2012</v>
      </c>
      <c r="V35" s="24">
        <v>2013</v>
      </c>
      <c r="W35" s="24">
        <v>2014</v>
      </c>
      <c r="X35" s="24">
        <v>2015</v>
      </c>
      <c r="Y35" s="24">
        <v>2016</v>
      </c>
      <c r="Z35" s="24">
        <v>2017</v>
      </c>
      <c r="AA35" s="24">
        <v>2018</v>
      </c>
      <c r="AB35" s="24">
        <v>2019</v>
      </c>
      <c r="AC35" s="24">
        <v>2020</v>
      </c>
      <c r="AD35" s="24">
        <v>2021</v>
      </c>
    </row>
    <row r="36" spans="1:30" ht="15" customHeight="1">
      <c r="A36" s="25" t="s">
        <v>11</v>
      </c>
      <c r="B36" s="38">
        <v>611</v>
      </c>
      <c r="C36" s="38">
        <v>850</v>
      </c>
      <c r="D36" s="38">
        <v>974</v>
      </c>
      <c r="E36" s="38">
        <v>734</v>
      </c>
      <c r="F36" s="38">
        <v>829</v>
      </c>
      <c r="G36" s="38">
        <v>723</v>
      </c>
      <c r="H36" s="38">
        <v>793</v>
      </c>
      <c r="I36" s="38">
        <v>986</v>
      </c>
      <c r="J36" s="38">
        <v>1121</v>
      </c>
      <c r="K36" s="38">
        <v>808</v>
      </c>
      <c r="L36" s="38">
        <v>681</v>
      </c>
      <c r="M36" s="38">
        <v>772</v>
      </c>
      <c r="N36" s="38">
        <v>803</v>
      </c>
      <c r="O36" s="38">
        <v>901</v>
      </c>
      <c r="P36" s="38">
        <v>976</v>
      </c>
      <c r="Q36" s="38">
        <v>794</v>
      </c>
      <c r="R36" s="38">
        <v>668</v>
      </c>
      <c r="S36" s="38">
        <v>599</v>
      </c>
      <c r="T36" s="38">
        <v>452</v>
      </c>
      <c r="U36" s="38">
        <v>380</v>
      </c>
      <c r="V36" s="38">
        <v>325</v>
      </c>
      <c r="W36" s="38">
        <v>317</v>
      </c>
      <c r="X36" s="38">
        <v>291</v>
      </c>
      <c r="Y36" s="38">
        <v>273</v>
      </c>
      <c r="Z36" s="38">
        <v>284</v>
      </c>
      <c r="AA36" s="38">
        <v>284</v>
      </c>
      <c r="AB36" s="38">
        <v>272</v>
      </c>
      <c r="AC36" s="26">
        <v>251</v>
      </c>
      <c r="AD36" s="26">
        <v>194</v>
      </c>
    </row>
    <row r="37" spans="1:30" ht="15" customHeight="1">
      <c r="A37" s="25" t="s">
        <v>12</v>
      </c>
      <c r="B37" s="38">
        <v>1054</v>
      </c>
      <c r="C37" s="38">
        <v>1163</v>
      </c>
      <c r="D37" s="38">
        <v>1555</v>
      </c>
      <c r="E37" s="38">
        <v>1474</v>
      </c>
      <c r="F37" s="38">
        <v>1173</v>
      </c>
      <c r="G37" s="38">
        <v>1242</v>
      </c>
      <c r="H37" s="38">
        <v>1267</v>
      </c>
      <c r="I37" s="38">
        <v>1345</v>
      </c>
      <c r="J37" s="38">
        <v>1718</v>
      </c>
      <c r="K37" s="38">
        <v>1646</v>
      </c>
      <c r="L37" s="38">
        <v>1254</v>
      </c>
      <c r="M37" s="38">
        <v>1152</v>
      </c>
      <c r="N37" s="38">
        <v>1293</v>
      </c>
      <c r="O37" s="38">
        <v>1228</v>
      </c>
      <c r="P37" s="38">
        <v>1434</v>
      </c>
      <c r="Q37" s="38">
        <v>1480</v>
      </c>
      <c r="R37" s="38">
        <v>1143</v>
      </c>
      <c r="S37" s="38">
        <v>1044</v>
      </c>
      <c r="T37" s="38">
        <v>886</v>
      </c>
      <c r="U37" s="38">
        <v>718</v>
      </c>
      <c r="V37" s="38">
        <v>634</v>
      </c>
      <c r="W37" s="38">
        <v>551</v>
      </c>
      <c r="X37" s="38">
        <v>557</v>
      </c>
      <c r="Y37" s="38">
        <v>488</v>
      </c>
      <c r="Z37" s="38">
        <v>493</v>
      </c>
      <c r="AA37" s="38">
        <v>519</v>
      </c>
      <c r="AB37" s="38">
        <v>504</v>
      </c>
      <c r="AC37" s="26">
        <v>503</v>
      </c>
      <c r="AD37" s="26">
        <v>482</v>
      </c>
    </row>
    <row r="38" spans="1:30" ht="15" customHeight="1">
      <c r="A38" s="25" t="s">
        <v>13</v>
      </c>
      <c r="B38" s="38">
        <v>1150</v>
      </c>
      <c r="C38" s="38">
        <v>1107</v>
      </c>
      <c r="D38" s="38">
        <v>1118</v>
      </c>
      <c r="E38" s="38">
        <v>1350</v>
      </c>
      <c r="F38" s="38">
        <v>1021</v>
      </c>
      <c r="G38" s="38">
        <v>980</v>
      </c>
      <c r="H38" s="38">
        <v>1176</v>
      </c>
      <c r="I38" s="38">
        <v>1143</v>
      </c>
      <c r="J38" s="38">
        <v>1163</v>
      </c>
      <c r="K38" s="38">
        <v>1455</v>
      </c>
      <c r="L38" s="38">
        <v>1220</v>
      </c>
      <c r="M38" s="38">
        <v>1030</v>
      </c>
      <c r="N38" s="38">
        <v>1060</v>
      </c>
      <c r="O38" s="38">
        <v>1068</v>
      </c>
      <c r="P38" s="38">
        <v>925</v>
      </c>
      <c r="Q38" s="38">
        <v>1098</v>
      </c>
      <c r="R38" s="38">
        <v>1050</v>
      </c>
      <c r="S38" s="38">
        <v>817</v>
      </c>
      <c r="T38" s="38">
        <v>809</v>
      </c>
      <c r="U38" s="38">
        <v>682</v>
      </c>
      <c r="V38" s="38">
        <v>616</v>
      </c>
      <c r="W38" s="38">
        <v>521</v>
      </c>
      <c r="X38" s="38">
        <v>497</v>
      </c>
      <c r="Y38" s="38">
        <v>453</v>
      </c>
      <c r="Z38" s="38">
        <v>462</v>
      </c>
      <c r="AA38" s="38">
        <v>483</v>
      </c>
      <c r="AB38" s="38">
        <v>495</v>
      </c>
      <c r="AC38" s="26">
        <v>493</v>
      </c>
      <c r="AD38" s="26">
        <v>547</v>
      </c>
    </row>
    <row r="39" spans="1:30" ht="15" customHeight="1">
      <c r="A39" s="27" t="s">
        <v>14</v>
      </c>
      <c r="B39" s="39">
        <v>1950</v>
      </c>
      <c r="C39" s="39">
        <v>1707</v>
      </c>
      <c r="D39" s="39">
        <v>1589</v>
      </c>
      <c r="E39" s="39">
        <v>1435</v>
      </c>
      <c r="F39" s="39">
        <v>1366</v>
      </c>
      <c r="G39" s="39">
        <v>1199</v>
      </c>
      <c r="H39" s="39">
        <v>1350</v>
      </c>
      <c r="I39" s="39">
        <v>1536</v>
      </c>
      <c r="J39" s="39">
        <v>1462</v>
      </c>
      <c r="K39" s="39">
        <v>1438</v>
      </c>
      <c r="L39" s="39">
        <v>1613</v>
      </c>
      <c r="M39" s="39">
        <v>1313</v>
      </c>
      <c r="N39" s="39">
        <v>1369</v>
      </c>
      <c r="O39" s="39">
        <v>1300</v>
      </c>
      <c r="P39" s="39">
        <v>1108</v>
      </c>
      <c r="Q39" s="39">
        <v>1084</v>
      </c>
      <c r="R39" s="39">
        <v>1167</v>
      </c>
      <c r="S39" s="39">
        <v>1082</v>
      </c>
      <c r="T39" s="39">
        <v>925</v>
      </c>
      <c r="U39" s="39">
        <v>888</v>
      </c>
      <c r="V39" s="39">
        <v>769</v>
      </c>
      <c r="W39" s="39">
        <v>700</v>
      </c>
      <c r="X39" s="39">
        <v>595</v>
      </c>
      <c r="Y39" s="39">
        <v>553</v>
      </c>
      <c r="Z39" s="39">
        <v>555</v>
      </c>
      <c r="AA39" s="39">
        <v>607</v>
      </c>
      <c r="AB39" s="39">
        <v>625</v>
      </c>
      <c r="AC39" s="26">
        <v>655</v>
      </c>
      <c r="AD39" s="26">
        <v>745</v>
      </c>
    </row>
    <row r="40" spans="1:30" ht="15" customHeight="1">
      <c r="A40" s="23" t="s">
        <v>15</v>
      </c>
      <c r="B40" s="29">
        <v>4764</v>
      </c>
      <c r="C40" s="29">
        <v>4827</v>
      </c>
      <c r="D40" s="29">
        <v>5236</v>
      </c>
      <c r="E40" s="29">
        <v>4992</v>
      </c>
      <c r="F40" s="29">
        <v>4389</v>
      </c>
      <c r="G40" s="29">
        <v>4144</v>
      </c>
      <c r="H40" s="29">
        <v>4586</v>
      </c>
      <c r="I40" s="29">
        <v>5009</v>
      </c>
      <c r="J40" s="29">
        <v>5463</v>
      </c>
      <c r="K40" s="29">
        <v>5346</v>
      </c>
      <c r="L40" s="29">
        <v>4768</v>
      </c>
      <c r="M40" s="29">
        <v>4268</v>
      </c>
      <c r="N40" s="29">
        <v>4525</v>
      </c>
      <c r="O40" s="29">
        <v>4496</v>
      </c>
      <c r="P40" s="29">
        <v>4443</v>
      </c>
      <c r="Q40" s="29">
        <v>4456</v>
      </c>
      <c r="R40" s="29">
        <v>4028</v>
      </c>
      <c r="S40" s="29">
        <v>3542</v>
      </c>
      <c r="T40" s="29">
        <v>3072</v>
      </c>
      <c r="U40" s="29">
        <v>2667</v>
      </c>
      <c r="V40" s="29">
        <v>2344</v>
      </c>
      <c r="W40" s="29">
        <v>2088</v>
      </c>
      <c r="X40" s="29">
        <v>1940</v>
      </c>
      <c r="Y40" s="29">
        <v>1767</v>
      </c>
      <c r="Z40" s="29">
        <v>1794</v>
      </c>
      <c r="AA40" s="29">
        <v>1893</v>
      </c>
      <c r="AB40" s="29">
        <v>1896</v>
      </c>
      <c r="AC40" s="29">
        <v>1902</v>
      </c>
      <c r="AD40" s="29">
        <v>1968</v>
      </c>
    </row>
    <row r="41" spans="1:30" ht="6.75" customHeight="1">
      <c r="AC41" s="22"/>
      <c r="AD41" s="22"/>
    </row>
    <row r="42" spans="1:30" s="22" customFormat="1" ht="15">
      <c r="A42" s="21" t="s">
        <v>21</v>
      </c>
    </row>
    <row r="43" spans="1:30" s="22" customFormat="1" ht="15">
      <c r="A43" s="23" t="s">
        <v>10</v>
      </c>
      <c r="B43" s="24">
        <v>1993</v>
      </c>
      <c r="C43" s="24">
        <v>1994</v>
      </c>
      <c r="D43" s="24">
        <v>1995</v>
      </c>
      <c r="E43" s="24">
        <v>1996</v>
      </c>
      <c r="F43" s="24">
        <v>1997</v>
      </c>
      <c r="G43" s="24">
        <v>1998</v>
      </c>
      <c r="H43" s="24">
        <v>1999</v>
      </c>
      <c r="I43" s="24">
        <v>2000</v>
      </c>
      <c r="J43" s="24">
        <v>2001</v>
      </c>
      <c r="K43" s="24">
        <v>2002</v>
      </c>
      <c r="L43" s="24">
        <v>2003</v>
      </c>
      <c r="M43" s="24">
        <v>2004</v>
      </c>
      <c r="N43" s="24">
        <v>2005</v>
      </c>
      <c r="O43" s="24">
        <v>2006</v>
      </c>
      <c r="P43" s="24">
        <v>2007</v>
      </c>
      <c r="Q43" s="24">
        <v>2008</v>
      </c>
      <c r="R43" s="24">
        <v>2009</v>
      </c>
      <c r="S43" s="24">
        <v>2010</v>
      </c>
      <c r="T43" s="24">
        <v>2011</v>
      </c>
      <c r="U43" s="24">
        <v>2012</v>
      </c>
      <c r="V43" s="24">
        <v>2013</v>
      </c>
      <c r="W43" s="24">
        <v>2014</v>
      </c>
      <c r="X43" s="24">
        <v>2015</v>
      </c>
      <c r="Y43" s="24">
        <v>2016</v>
      </c>
      <c r="Z43" s="24">
        <v>2017</v>
      </c>
      <c r="AA43" s="24">
        <v>2018</v>
      </c>
      <c r="AB43" s="24">
        <v>2019</v>
      </c>
      <c r="AC43" s="24">
        <v>2020</v>
      </c>
      <c r="AD43" s="24">
        <v>2021</v>
      </c>
    </row>
    <row r="44" spans="1:30" s="22" customFormat="1" ht="15">
      <c r="A44" s="25" t="s">
        <v>11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26">
        <v>0</v>
      </c>
      <c r="AD44" s="26">
        <v>0</v>
      </c>
    </row>
    <row r="45" spans="1:30" s="22" customFormat="1" ht="15">
      <c r="A45" s="25" t="s">
        <v>12</v>
      </c>
      <c r="B45" s="40">
        <v>421</v>
      </c>
      <c r="C45" s="40">
        <v>465</v>
      </c>
      <c r="D45" s="40">
        <v>622</v>
      </c>
      <c r="E45" s="40">
        <v>590</v>
      </c>
      <c r="F45" s="40">
        <v>469</v>
      </c>
      <c r="G45" s="40">
        <v>497</v>
      </c>
      <c r="H45" s="40">
        <v>507</v>
      </c>
      <c r="I45" s="40">
        <v>538</v>
      </c>
      <c r="J45" s="40">
        <v>687</v>
      </c>
      <c r="K45" s="40">
        <v>658</v>
      </c>
      <c r="L45" s="40">
        <v>502</v>
      </c>
      <c r="M45" s="40">
        <v>461</v>
      </c>
      <c r="N45" s="40">
        <v>517</v>
      </c>
      <c r="O45" s="40">
        <v>491</v>
      </c>
      <c r="P45" s="40">
        <v>574</v>
      </c>
      <c r="Q45" s="40">
        <v>592</v>
      </c>
      <c r="R45" s="40">
        <v>457</v>
      </c>
      <c r="S45" s="40">
        <v>418</v>
      </c>
      <c r="T45" s="40">
        <v>354</v>
      </c>
      <c r="U45" s="40">
        <v>287</v>
      </c>
      <c r="V45" s="40">
        <v>254</v>
      </c>
      <c r="W45" s="40">
        <v>220</v>
      </c>
      <c r="X45" s="40">
        <v>223</v>
      </c>
      <c r="Y45" s="40">
        <v>195</v>
      </c>
      <c r="Z45" s="40">
        <v>197</v>
      </c>
      <c r="AA45" s="40">
        <v>208</v>
      </c>
      <c r="AB45" s="40">
        <v>201</v>
      </c>
      <c r="AC45" s="26">
        <v>201</v>
      </c>
      <c r="AD45" s="26">
        <v>193</v>
      </c>
    </row>
    <row r="46" spans="1:30" s="22" customFormat="1" ht="15">
      <c r="A46" s="25" t="s">
        <v>13</v>
      </c>
      <c r="B46" s="40">
        <v>1150</v>
      </c>
      <c r="C46" s="40">
        <v>1107</v>
      </c>
      <c r="D46" s="40">
        <v>1118</v>
      </c>
      <c r="E46" s="40">
        <v>1350</v>
      </c>
      <c r="F46" s="40">
        <v>1021</v>
      </c>
      <c r="G46" s="40">
        <v>980</v>
      </c>
      <c r="H46" s="40">
        <v>1176</v>
      </c>
      <c r="I46" s="40">
        <v>1143</v>
      </c>
      <c r="J46" s="40">
        <v>1163</v>
      </c>
      <c r="K46" s="40">
        <v>1455</v>
      </c>
      <c r="L46" s="40">
        <v>1220</v>
      </c>
      <c r="M46" s="40">
        <v>1030</v>
      </c>
      <c r="N46" s="40">
        <v>1060</v>
      </c>
      <c r="O46" s="40">
        <v>1068</v>
      </c>
      <c r="P46" s="40">
        <v>925</v>
      </c>
      <c r="Q46" s="40">
        <v>1098</v>
      </c>
      <c r="R46" s="40">
        <v>1050</v>
      </c>
      <c r="S46" s="40">
        <v>817</v>
      </c>
      <c r="T46" s="40">
        <v>809</v>
      </c>
      <c r="U46" s="40">
        <v>682</v>
      </c>
      <c r="V46" s="40">
        <v>616</v>
      </c>
      <c r="W46" s="40">
        <v>521</v>
      </c>
      <c r="X46" s="40">
        <v>497</v>
      </c>
      <c r="Y46" s="40">
        <v>453</v>
      </c>
      <c r="Z46" s="40">
        <v>462</v>
      </c>
      <c r="AA46" s="40">
        <v>483</v>
      </c>
      <c r="AB46" s="40">
        <v>495</v>
      </c>
      <c r="AC46" s="26">
        <v>493</v>
      </c>
      <c r="AD46" s="26">
        <v>547</v>
      </c>
    </row>
    <row r="47" spans="1:30" s="22" customFormat="1" ht="15">
      <c r="A47" s="27" t="s">
        <v>14</v>
      </c>
      <c r="B47" s="40">
        <v>1950</v>
      </c>
      <c r="C47" s="40">
        <v>1707</v>
      </c>
      <c r="D47" s="40">
        <v>1589</v>
      </c>
      <c r="E47" s="40">
        <v>1435</v>
      </c>
      <c r="F47" s="40">
        <v>1366</v>
      </c>
      <c r="G47" s="40">
        <v>1199</v>
      </c>
      <c r="H47" s="40">
        <v>1350</v>
      </c>
      <c r="I47" s="40">
        <v>1536</v>
      </c>
      <c r="J47" s="40">
        <v>1462</v>
      </c>
      <c r="K47" s="40">
        <v>1438</v>
      </c>
      <c r="L47" s="40">
        <v>1613</v>
      </c>
      <c r="M47" s="40">
        <v>1313</v>
      </c>
      <c r="N47" s="40">
        <v>1369</v>
      </c>
      <c r="O47" s="40">
        <v>1300</v>
      </c>
      <c r="P47" s="40">
        <v>1108</v>
      </c>
      <c r="Q47" s="40">
        <v>1084</v>
      </c>
      <c r="R47" s="40">
        <v>1167</v>
      </c>
      <c r="S47" s="40">
        <v>1082</v>
      </c>
      <c r="T47" s="40">
        <v>925</v>
      </c>
      <c r="U47" s="40">
        <v>888</v>
      </c>
      <c r="V47" s="40">
        <v>769</v>
      </c>
      <c r="W47" s="40">
        <v>700</v>
      </c>
      <c r="X47" s="40">
        <v>595</v>
      </c>
      <c r="Y47" s="40">
        <v>553</v>
      </c>
      <c r="Z47" s="40">
        <v>555</v>
      </c>
      <c r="AA47" s="40">
        <v>607</v>
      </c>
      <c r="AB47" s="40">
        <v>625</v>
      </c>
      <c r="AC47" s="26">
        <v>655</v>
      </c>
      <c r="AD47" s="26">
        <v>745</v>
      </c>
    </row>
    <row r="48" spans="1:30" s="22" customFormat="1" ht="15">
      <c r="A48" s="23" t="s">
        <v>15</v>
      </c>
      <c r="B48" s="29">
        <v>3521</v>
      </c>
      <c r="C48" s="29">
        <v>3280</v>
      </c>
      <c r="D48" s="29">
        <v>3328</v>
      </c>
      <c r="E48" s="29">
        <v>3374</v>
      </c>
      <c r="F48" s="29">
        <v>2856</v>
      </c>
      <c r="G48" s="29">
        <v>2676</v>
      </c>
      <c r="H48" s="29">
        <v>3033</v>
      </c>
      <c r="I48" s="29">
        <v>3216</v>
      </c>
      <c r="J48" s="29">
        <v>3312</v>
      </c>
      <c r="K48" s="29">
        <v>3551</v>
      </c>
      <c r="L48" s="29">
        <v>3335</v>
      </c>
      <c r="M48" s="29">
        <v>2804</v>
      </c>
      <c r="N48" s="29">
        <v>2946</v>
      </c>
      <c r="O48" s="29">
        <v>2858</v>
      </c>
      <c r="P48" s="29">
        <v>2607</v>
      </c>
      <c r="Q48" s="29">
        <v>2774</v>
      </c>
      <c r="R48" s="29">
        <v>2674</v>
      </c>
      <c r="S48" s="29">
        <v>2317</v>
      </c>
      <c r="T48" s="29">
        <v>2088</v>
      </c>
      <c r="U48" s="29">
        <v>1856</v>
      </c>
      <c r="V48" s="29">
        <v>1639</v>
      </c>
      <c r="W48" s="29">
        <v>1441</v>
      </c>
      <c r="X48" s="29">
        <v>1315</v>
      </c>
      <c r="Y48" s="29">
        <v>1202</v>
      </c>
      <c r="Z48" s="29">
        <v>1214</v>
      </c>
      <c r="AA48" s="29">
        <v>1298</v>
      </c>
      <c r="AB48" s="29">
        <v>1321</v>
      </c>
      <c r="AC48" s="29">
        <v>1349</v>
      </c>
      <c r="AD48" s="29">
        <v>1485</v>
      </c>
    </row>
    <row r="50" spans="2:29"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3" spans="2:29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</row>
    <row r="54" spans="2:29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</row>
    <row r="55" spans="2:29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</row>
    <row r="56" spans="2:29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</sheetData>
  <phoneticPr fontId="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9483-5786-4627-9498-CD11E1DF60E1}">
  <dimension ref="A1:P15"/>
  <sheetViews>
    <sheetView zoomScale="85" zoomScaleNormal="85" workbookViewId="0">
      <selection activeCell="I24" sqref="I24"/>
    </sheetView>
  </sheetViews>
  <sheetFormatPr defaultRowHeight="18.75"/>
  <cols>
    <col min="1" max="1" width="11.625" style="22" customWidth="1"/>
    <col min="2" max="16" width="6.5" style="22" customWidth="1"/>
  </cols>
  <sheetData>
    <row r="1" spans="1:16">
      <c r="A1" s="159" t="s">
        <v>181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16">
      <c r="A2" s="160" t="s">
        <v>180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1:16">
      <c r="A3" s="118" t="s">
        <v>177</v>
      </c>
      <c r="B3" s="119">
        <v>2021</v>
      </c>
      <c r="C3" s="119">
        <v>2022</v>
      </c>
      <c r="D3" s="119">
        <v>2023</v>
      </c>
      <c r="E3" s="119">
        <v>2024</v>
      </c>
      <c r="F3" s="119">
        <v>2025</v>
      </c>
      <c r="G3" s="119">
        <v>2026</v>
      </c>
      <c r="H3" s="119">
        <v>2027</v>
      </c>
      <c r="I3" s="119">
        <v>2028</v>
      </c>
      <c r="J3" s="119">
        <v>2029</v>
      </c>
      <c r="K3" s="119">
        <v>2030</v>
      </c>
      <c r="L3" s="119">
        <v>2031</v>
      </c>
      <c r="M3" s="119">
        <v>2032</v>
      </c>
      <c r="N3" s="120">
        <v>2033</v>
      </c>
      <c r="O3" s="121">
        <v>2043</v>
      </c>
      <c r="P3" s="121">
        <v>2053</v>
      </c>
    </row>
    <row r="4" spans="1:16">
      <c r="A4" s="122">
        <v>1</v>
      </c>
      <c r="B4" s="126">
        <v>0</v>
      </c>
      <c r="C4" s="126">
        <v>0</v>
      </c>
      <c r="D4" s="126">
        <v>0</v>
      </c>
      <c r="E4" s="126">
        <v>0</v>
      </c>
      <c r="F4" s="126">
        <v>0</v>
      </c>
      <c r="G4" s="126">
        <v>0</v>
      </c>
      <c r="H4" s="126">
        <v>0</v>
      </c>
      <c r="I4" s="126">
        <v>0</v>
      </c>
      <c r="J4" s="126">
        <v>0</v>
      </c>
      <c r="K4" s="126">
        <v>1</v>
      </c>
      <c r="L4" s="126">
        <v>2</v>
      </c>
      <c r="M4" s="126">
        <v>3</v>
      </c>
      <c r="N4" s="127">
        <v>6</v>
      </c>
      <c r="O4" s="126">
        <v>41</v>
      </c>
      <c r="P4" s="126">
        <v>45</v>
      </c>
    </row>
    <row r="5" spans="1:16">
      <c r="A5" s="118">
        <v>0.9</v>
      </c>
      <c r="B5" s="126">
        <v>0</v>
      </c>
      <c r="C5" s="126">
        <v>0</v>
      </c>
      <c r="D5" s="126">
        <v>0</v>
      </c>
      <c r="E5" s="126">
        <v>0</v>
      </c>
      <c r="F5" s="126">
        <v>0</v>
      </c>
      <c r="G5" s="126">
        <v>0</v>
      </c>
      <c r="H5" s="126">
        <v>0</v>
      </c>
      <c r="I5" s="126">
        <v>0</v>
      </c>
      <c r="J5" s="126">
        <v>1</v>
      </c>
      <c r="K5" s="126">
        <v>2</v>
      </c>
      <c r="L5" s="126">
        <v>7</v>
      </c>
      <c r="M5" s="126">
        <v>14</v>
      </c>
      <c r="N5" s="127">
        <v>21</v>
      </c>
      <c r="O5" s="126">
        <v>67</v>
      </c>
      <c r="P5" s="126">
        <v>69</v>
      </c>
    </row>
    <row r="6" spans="1:16">
      <c r="A6" s="118">
        <v>0.8</v>
      </c>
      <c r="B6" s="126">
        <v>0</v>
      </c>
      <c r="C6" s="126">
        <v>0</v>
      </c>
      <c r="D6" s="126">
        <v>0</v>
      </c>
      <c r="E6" s="126">
        <v>0</v>
      </c>
      <c r="F6" s="126">
        <v>0</v>
      </c>
      <c r="G6" s="126">
        <v>0</v>
      </c>
      <c r="H6" s="126">
        <v>0</v>
      </c>
      <c r="I6" s="126">
        <v>1</v>
      </c>
      <c r="J6" s="126">
        <v>3</v>
      </c>
      <c r="K6" s="126">
        <v>9</v>
      </c>
      <c r="L6" s="126">
        <v>20</v>
      </c>
      <c r="M6" s="126">
        <v>32</v>
      </c>
      <c r="N6" s="127">
        <v>46</v>
      </c>
      <c r="O6" s="126">
        <v>86</v>
      </c>
      <c r="P6" s="126">
        <v>86</v>
      </c>
    </row>
    <row r="7" spans="1:16">
      <c r="A7" s="118">
        <v>0.7</v>
      </c>
      <c r="B7" s="126">
        <v>0</v>
      </c>
      <c r="C7" s="126">
        <v>0</v>
      </c>
      <c r="D7" s="126">
        <v>0</v>
      </c>
      <c r="E7" s="126">
        <v>0</v>
      </c>
      <c r="F7" s="126">
        <v>0</v>
      </c>
      <c r="G7" s="126">
        <v>0</v>
      </c>
      <c r="H7" s="126">
        <v>0</v>
      </c>
      <c r="I7" s="126">
        <v>2</v>
      </c>
      <c r="J7" s="126">
        <v>9</v>
      </c>
      <c r="K7" s="126">
        <v>25</v>
      </c>
      <c r="L7" s="126">
        <v>42</v>
      </c>
      <c r="M7" s="126">
        <v>61</v>
      </c>
      <c r="N7" s="127">
        <v>74</v>
      </c>
      <c r="O7" s="126">
        <v>96</v>
      </c>
      <c r="P7" s="126">
        <v>96</v>
      </c>
    </row>
    <row r="8" spans="1:16">
      <c r="A8" s="118">
        <v>0.6</v>
      </c>
      <c r="B8" s="126">
        <v>0</v>
      </c>
      <c r="C8" s="126">
        <v>0</v>
      </c>
      <c r="D8" s="126">
        <v>0</v>
      </c>
      <c r="E8" s="126">
        <v>0</v>
      </c>
      <c r="F8" s="126">
        <v>0</v>
      </c>
      <c r="G8" s="126">
        <v>0</v>
      </c>
      <c r="H8" s="126">
        <v>1</v>
      </c>
      <c r="I8" s="126">
        <v>7</v>
      </c>
      <c r="J8" s="126">
        <v>25</v>
      </c>
      <c r="K8" s="126">
        <v>48</v>
      </c>
      <c r="L8" s="126">
        <v>71</v>
      </c>
      <c r="M8" s="126">
        <v>85</v>
      </c>
      <c r="N8" s="127">
        <v>93</v>
      </c>
      <c r="O8" s="126">
        <v>99</v>
      </c>
      <c r="P8" s="126">
        <v>100</v>
      </c>
    </row>
    <row r="9" spans="1:16">
      <c r="A9" s="118">
        <v>0.5</v>
      </c>
      <c r="B9" s="126">
        <v>0</v>
      </c>
      <c r="C9" s="126">
        <v>0</v>
      </c>
      <c r="D9" s="126">
        <v>0</v>
      </c>
      <c r="E9" s="126">
        <v>0</v>
      </c>
      <c r="F9" s="126">
        <v>0</v>
      </c>
      <c r="G9" s="126">
        <v>0</v>
      </c>
      <c r="H9" s="126">
        <v>2</v>
      </c>
      <c r="I9" s="126">
        <v>18</v>
      </c>
      <c r="J9" s="126">
        <v>49</v>
      </c>
      <c r="K9" s="126">
        <v>75</v>
      </c>
      <c r="L9" s="126">
        <v>91</v>
      </c>
      <c r="M9" s="126">
        <v>97</v>
      </c>
      <c r="N9" s="127">
        <v>99</v>
      </c>
      <c r="O9" s="126">
        <v>100</v>
      </c>
      <c r="P9" s="126">
        <v>100</v>
      </c>
    </row>
    <row r="10" spans="1:16">
      <c r="A10" s="118">
        <v>0.4</v>
      </c>
      <c r="B10" s="126">
        <v>0</v>
      </c>
      <c r="C10" s="126">
        <v>0</v>
      </c>
      <c r="D10" s="126">
        <v>0</v>
      </c>
      <c r="E10" s="126">
        <v>0</v>
      </c>
      <c r="F10" s="126">
        <v>0</v>
      </c>
      <c r="G10" s="126">
        <v>0</v>
      </c>
      <c r="H10" s="126">
        <v>8</v>
      </c>
      <c r="I10" s="126">
        <v>39</v>
      </c>
      <c r="J10" s="126">
        <v>75</v>
      </c>
      <c r="K10" s="126">
        <v>94</v>
      </c>
      <c r="L10" s="126">
        <v>98</v>
      </c>
      <c r="M10" s="126">
        <v>100</v>
      </c>
      <c r="N10" s="127">
        <v>100</v>
      </c>
      <c r="O10" s="126">
        <v>100</v>
      </c>
      <c r="P10" s="126">
        <v>100</v>
      </c>
    </row>
    <row r="11" spans="1:16">
      <c r="A11" s="118">
        <v>0.3</v>
      </c>
      <c r="B11" s="126">
        <v>0</v>
      </c>
      <c r="C11" s="126">
        <v>0</v>
      </c>
      <c r="D11" s="126">
        <v>0</v>
      </c>
      <c r="E11" s="126">
        <v>0</v>
      </c>
      <c r="F11" s="126">
        <v>0</v>
      </c>
      <c r="G11" s="126">
        <v>1</v>
      </c>
      <c r="H11" s="126">
        <v>19</v>
      </c>
      <c r="I11" s="126">
        <v>67</v>
      </c>
      <c r="J11" s="126">
        <v>93</v>
      </c>
      <c r="K11" s="126">
        <v>99</v>
      </c>
      <c r="L11" s="126">
        <v>100</v>
      </c>
      <c r="M11" s="126">
        <v>100</v>
      </c>
      <c r="N11" s="127">
        <v>100</v>
      </c>
      <c r="O11" s="126">
        <v>100</v>
      </c>
      <c r="P11" s="126">
        <v>100</v>
      </c>
    </row>
    <row r="12" spans="1:16">
      <c r="A12" s="118">
        <v>0.2</v>
      </c>
      <c r="B12" s="126">
        <v>0</v>
      </c>
      <c r="C12" s="126">
        <v>0</v>
      </c>
      <c r="D12" s="126">
        <v>0</v>
      </c>
      <c r="E12" s="126">
        <v>0</v>
      </c>
      <c r="F12" s="126">
        <v>0</v>
      </c>
      <c r="G12" s="126">
        <v>4</v>
      </c>
      <c r="H12" s="126">
        <v>42</v>
      </c>
      <c r="I12" s="126">
        <v>88</v>
      </c>
      <c r="J12" s="126">
        <v>99</v>
      </c>
      <c r="K12" s="126">
        <v>100</v>
      </c>
      <c r="L12" s="126">
        <v>100</v>
      </c>
      <c r="M12" s="126">
        <v>100</v>
      </c>
      <c r="N12" s="127">
        <v>100</v>
      </c>
      <c r="O12" s="126">
        <v>100</v>
      </c>
      <c r="P12" s="126">
        <v>100</v>
      </c>
    </row>
    <row r="13" spans="1:16">
      <c r="A13" s="118">
        <v>0.1</v>
      </c>
      <c r="B13" s="126">
        <v>0</v>
      </c>
      <c r="C13" s="126">
        <v>0</v>
      </c>
      <c r="D13" s="126">
        <v>0</v>
      </c>
      <c r="E13" s="126">
        <v>0</v>
      </c>
      <c r="F13" s="126">
        <v>0</v>
      </c>
      <c r="G13" s="126">
        <v>13</v>
      </c>
      <c r="H13" s="126">
        <v>71</v>
      </c>
      <c r="I13" s="126">
        <v>98</v>
      </c>
      <c r="J13" s="126">
        <v>100</v>
      </c>
      <c r="K13" s="126">
        <v>100</v>
      </c>
      <c r="L13" s="126">
        <v>100</v>
      </c>
      <c r="M13" s="126">
        <v>100</v>
      </c>
      <c r="N13" s="127">
        <v>100</v>
      </c>
      <c r="O13" s="126">
        <v>100</v>
      </c>
      <c r="P13" s="126">
        <v>100</v>
      </c>
    </row>
    <row r="14" spans="1:16">
      <c r="A14" s="125">
        <v>0</v>
      </c>
      <c r="B14" s="126">
        <v>0</v>
      </c>
      <c r="C14" s="126">
        <v>0</v>
      </c>
      <c r="D14" s="126">
        <v>0</v>
      </c>
      <c r="E14" s="126">
        <v>0</v>
      </c>
      <c r="F14" s="126">
        <v>0</v>
      </c>
      <c r="G14" s="126">
        <v>30</v>
      </c>
      <c r="H14" s="126">
        <v>90</v>
      </c>
      <c r="I14" s="126">
        <v>100</v>
      </c>
      <c r="J14" s="126">
        <v>100</v>
      </c>
      <c r="K14" s="126">
        <v>100</v>
      </c>
      <c r="L14" s="126">
        <v>100</v>
      </c>
      <c r="M14" s="126">
        <v>100</v>
      </c>
      <c r="N14" s="127">
        <v>100</v>
      </c>
      <c r="O14" s="126">
        <v>100</v>
      </c>
      <c r="P14" s="126">
        <v>100</v>
      </c>
    </row>
    <row r="15" spans="1:16">
      <c r="A15" s="118" t="s">
        <v>178</v>
      </c>
      <c r="B15" s="126">
        <v>0</v>
      </c>
      <c r="C15" s="126">
        <v>0</v>
      </c>
      <c r="D15" s="126">
        <v>0</v>
      </c>
      <c r="E15" s="126">
        <v>0</v>
      </c>
      <c r="F15" s="126">
        <v>0</v>
      </c>
      <c r="G15" s="126">
        <v>0</v>
      </c>
      <c r="H15" s="126">
        <v>0</v>
      </c>
      <c r="I15" s="126">
        <v>1</v>
      </c>
      <c r="J15" s="126">
        <v>4</v>
      </c>
      <c r="K15" s="126">
        <v>10</v>
      </c>
      <c r="L15" s="126">
        <v>21</v>
      </c>
      <c r="M15" s="126">
        <v>34</v>
      </c>
      <c r="N15" s="127">
        <v>48</v>
      </c>
      <c r="O15" s="126">
        <v>89</v>
      </c>
      <c r="P15" s="126">
        <v>92</v>
      </c>
    </row>
  </sheetData>
  <mergeCells count="2">
    <mergeCell ref="A1:P1"/>
    <mergeCell ref="A2:P2"/>
  </mergeCells>
  <phoneticPr fontId="4"/>
  <conditionalFormatting sqref="B4:P15">
    <cfRule type="colorScale" priority="2">
      <colorScale>
        <cfvo type="min"/>
        <cfvo type="max"/>
        <color theme="0"/>
        <color theme="7"/>
      </colorScale>
    </cfRule>
    <cfRule type="colorScale" priority="3">
      <colorScale>
        <cfvo type="min"/>
        <cfvo type="max"/>
        <color theme="0"/>
        <color theme="5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1019-37D0-4393-BE35-64A69BA21A0C}">
  <dimension ref="A1:P15"/>
  <sheetViews>
    <sheetView zoomScale="85" zoomScaleNormal="85" workbookViewId="0">
      <selection activeCell="E7" sqref="E7"/>
    </sheetView>
  </sheetViews>
  <sheetFormatPr defaultRowHeight="18.75"/>
  <cols>
    <col min="1" max="1" width="11.625" style="22" customWidth="1"/>
    <col min="2" max="16" width="6.5" style="22" customWidth="1"/>
  </cols>
  <sheetData>
    <row r="1" spans="1:16">
      <c r="A1" s="159" t="s">
        <v>182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16">
      <c r="A2" s="160" t="s">
        <v>180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1:16">
      <c r="A3" s="118" t="s">
        <v>177</v>
      </c>
      <c r="B3" s="119">
        <v>2021</v>
      </c>
      <c r="C3" s="119">
        <v>2022</v>
      </c>
      <c r="D3" s="119">
        <v>2023</v>
      </c>
      <c r="E3" s="119">
        <v>2024</v>
      </c>
      <c r="F3" s="119">
        <v>2025</v>
      </c>
      <c r="G3" s="119">
        <v>2026</v>
      </c>
      <c r="H3" s="119">
        <v>2027</v>
      </c>
      <c r="I3" s="119">
        <v>2028</v>
      </c>
      <c r="J3" s="119">
        <v>2029</v>
      </c>
      <c r="K3" s="119">
        <v>2030</v>
      </c>
      <c r="L3" s="119">
        <v>2031</v>
      </c>
      <c r="M3" s="119">
        <v>2032</v>
      </c>
      <c r="N3" s="120">
        <v>2033</v>
      </c>
      <c r="O3" s="121">
        <v>2043</v>
      </c>
      <c r="P3" s="121">
        <v>2053</v>
      </c>
    </row>
    <row r="4" spans="1:16">
      <c r="A4" s="122">
        <v>1</v>
      </c>
      <c r="B4" s="126">
        <v>0</v>
      </c>
      <c r="C4" s="126">
        <v>0</v>
      </c>
      <c r="D4" s="126">
        <v>0</v>
      </c>
      <c r="E4" s="126">
        <v>0</v>
      </c>
      <c r="F4" s="126">
        <v>12</v>
      </c>
      <c r="G4" s="126">
        <v>26</v>
      </c>
      <c r="H4" s="126">
        <v>39</v>
      </c>
      <c r="I4" s="126">
        <v>58</v>
      </c>
      <c r="J4" s="126">
        <v>71</v>
      </c>
      <c r="K4" s="126">
        <v>80</v>
      </c>
      <c r="L4" s="126">
        <v>86</v>
      </c>
      <c r="M4" s="126">
        <v>90</v>
      </c>
      <c r="N4" s="127">
        <v>93</v>
      </c>
      <c r="O4" s="126">
        <v>100</v>
      </c>
      <c r="P4" s="126">
        <v>100</v>
      </c>
    </row>
    <row r="5" spans="1:16">
      <c r="A5" s="118">
        <v>0.9</v>
      </c>
      <c r="B5" s="126">
        <v>0</v>
      </c>
      <c r="C5" s="126">
        <v>0</v>
      </c>
      <c r="D5" s="126">
        <v>0</v>
      </c>
      <c r="E5" s="126">
        <v>1</v>
      </c>
      <c r="F5" s="126">
        <v>23</v>
      </c>
      <c r="G5" s="126">
        <v>47</v>
      </c>
      <c r="H5" s="126">
        <v>62</v>
      </c>
      <c r="I5" s="126">
        <v>79</v>
      </c>
      <c r="J5" s="126">
        <v>88</v>
      </c>
      <c r="K5" s="126">
        <v>93</v>
      </c>
      <c r="L5" s="126">
        <v>96</v>
      </c>
      <c r="M5" s="126">
        <v>97</v>
      </c>
      <c r="N5" s="127">
        <v>98</v>
      </c>
      <c r="O5" s="126">
        <v>100</v>
      </c>
      <c r="P5" s="126">
        <v>100</v>
      </c>
    </row>
    <row r="6" spans="1:16">
      <c r="A6" s="118">
        <v>0.8</v>
      </c>
      <c r="B6" s="126">
        <v>0</v>
      </c>
      <c r="C6" s="126">
        <v>0</v>
      </c>
      <c r="D6" s="126">
        <v>0</v>
      </c>
      <c r="E6" s="126">
        <v>2</v>
      </c>
      <c r="F6" s="126">
        <v>40</v>
      </c>
      <c r="G6" s="126">
        <v>66</v>
      </c>
      <c r="H6" s="126">
        <v>81</v>
      </c>
      <c r="I6" s="126">
        <v>92</v>
      </c>
      <c r="J6" s="126">
        <v>98</v>
      </c>
      <c r="K6" s="126">
        <v>99</v>
      </c>
      <c r="L6" s="126">
        <v>99</v>
      </c>
      <c r="M6" s="126">
        <v>100</v>
      </c>
      <c r="N6" s="127">
        <v>100</v>
      </c>
      <c r="O6" s="126">
        <v>100</v>
      </c>
      <c r="P6" s="126">
        <v>100</v>
      </c>
    </row>
    <row r="7" spans="1:16">
      <c r="A7" s="118">
        <v>0.7</v>
      </c>
      <c r="B7" s="126">
        <v>0</v>
      </c>
      <c r="C7" s="126">
        <v>0</v>
      </c>
      <c r="D7" s="126">
        <v>0</v>
      </c>
      <c r="E7" s="126">
        <v>6</v>
      </c>
      <c r="F7" s="126">
        <v>62</v>
      </c>
      <c r="G7" s="126">
        <v>83</v>
      </c>
      <c r="H7" s="126">
        <v>93</v>
      </c>
      <c r="I7" s="126">
        <v>98</v>
      </c>
      <c r="J7" s="126">
        <v>100</v>
      </c>
      <c r="K7" s="126">
        <v>100</v>
      </c>
      <c r="L7" s="126">
        <v>100</v>
      </c>
      <c r="M7" s="126">
        <v>100</v>
      </c>
      <c r="N7" s="127">
        <v>100</v>
      </c>
      <c r="O7" s="126">
        <v>100</v>
      </c>
      <c r="P7" s="126">
        <v>100</v>
      </c>
    </row>
    <row r="8" spans="1:16">
      <c r="A8" s="118">
        <v>0.6</v>
      </c>
      <c r="B8" s="126">
        <v>0</v>
      </c>
      <c r="C8" s="126">
        <v>0</v>
      </c>
      <c r="D8" s="126">
        <v>0</v>
      </c>
      <c r="E8" s="126">
        <v>12</v>
      </c>
      <c r="F8" s="126">
        <v>80</v>
      </c>
      <c r="G8" s="126">
        <v>94</v>
      </c>
      <c r="H8" s="126">
        <v>98</v>
      </c>
      <c r="I8" s="126">
        <v>100</v>
      </c>
      <c r="J8" s="126">
        <v>100</v>
      </c>
      <c r="K8" s="126">
        <v>100</v>
      </c>
      <c r="L8" s="126">
        <v>100</v>
      </c>
      <c r="M8" s="126">
        <v>100</v>
      </c>
      <c r="N8" s="127">
        <v>100</v>
      </c>
      <c r="O8" s="126">
        <v>100</v>
      </c>
      <c r="P8" s="126">
        <v>100</v>
      </c>
    </row>
    <row r="9" spans="1:16">
      <c r="A9" s="118">
        <v>0.5</v>
      </c>
      <c r="B9" s="126">
        <v>0</v>
      </c>
      <c r="C9" s="126">
        <v>0</v>
      </c>
      <c r="D9" s="126">
        <v>0</v>
      </c>
      <c r="E9" s="126">
        <v>25</v>
      </c>
      <c r="F9" s="126">
        <v>92</v>
      </c>
      <c r="G9" s="126">
        <v>99</v>
      </c>
      <c r="H9" s="126">
        <v>100</v>
      </c>
      <c r="I9" s="126">
        <v>100</v>
      </c>
      <c r="J9" s="126">
        <v>100</v>
      </c>
      <c r="K9" s="126">
        <v>100</v>
      </c>
      <c r="L9" s="126">
        <v>100</v>
      </c>
      <c r="M9" s="126">
        <v>100</v>
      </c>
      <c r="N9" s="127">
        <v>100</v>
      </c>
      <c r="O9" s="126">
        <v>100</v>
      </c>
      <c r="P9" s="126">
        <v>100</v>
      </c>
    </row>
    <row r="10" spans="1:16">
      <c r="A10" s="118">
        <v>0.4</v>
      </c>
      <c r="B10" s="126">
        <v>0</v>
      </c>
      <c r="C10" s="126">
        <v>0</v>
      </c>
      <c r="D10" s="126">
        <v>0</v>
      </c>
      <c r="E10" s="126">
        <v>43</v>
      </c>
      <c r="F10" s="126">
        <v>98</v>
      </c>
      <c r="G10" s="126">
        <v>100</v>
      </c>
      <c r="H10" s="126">
        <v>100</v>
      </c>
      <c r="I10" s="126">
        <v>100</v>
      </c>
      <c r="J10" s="126">
        <v>100</v>
      </c>
      <c r="K10" s="126">
        <v>100</v>
      </c>
      <c r="L10" s="126">
        <v>100</v>
      </c>
      <c r="M10" s="126">
        <v>100</v>
      </c>
      <c r="N10" s="127">
        <v>100</v>
      </c>
      <c r="O10" s="126">
        <v>100</v>
      </c>
      <c r="P10" s="126">
        <v>100</v>
      </c>
    </row>
    <row r="11" spans="1:16">
      <c r="A11" s="118">
        <v>0.3</v>
      </c>
      <c r="B11" s="126">
        <v>0</v>
      </c>
      <c r="C11" s="126">
        <v>0</v>
      </c>
      <c r="D11" s="126">
        <v>0</v>
      </c>
      <c r="E11" s="126">
        <v>64</v>
      </c>
      <c r="F11" s="126">
        <v>100</v>
      </c>
      <c r="G11" s="126">
        <v>100</v>
      </c>
      <c r="H11" s="126">
        <v>100</v>
      </c>
      <c r="I11" s="126">
        <v>100</v>
      </c>
      <c r="J11" s="126">
        <v>100</v>
      </c>
      <c r="K11" s="126">
        <v>100</v>
      </c>
      <c r="L11" s="126">
        <v>100</v>
      </c>
      <c r="M11" s="126">
        <v>100</v>
      </c>
      <c r="N11" s="127">
        <v>100</v>
      </c>
      <c r="O11" s="126">
        <v>100</v>
      </c>
      <c r="P11" s="126">
        <v>100</v>
      </c>
    </row>
    <row r="12" spans="1:16">
      <c r="A12" s="118">
        <v>0.2</v>
      </c>
      <c r="B12" s="126">
        <v>0</v>
      </c>
      <c r="C12" s="126">
        <v>0</v>
      </c>
      <c r="D12" s="126">
        <v>0</v>
      </c>
      <c r="E12" s="126">
        <v>82</v>
      </c>
      <c r="F12" s="126">
        <v>100</v>
      </c>
      <c r="G12" s="126">
        <v>100</v>
      </c>
      <c r="H12" s="126">
        <v>100</v>
      </c>
      <c r="I12" s="126">
        <v>100</v>
      </c>
      <c r="J12" s="126">
        <v>100</v>
      </c>
      <c r="K12" s="126">
        <v>100</v>
      </c>
      <c r="L12" s="126">
        <v>100</v>
      </c>
      <c r="M12" s="126">
        <v>100</v>
      </c>
      <c r="N12" s="127">
        <v>100</v>
      </c>
      <c r="O12" s="126">
        <v>100</v>
      </c>
      <c r="P12" s="126">
        <v>100</v>
      </c>
    </row>
    <row r="13" spans="1:16">
      <c r="A13" s="118">
        <v>0.1</v>
      </c>
      <c r="B13" s="126">
        <v>0</v>
      </c>
      <c r="C13" s="126">
        <v>0</v>
      </c>
      <c r="D13" s="126">
        <v>0</v>
      </c>
      <c r="E13" s="126">
        <v>93</v>
      </c>
      <c r="F13" s="126">
        <v>100</v>
      </c>
      <c r="G13" s="126">
        <v>100</v>
      </c>
      <c r="H13" s="126">
        <v>100</v>
      </c>
      <c r="I13" s="126">
        <v>100</v>
      </c>
      <c r="J13" s="126">
        <v>100</v>
      </c>
      <c r="K13" s="126">
        <v>100</v>
      </c>
      <c r="L13" s="126">
        <v>100</v>
      </c>
      <c r="M13" s="126">
        <v>100</v>
      </c>
      <c r="N13" s="127">
        <v>100</v>
      </c>
      <c r="O13" s="126">
        <v>100</v>
      </c>
      <c r="P13" s="126">
        <v>100</v>
      </c>
    </row>
    <row r="14" spans="1:16">
      <c r="A14" s="125">
        <v>0</v>
      </c>
      <c r="B14" s="126">
        <v>0</v>
      </c>
      <c r="C14" s="126">
        <v>0</v>
      </c>
      <c r="D14" s="126">
        <v>0</v>
      </c>
      <c r="E14" s="126">
        <v>99</v>
      </c>
      <c r="F14" s="126">
        <v>100</v>
      </c>
      <c r="G14" s="126">
        <v>100</v>
      </c>
      <c r="H14" s="126">
        <v>100</v>
      </c>
      <c r="I14" s="126">
        <v>100</v>
      </c>
      <c r="J14" s="126">
        <v>100</v>
      </c>
      <c r="K14" s="126">
        <v>100</v>
      </c>
      <c r="L14" s="126">
        <v>100</v>
      </c>
      <c r="M14" s="126">
        <v>100</v>
      </c>
      <c r="N14" s="127">
        <v>100</v>
      </c>
      <c r="O14" s="126">
        <v>100</v>
      </c>
      <c r="P14" s="126">
        <v>100</v>
      </c>
    </row>
    <row r="15" spans="1:16">
      <c r="A15" s="118" t="s">
        <v>178</v>
      </c>
      <c r="B15" s="126">
        <v>0</v>
      </c>
      <c r="C15" s="126">
        <v>0</v>
      </c>
      <c r="D15" s="126">
        <v>0</v>
      </c>
      <c r="E15" s="126">
        <v>0</v>
      </c>
      <c r="F15" s="126">
        <v>21</v>
      </c>
      <c r="G15" s="126">
        <v>50</v>
      </c>
      <c r="H15" s="126">
        <v>68</v>
      </c>
      <c r="I15" s="126">
        <v>82</v>
      </c>
      <c r="J15" s="126">
        <v>90</v>
      </c>
      <c r="K15" s="126">
        <v>95</v>
      </c>
      <c r="L15" s="126">
        <v>98</v>
      </c>
      <c r="M15" s="126">
        <v>99</v>
      </c>
      <c r="N15" s="127">
        <v>99</v>
      </c>
      <c r="O15" s="126">
        <v>100</v>
      </c>
      <c r="P15" s="126">
        <v>100</v>
      </c>
    </row>
  </sheetData>
  <mergeCells count="2">
    <mergeCell ref="A1:P1"/>
    <mergeCell ref="A2:P2"/>
  </mergeCells>
  <phoneticPr fontId="4"/>
  <conditionalFormatting sqref="B4:P15">
    <cfRule type="colorScale" priority="1">
      <colorScale>
        <cfvo type="min"/>
        <cfvo type="max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1489-2D85-40AA-9A59-5B65AE75D4AE}">
  <dimension ref="A1:P15"/>
  <sheetViews>
    <sheetView zoomScale="85" zoomScaleNormal="85" workbookViewId="0">
      <selection activeCell="G23" sqref="G23"/>
    </sheetView>
  </sheetViews>
  <sheetFormatPr defaultRowHeight="18.75"/>
  <cols>
    <col min="1" max="1" width="11.625" style="22" customWidth="1"/>
    <col min="2" max="16" width="6.5" style="22" customWidth="1"/>
  </cols>
  <sheetData>
    <row r="1" spans="1:16">
      <c r="A1" s="159" t="s">
        <v>183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16">
      <c r="A2" s="160" t="s">
        <v>180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1:16">
      <c r="A3" s="118" t="s">
        <v>177</v>
      </c>
      <c r="B3" s="119">
        <v>2021</v>
      </c>
      <c r="C3" s="119">
        <v>2022</v>
      </c>
      <c r="D3" s="119">
        <v>2023</v>
      </c>
      <c r="E3" s="119">
        <v>2024</v>
      </c>
      <c r="F3" s="119">
        <v>2025</v>
      </c>
      <c r="G3" s="119">
        <v>2026</v>
      </c>
      <c r="H3" s="119">
        <v>2027</v>
      </c>
      <c r="I3" s="119">
        <v>2028</v>
      </c>
      <c r="J3" s="119">
        <v>2029</v>
      </c>
      <c r="K3" s="119">
        <v>2030</v>
      </c>
      <c r="L3" s="119">
        <v>2031</v>
      </c>
      <c r="M3" s="119">
        <v>2032</v>
      </c>
      <c r="N3" s="120">
        <v>2033</v>
      </c>
      <c r="O3" s="121">
        <v>2043</v>
      </c>
      <c r="P3" s="121">
        <v>2053</v>
      </c>
    </row>
    <row r="4" spans="1:16">
      <c r="A4" s="122">
        <v>1</v>
      </c>
      <c r="B4" s="123">
        <v>15</v>
      </c>
      <c r="C4" s="123">
        <v>17</v>
      </c>
      <c r="D4" s="123">
        <v>16</v>
      </c>
      <c r="E4" s="123">
        <v>16</v>
      </c>
      <c r="F4" s="123">
        <v>18</v>
      </c>
      <c r="G4" s="123">
        <v>18</v>
      </c>
      <c r="H4" s="123">
        <v>19</v>
      </c>
      <c r="I4" s="123">
        <v>20</v>
      </c>
      <c r="J4" s="123">
        <v>22</v>
      </c>
      <c r="K4" s="123">
        <v>23</v>
      </c>
      <c r="L4" s="123">
        <v>25</v>
      </c>
      <c r="M4" s="123">
        <v>26</v>
      </c>
      <c r="N4" s="124">
        <v>28</v>
      </c>
      <c r="O4" s="123">
        <v>38</v>
      </c>
      <c r="P4" s="123">
        <v>39</v>
      </c>
    </row>
    <row r="5" spans="1:16">
      <c r="A5" s="118">
        <v>0.9</v>
      </c>
      <c r="B5" s="123">
        <v>15</v>
      </c>
      <c r="C5" s="123">
        <v>17</v>
      </c>
      <c r="D5" s="123">
        <v>16</v>
      </c>
      <c r="E5" s="123">
        <v>17</v>
      </c>
      <c r="F5" s="123">
        <v>18</v>
      </c>
      <c r="G5" s="123">
        <v>19</v>
      </c>
      <c r="H5" s="123">
        <v>20</v>
      </c>
      <c r="I5" s="123">
        <v>22</v>
      </c>
      <c r="J5" s="123">
        <v>24</v>
      </c>
      <c r="K5" s="123">
        <v>26</v>
      </c>
      <c r="L5" s="123">
        <v>28</v>
      </c>
      <c r="M5" s="123">
        <v>31</v>
      </c>
      <c r="N5" s="124">
        <v>33</v>
      </c>
      <c r="O5" s="123">
        <v>43</v>
      </c>
      <c r="P5" s="123">
        <v>44</v>
      </c>
    </row>
    <row r="6" spans="1:16">
      <c r="A6" s="118">
        <v>0.8</v>
      </c>
      <c r="B6" s="123">
        <v>15</v>
      </c>
      <c r="C6" s="123">
        <v>17</v>
      </c>
      <c r="D6" s="123">
        <v>16</v>
      </c>
      <c r="E6" s="123">
        <v>17</v>
      </c>
      <c r="F6" s="123">
        <v>19</v>
      </c>
      <c r="G6" s="123">
        <v>20</v>
      </c>
      <c r="H6" s="123">
        <v>22</v>
      </c>
      <c r="I6" s="123">
        <v>24</v>
      </c>
      <c r="J6" s="123">
        <v>27</v>
      </c>
      <c r="K6" s="123">
        <v>30</v>
      </c>
      <c r="L6" s="123">
        <v>33</v>
      </c>
      <c r="M6" s="123">
        <v>36</v>
      </c>
      <c r="N6" s="124">
        <v>39</v>
      </c>
      <c r="O6" s="123">
        <v>48</v>
      </c>
      <c r="P6" s="123">
        <v>48</v>
      </c>
    </row>
    <row r="7" spans="1:16">
      <c r="A7" s="118">
        <v>0.7</v>
      </c>
      <c r="B7" s="123">
        <v>15</v>
      </c>
      <c r="C7" s="123">
        <v>17</v>
      </c>
      <c r="D7" s="123">
        <v>16</v>
      </c>
      <c r="E7" s="123">
        <v>18</v>
      </c>
      <c r="F7" s="123">
        <v>20</v>
      </c>
      <c r="G7" s="123">
        <v>22</v>
      </c>
      <c r="H7" s="123">
        <v>24</v>
      </c>
      <c r="I7" s="123">
        <v>27</v>
      </c>
      <c r="J7" s="123">
        <v>31</v>
      </c>
      <c r="K7" s="123">
        <v>35</v>
      </c>
      <c r="L7" s="123">
        <v>39</v>
      </c>
      <c r="M7" s="123">
        <v>43</v>
      </c>
      <c r="N7" s="124">
        <v>46</v>
      </c>
      <c r="O7" s="123">
        <v>53</v>
      </c>
      <c r="P7" s="123">
        <v>53</v>
      </c>
    </row>
    <row r="8" spans="1:16">
      <c r="A8" s="118">
        <v>0.6</v>
      </c>
      <c r="B8" s="123">
        <v>15</v>
      </c>
      <c r="C8" s="123">
        <v>17</v>
      </c>
      <c r="D8" s="123">
        <v>16</v>
      </c>
      <c r="E8" s="123">
        <v>18</v>
      </c>
      <c r="F8" s="123">
        <v>21</v>
      </c>
      <c r="G8" s="123">
        <v>23</v>
      </c>
      <c r="H8" s="123">
        <v>26</v>
      </c>
      <c r="I8" s="123">
        <v>31</v>
      </c>
      <c r="J8" s="123">
        <v>35</v>
      </c>
      <c r="K8" s="123">
        <v>41</v>
      </c>
      <c r="L8" s="123">
        <v>46</v>
      </c>
      <c r="M8" s="123">
        <v>50</v>
      </c>
      <c r="N8" s="124">
        <v>53</v>
      </c>
      <c r="O8" s="123">
        <v>59</v>
      </c>
      <c r="P8" s="123">
        <v>58</v>
      </c>
    </row>
    <row r="9" spans="1:16">
      <c r="A9" s="118">
        <v>0.5</v>
      </c>
      <c r="B9" s="123">
        <v>15</v>
      </c>
      <c r="C9" s="123">
        <v>17</v>
      </c>
      <c r="D9" s="123">
        <v>16</v>
      </c>
      <c r="E9" s="123">
        <v>19</v>
      </c>
      <c r="F9" s="123">
        <v>22</v>
      </c>
      <c r="G9" s="123">
        <v>25</v>
      </c>
      <c r="H9" s="123">
        <v>29</v>
      </c>
      <c r="I9" s="123">
        <v>35</v>
      </c>
      <c r="J9" s="123">
        <v>41</v>
      </c>
      <c r="K9" s="123">
        <v>47</v>
      </c>
      <c r="L9" s="123">
        <v>53</v>
      </c>
      <c r="M9" s="123">
        <v>58</v>
      </c>
      <c r="N9" s="124">
        <v>61</v>
      </c>
      <c r="O9" s="123">
        <v>65</v>
      </c>
      <c r="P9" s="123">
        <v>65</v>
      </c>
    </row>
    <row r="10" spans="1:16">
      <c r="A10" s="118">
        <v>0.4</v>
      </c>
      <c r="B10" s="123">
        <v>15</v>
      </c>
      <c r="C10" s="123">
        <v>17</v>
      </c>
      <c r="D10" s="123">
        <v>16</v>
      </c>
      <c r="E10" s="123">
        <v>19</v>
      </c>
      <c r="F10" s="123">
        <v>23</v>
      </c>
      <c r="G10" s="123">
        <v>27</v>
      </c>
      <c r="H10" s="123">
        <v>32</v>
      </c>
      <c r="I10" s="123">
        <v>39</v>
      </c>
      <c r="J10" s="123">
        <v>47</v>
      </c>
      <c r="K10" s="123">
        <v>55</v>
      </c>
      <c r="L10" s="123">
        <v>61</v>
      </c>
      <c r="M10" s="123">
        <v>66</v>
      </c>
      <c r="N10" s="124">
        <v>69</v>
      </c>
      <c r="O10" s="123">
        <v>73</v>
      </c>
      <c r="P10" s="123">
        <v>73</v>
      </c>
    </row>
    <row r="11" spans="1:16">
      <c r="A11" s="118">
        <v>0.3</v>
      </c>
      <c r="B11" s="123">
        <v>15</v>
      </c>
      <c r="C11" s="123">
        <v>17</v>
      </c>
      <c r="D11" s="123">
        <v>16</v>
      </c>
      <c r="E11" s="123">
        <v>20</v>
      </c>
      <c r="F11" s="123">
        <v>25</v>
      </c>
      <c r="G11" s="123">
        <v>29</v>
      </c>
      <c r="H11" s="123">
        <v>36</v>
      </c>
      <c r="I11" s="123">
        <v>44</v>
      </c>
      <c r="J11" s="123">
        <v>54</v>
      </c>
      <c r="K11" s="123">
        <v>63</v>
      </c>
      <c r="L11" s="123">
        <v>70</v>
      </c>
      <c r="M11" s="123">
        <v>74</v>
      </c>
      <c r="N11" s="124">
        <v>77</v>
      </c>
      <c r="O11" s="123">
        <v>83</v>
      </c>
      <c r="P11" s="123">
        <v>83</v>
      </c>
    </row>
    <row r="12" spans="1:16">
      <c r="A12" s="118">
        <v>0.2</v>
      </c>
      <c r="B12" s="123">
        <v>15</v>
      </c>
      <c r="C12" s="123">
        <v>17</v>
      </c>
      <c r="D12" s="123">
        <v>16</v>
      </c>
      <c r="E12" s="123">
        <v>20</v>
      </c>
      <c r="F12" s="123">
        <v>26</v>
      </c>
      <c r="G12" s="123">
        <v>32</v>
      </c>
      <c r="H12" s="123">
        <v>40</v>
      </c>
      <c r="I12" s="123">
        <v>50</v>
      </c>
      <c r="J12" s="123">
        <v>62</v>
      </c>
      <c r="K12" s="123">
        <v>72</v>
      </c>
      <c r="L12" s="123">
        <v>79</v>
      </c>
      <c r="M12" s="123">
        <v>84</v>
      </c>
      <c r="N12" s="124">
        <v>88</v>
      </c>
      <c r="O12" s="123">
        <v>95</v>
      </c>
      <c r="P12" s="123">
        <v>95</v>
      </c>
    </row>
    <row r="13" spans="1:16">
      <c r="A13" s="118">
        <v>0.1</v>
      </c>
      <c r="B13" s="123">
        <v>15</v>
      </c>
      <c r="C13" s="123">
        <v>17</v>
      </c>
      <c r="D13" s="123">
        <v>16</v>
      </c>
      <c r="E13" s="123">
        <v>21</v>
      </c>
      <c r="F13" s="123">
        <v>28</v>
      </c>
      <c r="G13" s="123">
        <v>35</v>
      </c>
      <c r="H13" s="123">
        <v>44</v>
      </c>
      <c r="I13" s="123">
        <v>57</v>
      </c>
      <c r="J13" s="123">
        <v>70</v>
      </c>
      <c r="K13" s="123">
        <v>82</v>
      </c>
      <c r="L13" s="123">
        <v>90</v>
      </c>
      <c r="M13" s="123">
        <v>96</v>
      </c>
      <c r="N13" s="124">
        <v>100</v>
      </c>
      <c r="O13" s="123">
        <v>110</v>
      </c>
      <c r="P13" s="123">
        <v>110</v>
      </c>
    </row>
    <row r="14" spans="1:16">
      <c r="A14" s="125">
        <v>0</v>
      </c>
      <c r="B14" s="123">
        <v>15</v>
      </c>
      <c r="C14" s="123">
        <v>17</v>
      </c>
      <c r="D14" s="123">
        <v>16</v>
      </c>
      <c r="E14" s="123">
        <v>22</v>
      </c>
      <c r="F14" s="123">
        <v>30</v>
      </c>
      <c r="G14" s="123">
        <v>38</v>
      </c>
      <c r="H14" s="123">
        <v>49</v>
      </c>
      <c r="I14" s="123">
        <v>64</v>
      </c>
      <c r="J14" s="123">
        <v>80</v>
      </c>
      <c r="K14" s="123">
        <v>93</v>
      </c>
      <c r="L14" s="123">
        <v>103</v>
      </c>
      <c r="M14" s="123">
        <v>110</v>
      </c>
      <c r="N14" s="124">
        <v>115</v>
      </c>
      <c r="O14" s="123">
        <v>129</v>
      </c>
      <c r="P14" s="123">
        <v>129</v>
      </c>
    </row>
    <row r="15" spans="1:16">
      <c r="A15" s="118" t="s">
        <v>178</v>
      </c>
      <c r="B15" s="123">
        <v>15</v>
      </c>
      <c r="C15" s="123">
        <v>17</v>
      </c>
      <c r="D15" s="123">
        <v>16</v>
      </c>
      <c r="E15" s="123">
        <v>16</v>
      </c>
      <c r="F15" s="123">
        <v>18</v>
      </c>
      <c r="G15" s="123">
        <v>20</v>
      </c>
      <c r="H15" s="123">
        <v>21</v>
      </c>
      <c r="I15" s="123">
        <v>24</v>
      </c>
      <c r="J15" s="123">
        <v>27</v>
      </c>
      <c r="K15" s="123">
        <v>30</v>
      </c>
      <c r="L15" s="123">
        <v>33</v>
      </c>
      <c r="M15" s="123">
        <v>37</v>
      </c>
      <c r="N15" s="124">
        <v>40</v>
      </c>
      <c r="O15" s="123">
        <v>50</v>
      </c>
      <c r="P15" s="123">
        <v>49</v>
      </c>
    </row>
  </sheetData>
  <mergeCells count="2">
    <mergeCell ref="A1:P1"/>
    <mergeCell ref="A2:P2"/>
  </mergeCells>
  <phoneticPr fontId="4"/>
  <conditionalFormatting sqref="B4:P15">
    <cfRule type="colorScale" priority="4">
      <colorScale>
        <cfvo type="min"/>
        <cfvo type="max"/>
        <color theme="0"/>
        <color rgb="FF00B0F0"/>
      </colorScale>
    </cfRule>
    <cfRule type="colorScale" priority="5">
      <colorScale>
        <cfvo type="min"/>
        <cfvo type="max"/>
        <color theme="0"/>
        <color theme="8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A4D0-BAB6-4F2F-BF63-210692726DB9}">
  <dimension ref="A1:P30"/>
  <sheetViews>
    <sheetView zoomScale="85" zoomScaleNormal="85" workbookViewId="0">
      <selection activeCell="J26" sqref="J26"/>
    </sheetView>
  </sheetViews>
  <sheetFormatPr defaultRowHeight="18.75"/>
  <cols>
    <col min="1" max="1" width="11.625" style="22" customWidth="1"/>
    <col min="2" max="16" width="6.5" style="22" customWidth="1"/>
  </cols>
  <sheetData>
    <row r="1" spans="1:16">
      <c r="A1" s="159" t="s">
        <v>179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16">
      <c r="A2" s="160" t="s">
        <v>180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3" spans="1:16">
      <c r="A3" s="118" t="s">
        <v>177</v>
      </c>
      <c r="B3" s="119">
        <v>2021</v>
      </c>
      <c r="C3" s="119">
        <v>2022</v>
      </c>
      <c r="D3" s="119">
        <v>2023</v>
      </c>
      <c r="E3" s="119">
        <v>2024</v>
      </c>
      <c r="F3" s="119">
        <v>2025</v>
      </c>
      <c r="G3" s="119">
        <v>2026</v>
      </c>
      <c r="H3" s="119">
        <v>2027</v>
      </c>
      <c r="I3" s="119">
        <v>2028</v>
      </c>
      <c r="J3" s="119">
        <v>2029</v>
      </c>
      <c r="K3" s="119">
        <v>2030</v>
      </c>
      <c r="L3" s="119">
        <v>2031</v>
      </c>
      <c r="M3" s="119">
        <v>2032</v>
      </c>
      <c r="N3" s="120">
        <v>2033</v>
      </c>
      <c r="O3" s="121">
        <v>2043</v>
      </c>
      <c r="P3" s="121">
        <v>2053</v>
      </c>
    </row>
    <row r="4" spans="1:16">
      <c r="A4" s="122">
        <v>1</v>
      </c>
      <c r="B4" s="123">
        <v>3</v>
      </c>
      <c r="C4" s="123">
        <v>5</v>
      </c>
      <c r="D4" s="123">
        <v>5</v>
      </c>
      <c r="E4" s="123">
        <v>5</v>
      </c>
      <c r="F4" s="123">
        <v>6</v>
      </c>
      <c r="G4" s="123">
        <v>7</v>
      </c>
      <c r="H4" s="123">
        <v>7</v>
      </c>
      <c r="I4" s="123">
        <v>8</v>
      </c>
      <c r="J4" s="123">
        <v>8</v>
      </c>
      <c r="K4" s="123">
        <v>9</v>
      </c>
      <c r="L4" s="123">
        <v>10</v>
      </c>
      <c r="M4" s="123">
        <v>10</v>
      </c>
      <c r="N4" s="124">
        <v>11</v>
      </c>
      <c r="O4" s="123">
        <v>15</v>
      </c>
      <c r="P4" s="123">
        <v>15</v>
      </c>
    </row>
    <row r="5" spans="1:16">
      <c r="A5" s="118">
        <v>0.9</v>
      </c>
      <c r="B5" s="123">
        <v>3</v>
      </c>
      <c r="C5" s="123">
        <v>5</v>
      </c>
      <c r="D5" s="123">
        <v>4</v>
      </c>
      <c r="E5" s="123">
        <v>5</v>
      </c>
      <c r="F5" s="123">
        <v>6</v>
      </c>
      <c r="G5" s="123">
        <v>7</v>
      </c>
      <c r="H5" s="123">
        <v>7</v>
      </c>
      <c r="I5" s="123">
        <v>8</v>
      </c>
      <c r="J5" s="123">
        <v>9</v>
      </c>
      <c r="K5" s="123">
        <v>9</v>
      </c>
      <c r="L5" s="123">
        <v>10</v>
      </c>
      <c r="M5" s="123">
        <v>11</v>
      </c>
      <c r="N5" s="124">
        <v>12</v>
      </c>
      <c r="O5" s="123">
        <v>15</v>
      </c>
      <c r="P5" s="123">
        <v>15</v>
      </c>
    </row>
    <row r="6" spans="1:16">
      <c r="A6" s="118">
        <v>0.8</v>
      </c>
      <c r="B6" s="123">
        <v>3</v>
      </c>
      <c r="C6" s="123">
        <v>5</v>
      </c>
      <c r="D6" s="123">
        <v>4</v>
      </c>
      <c r="E6" s="123">
        <v>5</v>
      </c>
      <c r="F6" s="123">
        <v>6</v>
      </c>
      <c r="G6" s="123">
        <v>6</v>
      </c>
      <c r="H6" s="123">
        <v>7</v>
      </c>
      <c r="I6" s="123">
        <v>8</v>
      </c>
      <c r="J6" s="123">
        <v>9</v>
      </c>
      <c r="K6" s="123">
        <v>10</v>
      </c>
      <c r="L6" s="123">
        <v>11</v>
      </c>
      <c r="M6" s="123">
        <v>12</v>
      </c>
      <c r="N6" s="124">
        <v>12</v>
      </c>
      <c r="O6" s="123">
        <v>15</v>
      </c>
      <c r="P6" s="123">
        <v>15</v>
      </c>
    </row>
    <row r="7" spans="1:16">
      <c r="A7" s="118">
        <v>0.7</v>
      </c>
      <c r="B7" s="123">
        <v>3</v>
      </c>
      <c r="C7" s="123">
        <v>5</v>
      </c>
      <c r="D7" s="123">
        <v>4</v>
      </c>
      <c r="E7" s="123">
        <v>4</v>
      </c>
      <c r="F7" s="123">
        <v>5</v>
      </c>
      <c r="G7" s="123">
        <v>6</v>
      </c>
      <c r="H7" s="123">
        <v>7</v>
      </c>
      <c r="I7" s="123">
        <v>8</v>
      </c>
      <c r="J7" s="123">
        <v>9</v>
      </c>
      <c r="K7" s="123">
        <v>10</v>
      </c>
      <c r="L7" s="123">
        <v>11</v>
      </c>
      <c r="M7" s="123">
        <v>12</v>
      </c>
      <c r="N7" s="124">
        <v>13</v>
      </c>
      <c r="O7" s="123">
        <v>14</v>
      </c>
      <c r="P7" s="123">
        <v>14</v>
      </c>
    </row>
    <row r="8" spans="1:16">
      <c r="A8" s="118">
        <v>0.6</v>
      </c>
      <c r="B8" s="123">
        <v>3</v>
      </c>
      <c r="C8" s="123">
        <v>5</v>
      </c>
      <c r="D8" s="123">
        <v>3</v>
      </c>
      <c r="E8" s="123">
        <v>4</v>
      </c>
      <c r="F8" s="123">
        <v>5</v>
      </c>
      <c r="G8" s="123">
        <v>6</v>
      </c>
      <c r="H8" s="123">
        <v>7</v>
      </c>
      <c r="I8" s="123">
        <v>8</v>
      </c>
      <c r="J8" s="123">
        <v>9</v>
      </c>
      <c r="K8" s="123">
        <v>10</v>
      </c>
      <c r="L8" s="123">
        <v>11</v>
      </c>
      <c r="M8" s="123">
        <v>12</v>
      </c>
      <c r="N8" s="124">
        <v>13</v>
      </c>
      <c r="O8" s="123">
        <v>14</v>
      </c>
      <c r="P8" s="123">
        <v>14</v>
      </c>
    </row>
    <row r="9" spans="1:16">
      <c r="A9" s="118">
        <v>0.5</v>
      </c>
      <c r="B9" s="123">
        <v>3</v>
      </c>
      <c r="C9" s="123">
        <v>5</v>
      </c>
      <c r="D9" s="123">
        <v>3</v>
      </c>
      <c r="E9" s="123">
        <v>4</v>
      </c>
      <c r="F9" s="123">
        <v>4</v>
      </c>
      <c r="G9" s="123">
        <v>5</v>
      </c>
      <c r="H9" s="123">
        <v>6</v>
      </c>
      <c r="I9" s="123">
        <v>7</v>
      </c>
      <c r="J9" s="123">
        <v>8</v>
      </c>
      <c r="K9" s="123">
        <v>10</v>
      </c>
      <c r="L9" s="123">
        <v>11</v>
      </c>
      <c r="M9" s="123">
        <v>12</v>
      </c>
      <c r="N9" s="124">
        <v>12</v>
      </c>
      <c r="O9" s="123">
        <v>13</v>
      </c>
      <c r="P9" s="123">
        <v>13</v>
      </c>
    </row>
    <row r="10" spans="1:16">
      <c r="A10" s="118">
        <v>0.4</v>
      </c>
      <c r="B10" s="123">
        <v>3</v>
      </c>
      <c r="C10" s="123">
        <v>5</v>
      </c>
      <c r="D10" s="123">
        <v>2</v>
      </c>
      <c r="E10" s="123">
        <v>3</v>
      </c>
      <c r="F10" s="123">
        <v>4</v>
      </c>
      <c r="G10" s="123">
        <v>5</v>
      </c>
      <c r="H10" s="123">
        <v>5</v>
      </c>
      <c r="I10" s="123">
        <v>7</v>
      </c>
      <c r="J10" s="123">
        <v>8</v>
      </c>
      <c r="K10" s="123">
        <v>9</v>
      </c>
      <c r="L10" s="123">
        <v>10</v>
      </c>
      <c r="M10" s="123">
        <v>11</v>
      </c>
      <c r="N10" s="124">
        <v>11</v>
      </c>
      <c r="O10" s="123">
        <v>12</v>
      </c>
      <c r="P10" s="123">
        <v>12</v>
      </c>
    </row>
    <row r="11" spans="1:16">
      <c r="A11" s="118">
        <v>0.3</v>
      </c>
      <c r="B11" s="123">
        <v>3</v>
      </c>
      <c r="C11" s="123">
        <v>5</v>
      </c>
      <c r="D11" s="123">
        <v>2</v>
      </c>
      <c r="E11" s="123">
        <v>3</v>
      </c>
      <c r="F11" s="123">
        <v>3</v>
      </c>
      <c r="G11" s="123">
        <v>4</v>
      </c>
      <c r="H11" s="123">
        <v>5</v>
      </c>
      <c r="I11" s="123">
        <v>6</v>
      </c>
      <c r="J11" s="123">
        <v>7</v>
      </c>
      <c r="K11" s="123">
        <v>8</v>
      </c>
      <c r="L11" s="123">
        <v>9</v>
      </c>
      <c r="M11" s="123">
        <v>9</v>
      </c>
      <c r="N11" s="124">
        <v>9</v>
      </c>
      <c r="O11" s="123">
        <v>10</v>
      </c>
      <c r="P11" s="123">
        <v>10</v>
      </c>
    </row>
    <row r="12" spans="1:16">
      <c r="A12" s="118">
        <v>0.2</v>
      </c>
      <c r="B12" s="123">
        <v>3</v>
      </c>
      <c r="C12" s="123">
        <v>5</v>
      </c>
      <c r="D12" s="123">
        <v>1</v>
      </c>
      <c r="E12" s="123">
        <v>2</v>
      </c>
      <c r="F12" s="123">
        <v>2</v>
      </c>
      <c r="G12" s="123">
        <v>3</v>
      </c>
      <c r="H12" s="123">
        <v>3</v>
      </c>
      <c r="I12" s="123">
        <v>4</v>
      </c>
      <c r="J12" s="123">
        <v>5</v>
      </c>
      <c r="K12" s="123">
        <v>6</v>
      </c>
      <c r="L12" s="123">
        <v>7</v>
      </c>
      <c r="M12" s="123">
        <v>7</v>
      </c>
      <c r="N12" s="124">
        <v>7</v>
      </c>
      <c r="O12" s="123">
        <v>8</v>
      </c>
      <c r="P12" s="123">
        <v>8</v>
      </c>
    </row>
    <row r="13" spans="1:16">
      <c r="A13" s="118">
        <v>0.1</v>
      </c>
      <c r="B13" s="123">
        <v>3</v>
      </c>
      <c r="C13" s="123">
        <v>5</v>
      </c>
      <c r="D13" s="123">
        <v>1</v>
      </c>
      <c r="E13" s="123">
        <v>1</v>
      </c>
      <c r="F13" s="123">
        <v>1</v>
      </c>
      <c r="G13" s="123">
        <v>2</v>
      </c>
      <c r="H13" s="123">
        <v>2</v>
      </c>
      <c r="I13" s="123">
        <v>2</v>
      </c>
      <c r="J13" s="123">
        <v>3</v>
      </c>
      <c r="K13" s="123">
        <v>3</v>
      </c>
      <c r="L13" s="123">
        <v>4</v>
      </c>
      <c r="M13" s="123">
        <v>4</v>
      </c>
      <c r="N13" s="124">
        <v>4</v>
      </c>
      <c r="O13" s="123">
        <v>5</v>
      </c>
      <c r="P13" s="123">
        <v>5</v>
      </c>
    </row>
    <row r="14" spans="1:16">
      <c r="A14" s="125">
        <v>0</v>
      </c>
      <c r="B14" s="123">
        <v>3</v>
      </c>
      <c r="C14" s="123">
        <v>5</v>
      </c>
      <c r="D14" s="123">
        <v>0</v>
      </c>
      <c r="E14" s="123">
        <v>0</v>
      </c>
      <c r="F14" s="123">
        <v>0</v>
      </c>
      <c r="G14" s="123">
        <v>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0</v>
      </c>
      <c r="N14" s="124">
        <v>0</v>
      </c>
      <c r="O14" s="123">
        <v>0</v>
      </c>
      <c r="P14" s="123">
        <v>0</v>
      </c>
    </row>
    <row r="15" spans="1:16">
      <c r="A15" s="118" t="s">
        <v>178</v>
      </c>
      <c r="B15" s="123">
        <v>3</v>
      </c>
      <c r="C15" s="123">
        <v>5</v>
      </c>
      <c r="D15" s="123">
        <v>5</v>
      </c>
      <c r="E15" s="123">
        <v>5</v>
      </c>
      <c r="F15" s="123">
        <v>6</v>
      </c>
      <c r="G15" s="123">
        <v>6</v>
      </c>
      <c r="H15" s="123">
        <v>7</v>
      </c>
      <c r="I15" s="123">
        <v>8</v>
      </c>
      <c r="J15" s="123">
        <v>9</v>
      </c>
      <c r="K15" s="123">
        <v>10</v>
      </c>
      <c r="L15" s="123">
        <v>11</v>
      </c>
      <c r="M15" s="123">
        <v>12</v>
      </c>
      <c r="N15" s="124">
        <v>13</v>
      </c>
      <c r="O15" s="123">
        <v>15</v>
      </c>
      <c r="P15" s="123">
        <v>15</v>
      </c>
    </row>
    <row r="16" spans="1:16">
      <c r="A16" s="25"/>
    </row>
    <row r="17" spans="2:16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spans="2:16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</row>
    <row r="19" spans="2:16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</row>
    <row r="20" spans="2:16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  <row r="21" spans="2:16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</row>
    <row r="22" spans="2:16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</row>
    <row r="23" spans="2:16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</row>
    <row r="24" spans="2:16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2:16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2:16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2:16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2:16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2:16">
      <c r="B29" s="38"/>
    </row>
    <row r="30" spans="2:16">
      <c r="B30" s="38"/>
    </row>
  </sheetData>
  <mergeCells count="2">
    <mergeCell ref="A1:P1"/>
    <mergeCell ref="A2:P2"/>
  </mergeCells>
  <phoneticPr fontId="4"/>
  <conditionalFormatting sqref="B4:P15">
    <cfRule type="colorScale" priority="6">
      <colorScale>
        <cfvo type="min"/>
        <cfvo type="max"/>
        <color theme="0"/>
        <color theme="9"/>
      </colorScale>
    </cfRule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C78B-E11E-4BFD-9CCF-4E05736876BC}">
  <dimension ref="A1:G10"/>
  <sheetViews>
    <sheetView workbookViewId="0">
      <selection activeCell="H16" sqref="H16"/>
    </sheetView>
  </sheetViews>
  <sheetFormatPr defaultRowHeight="18.75"/>
  <cols>
    <col min="1" max="3" width="9" style="3"/>
    <col min="4" max="4" width="15.75" style="3" customWidth="1"/>
    <col min="5" max="5" width="9" style="3"/>
    <col min="6" max="6" width="15.875" style="3" customWidth="1"/>
    <col min="7" max="16384" width="9" style="3"/>
  </cols>
  <sheetData>
    <row r="1" spans="1:7">
      <c r="A1" s="95" t="s">
        <v>33</v>
      </c>
      <c r="B1" s="96"/>
      <c r="C1" s="96"/>
      <c r="D1" s="96"/>
      <c r="E1" s="96"/>
      <c r="F1" s="96"/>
      <c r="G1" s="96"/>
    </row>
    <row r="2" spans="1:7" ht="15" customHeight="1">
      <c r="A2" s="161"/>
      <c r="B2" s="98" t="s">
        <v>34</v>
      </c>
      <c r="C2" s="97" t="s">
        <v>36</v>
      </c>
      <c r="D2" s="97" t="s">
        <v>38</v>
      </c>
      <c r="E2" s="98" t="s">
        <v>40</v>
      </c>
      <c r="F2" s="98" t="s">
        <v>42</v>
      </c>
      <c r="G2" s="98" t="s">
        <v>44</v>
      </c>
    </row>
    <row r="3" spans="1:7" ht="15" customHeight="1">
      <c r="A3" s="162"/>
      <c r="B3" s="100" t="s">
        <v>35</v>
      </c>
      <c r="C3" s="100" t="s">
        <v>37</v>
      </c>
      <c r="D3" s="100" t="s">
        <v>39</v>
      </c>
      <c r="E3" s="100" t="s">
        <v>41</v>
      </c>
      <c r="F3" s="100" t="s">
        <v>43</v>
      </c>
      <c r="G3" s="100" t="s">
        <v>45</v>
      </c>
    </row>
    <row r="4" spans="1:7">
      <c r="A4" s="101" t="s">
        <v>46</v>
      </c>
      <c r="B4" s="102">
        <v>0.27</v>
      </c>
      <c r="C4" s="102">
        <v>0.12</v>
      </c>
      <c r="D4" s="102">
        <v>0.06</v>
      </c>
      <c r="E4" s="103">
        <v>20</v>
      </c>
      <c r="F4" s="102">
        <v>0.35</v>
      </c>
      <c r="G4" s="102">
        <v>0</v>
      </c>
    </row>
    <row r="5" spans="1:7">
      <c r="A5" s="101" t="s">
        <v>47</v>
      </c>
      <c r="B5" s="102">
        <v>0.79</v>
      </c>
      <c r="C5" s="102">
        <v>0.36</v>
      </c>
      <c r="D5" s="102">
        <v>0.26</v>
      </c>
      <c r="E5" s="103">
        <v>58</v>
      </c>
      <c r="F5" s="102">
        <v>0.35</v>
      </c>
      <c r="G5" s="102">
        <v>0.4</v>
      </c>
    </row>
    <row r="6" spans="1:7">
      <c r="A6" s="101" t="s">
        <v>48</v>
      </c>
      <c r="B6" s="106">
        <v>1</v>
      </c>
      <c r="C6" s="102">
        <v>0.46</v>
      </c>
      <c r="D6" s="106">
        <v>0.4</v>
      </c>
      <c r="E6" s="103">
        <v>115</v>
      </c>
      <c r="F6" s="102">
        <v>0.35</v>
      </c>
      <c r="G6" s="108">
        <v>1</v>
      </c>
    </row>
    <row r="7" spans="1:7">
      <c r="A7" s="104" t="s">
        <v>49</v>
      </c>
      <c r="B7" s="107">
        <v>1</v>
      </c>
      <c r="C7" s="99">
        <v>0.46</v>
      </c>
      <c r="D7" s="107">
        <v>0.4</v>
      </c>
      <c r="E7" s="105">
        <v>218</v>
      </c>
      <c r="F7" s="99">
        <v>0.35</v>
      </c>
      <c r="G7" s="109">
        <v>1</v>
      </c>
    </row>
    <row r="8" spans="1:7" ht="36" customHeight="1">
      <c r="A8" s="163" t="s">
        <v>50</v>
      </c>
      <c r="B8" s="163"/>
      <c r="C8" s="163"/>
      <c r="D8" s="163"/>
      <c r="E8" s="163"/>
      <c r="F8" s="163"/>
      <c r="G8" s="163"/>
    </row>
    <row r="9" spans="1:7" ht="36" customHeight="1">
      <c r="A9" s="164" t="s">
        <v>51</v>
      </c>
      <c r="B9" s="164"/>
      <c r="C9" s="164"/>
      <c r="D9" s="164"/>
      <c r="E9" s="164"/>
      <c r="F9" s="164"/>
      <c r="G9" s="164"/>
    </row>
    <row r="10" spans="1:7" ht="36" customHeight="1">
      <c r="A10" s="164" t="s">
        <v>52</v>
      </c>
      <c r="B10" s="164"/>
      <c r="C10" s="164"/>
      <c r="D10" s="164"/>
      <c r="E10" s="164"/>
      <c r="F10" s="164"/>
      <c r="G10" s="164"/>
    </row>
  </sheetData>
  <mergeCells count="4">
    <mergeCell ref="A2:A3"/>
    <mergeCell ref="A8:G8"/>
    <mergeCell ref="A9:G9"/>
    <mergeCell ref="A10:G10"/>
  </mergeCells>
  <phoneticPr fontId="4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2979-5783-42B7-9E67-6BC3BD2AF442}">
  <dimension ref="A1:G4"/>
  <sheetViews>
    <sheetView workbookViewId="0">
      <selection activeCell="E13" sqref="E13"/>
    </sheetView>
  </sheetViews>
  <sheetFormatPr defaultRowHeight="18.75"/>
  <cols>
    <col min="1" max="1" width="19" customWidth="1"/>
    <col min="2" max="2" width="11.625" customWidth="1"/>
    <col min="3" max="7" width="11" customWidth="1"/>
  </cols>
  <sheetData>
    <row r="1" spans="1:7">
      <c r="A1" s="59" t="s">
        <v>53</v>
      </c>
    </row>
    <row r="2" spans="1:7" ht="31.5" customHeight="1">
      <c r="A2" s="65" t="s">
        <v>54</v>
      </c>
      <c r="B2" s="65" t="s">
        <v>55</v>
      </c>
      <c r="C2" s="65" t="s">
        <v>56</v>
      </c>
      <c r="D2" s="62" t="s">
        <v>57</v>
      </c>
      <c r="E2" s="62" t="s">
        <v>58</v>
      </c>
      <c r="F2" s="62" t="s">
        <v>59</v>
      </c>
      <c r="G2" s="62" t="s">
        <v>60</v>
      </c>
    </row>
    <row r="3" spans="1:7" ht="31.5" customHeight="1">
      <c r="A3" s="73" t="s">
        <v>61</v>
      </c>
      <c r="B3" s="73" t="s">
        <v>62</v>
      </c>
      <c r="C3" s="73" t="s">
        <v>63</v>
      </c>
      <c r="D3" s="70">
        <v>12.419</v>
      </c>
      <c r="E3" s="74">
        <v>3147</v>
      </c>
      <c r="F3" s="70">
        <v>0.13700000000000001</v>
      </c>
      <c r="G3" s="70">
        <v>0.67500000000000004</v>
      </c>
    </row>
    <row r="4" spans="1:7" ht="30.75" customHeight="1">
      <c r="A4" s="165" t="s">
        <v>176</v>
      </c>
      <c r="B4" s="165"/>
      <c r="C4" s="165"/>
      <c r="D4" s="165"/>
      <c r="E4" s="165"/>
      <c r="F4" s="165"/>
      <c r="G4" s="165"/>
    </row>
  </sheetData>
  <mergeCells count="1">
    <mergeCell ref="A4:G4"/>
  </mergeCells>
  <phoneticPr fontId="4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3FDB-C921-40DD-87DC-BBFF3281A922}">
  <dimension ref="A1:C12"/>
  <sheetViews>
    <sheetView workbookViewId="0">
      <selection activeCell="C14" sqref="C14"/>
    </sheetView>
  </sheetViews>
  <sheetFormatPr defaultRowHeight="18.75"/>
  <cols>
    <col min="1" max="1" width="16.375" style="3" customWidth="1"/>
    <col min="2" max="2" width="14.625" style="3" customWidth="1"/>
    <col min="3" max="3" width="52.375" style="3" customWidth="1"/>
    <col min="4" max="16384" width="9" style="3"/>
  </cols>
  <sheetData>
    <row r="1" spans="1:3">
      <c r="A1" s="110" t="s">
        <v>64</v>
      </c>
    </row>
    <row r="2" spans="1:3" ht="27" customHeight="1">
      <c r="A2" s="128" t="s">
        <v>65</v>
      </c>
      <c r="B2" s="128" t="s">
        <v>66</v>
      </c>
      <c r="C2" s="128" t="s">
        <v>67</v>
      </c>
    </row>
    <row r="3" spans="1:3" ht="27">
      <c r="A3" s="111" t="s">
        <v>68</v>
      </c>
      <c r="B3" s="112" t="s">
        <v>69</v>
      </c>
      <c r="C3" s="113" t="s">
        <v>70</v>
      </c>
    </row>
    <row r="4" spans="1:3" ht="27">
      <c r="A4" s="111" t="s">
        <v>71</v>
      </c>
      <c r="B4" s="114" t="s">
        <v>72</v>
      </c>
      <c r="C4" s="116" t="s">
        <v>73</v>
      </c>
    </row>
    <row r="5" spans="1:3" ht="15" customHeight="1">
      <c r="A5" s="166" t="s">
        <v>74</v>
      </c>
      <c r="B5" s="167" t="s">
        <v>75</v>
      </c>
      <c r="C5" s="116" t="s">
        <v>76</v>
      </c>
    </row>
    <row r="6" spans="1:3" ht="15" customHeight="1">
      <c r="A6" s="166"/>
      <c r="B6" s="167"/>
      <c r="C6" s="117" t="s">
        <v>77</v>
      </c>
    </row>
    <row r="7" spans="1:3" ht="15" customHeight="1">
      <c r="A7" s="166" t="s">
        <v>36</v>
      </c>
      <c r="B7" s="169" t="s">
        <v>78</v>
      </c>
      <c r="C7" s="170"/>
    </row>
    <row r="8" spans="1:3" ht="15" customHeight="1">
      <c r="A8" s="166"/>
      <c r="B8" s="171" t="s">
        <v>195</v>
      </c>
      <c r="C8" s="170"/>
    </row>
    <row r="9" spans="1:3" ht="15" customHeight="1">
      <c r="A9" s="168"/>
      <c r="B9" s="172" t="s">
        <v>79</v>
      </c>
      <c r="C9" s="173"/>
    </row>
    <row r="10" spans="1:3" ht="27" customHeight="1">
      <c r="A10" s="111" t="s">
        <v>80</v>
      </c>
      <c r="B10" s="115">
        <v>0.31</v>
      </c>
      <c r="C10" s="111" t="s">
        <v>81</v>
      </c>
    </row>
    <row r="11" spans="1:3" ht="27" customHeight="1">
      <c r="A11" s="111" t="s">
        <v>82</v>
      </c>
      <c r="B11" s="112" t="s">
        <v>83</v>
      </c>
      <c r="C11" s="113" t="s">
        <v>84</v>
      </c>
    </row>
    <row r="12" spans="1:3">
      <c r="A12" s="110"/>
    </row>
  </sheetData>
  <mergeCells count="6">
    <mergeCell ref="A5:A6"/>
    <mergeCell ref="B5:B6"/>
    <mergeCell ref="A7:A9"/>
    <mergeCell ref="B7:C7"/>
    <mergeCell ref="B8:C8"/>
    <mergeCell ref="B9:C9"/>
  </mergeCells>
  <phoneticPr fontId="4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D197-2C2B-4B01-B0EA-8DAEEC324C31}">
  <dimension ref="A1:C15"/>
  <sheetViews>
    <sheetView topLeftCell="A2" zoomScale="85" zoomScaleNormal="85" workbookViewId="0">
      <selection activeCell="L31" sqref="L30:L31"/>
    </sheetView>
  </sheetViews>
  <sheetFormatPr defaultRowHeight="18.75"/>
  <cols>
    <col min="1" max="1" width="17.875" customWidth="1"/>
    <col min="2" max="2" width="9.375" customWidth="1"/>
    <col min="3" max="3" width="40.625" customWidth="1"/>
  </cols>
  <sheetData>
    <row r="1" spans="1:3">
      <c r="A1" s="59" t="s">
        <v>106</v>
      </c>
    </row>
    <row r="2" spans="1:3">
      <c r="A2" s="68" t="s">
        <v>65</v>
      </c>
      <c r="B2" s="68" t="s">
        <v>66</v>
      </c>
      <c r="C2" s="68" t="s">
        <v>67</v>
      </c>
    </row>
    <row r="3" spans="1:3" ht="27.75" customHeight="1">
      <c r="A3" s="111" t="s">
        <v>85</v>
      </c>
      <c r="B3" s="130" t="s">
        <v>86</v>
      </c>
      <c r="C3" s="131" t="s">
        <v>87</v>
      </c>
    </row>
    <row r="4" spans="1:3" ht="18.75" customHeight="1">
      <c r="A4" s="176" t="s">
        <v>88</v>
      </c>
      <c r="B4" s="177" t="s">
        <v>89</v>
      </c>
      <c r="C4" s="178"/>
    </row>
    <row r="5" spans="1:3" ht="18" customHeight="1">
      <c r="A5" s="176"/>
      <c r="B5" s="179" t="s">
        <v>90</v>
      </c>
      <c r="C5" s="180"/>
    </row>
    <row r="6" spans="1:3" ht="27.75" customHeight="1">
      <c r="A6" s="111" t="s">
        <v>91</v>
      </c>
      <c r="B6" s="132">
        <v>0.16</v>
      </c>
      <c r="C6" s="133" t="s">
        <v>92</v>
      </c>
    </row>
    <row r="7" spans="1:3" ht="27.75" customHeight="1">
      <c r="A7" s="111" t="s">
        <v>93</v>
      </c>
      <c r="B7" s="115">
        <v>0.51</v>
      </c>
      <c r="C7" s="111" t="s">
        <v>94</v>
      </c>
    </row>
    <row r="8" spans="1:3" ht="27.75" customHeight="1">
      <c r="A8" s="111" t="s">
        <v>95</v>
      </c>
      <c r="B8" s="115">
        <v>0.38</v>
      </c>
      <c r="C8" s="134" t="s">
        <v>196</v>
      </c>
    </row>
    <row r="9" spans="1:3" ht="18.75" customHeight="1">
      <c r="A9" s="181" t="s">
        <v>96</v>
      </c>
      <c r="B9" s="181"/>
      <c r="C9" s="181"/>
    </row>
    <row r="10" spans="1:3" ht="36" customHeight="1">
      <c r="A10" s="129" t="s">
        <v>184</v>
      </c>
      <c r="B10" s="70">
        <v>0.37</v>
      </c>
      <c r="C10" s="72" t="s">
        <v>97</v>
      </c>
    </row>
    <row r="11" spans="1:3" ht="27" customHeight="1">
      <c r="A11" s="69" t="s">
        <v>98</v>
      </c>
      <c r="B11" s="70">
        <v>0.48</v>
      </c>
      <c r="C11" s="72" t="s">
        <v>99</v>
      </c>
    </row>
    <row r="12" spans="1:3" ht="27" customHeight="1">
      <c r="A12" s="71" t="s">
        <v>100</v>
      </c>
      <c r="B12" s="174" t="s">
        <v>101</v>
      </c>
      <c r="C12" s="174"/>
    </row>
    <row r="13" spans="1:3" ht="27" customHeight="1">
      <c r="A13" s="71" t="s">
        <v>102</v>
      </c>
      <c r="B13" s="174" t="s">
        <v>101</v>
      </c>
      <c r="C13" s="174"/>
    </row>
    <row r="14" spans="1:3" ht="27" customHeight="1">
      <c r="A14" s="71" t="s">
        <v>103</v>
      </c>
      <c r="B14" s="175" t="s">
        <v>104</v>
      </c>
      <c r="C14" s="175"/>
    </row>
    <row r="15" spans="1:3">
      <c r="A15" s="60" t="s">
        <v>105</v>
      </c>
    </row>
  </sheetData>
  <mergeCells count="7">
    <mergeCell ref="B12:C12"/>
    <mergeCell ref="B13:C13"/>
    <mergeCell ref="B14:C14"/>
    <mergeCell ref="A4:A5"/>
    <mergeCell ref="B4:C4"/>
    <mergeCell ref="B5:C5"/>
    <mergeCell ref="A9:C9"/>
  </mergeCells>
  <phoneticPr fontId="4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DEC4-12EC-4162-979E-BC6E582825BB}">
  <dimension ref="A1:E17"/>
  <sheetViews>
    <sheetView tabSelected="1" workbookViewId="0">
      <selection activeCell="H11" sqref="H11"/>
    </sheetView>
  </sheetViews>
  <sheetFormatPr defaultRowHeight="18.75"/>
  <cols>
    <col min="1" max="1" width="11" customWidth="1"/>
    <col min="2" max="4" width="15.625" customWidth="1"/>
  </cols>
  <sheetData>
    <row r="1" spans="1:5">
      <c r="A1" s="59" t="s">
        <v>126</v>
      </c>
    </row>
    <row r="2" spans="1:5">
      <c r="A2" s="182" t="s">
        <v>107</v>
      </c>
      <c r="B2" s="183"/>
      <c r="C2" s="183"/>
      <c r="D2" s="183"/>
      <c r="E2" s="61"/>
    </row>
    <row r="3" spans="1:5" ht="14.25" customHeight="1">
      <c r="A3" s="184" t="s">
        <v>65</v>
      </c>
      <c r="B3" s="139" t="s">
        <v>108</v>
      </c>
      <c r="C3" s="142" t="s">
        <v>111</v>
      </c>
      <c r="D3" s="143" t="s">
        <v>108</v>
      </c>
      <c r="E3" s="185"/>
    </row>
    <row r="4" spans="1:5" ht="14.25" customHeight="1">
      <c r="A4" s="184"/>
      <c r="B4" s="140" t="s">
        <v>109</v>
      </c>
      <c r="C4" s="140" t="s">
        <v>112</v>
      </c>
      <c r="D4" s="144" t="s">
        <v>114</v>
      </c>
      <c r="E4" s="185"/>
    </row>
    <row r="5" spans="1:5" ht="14.25" customHeight="1">
      <c r="A5" s="184"/>
      <c r="B5" s="141" t="s">
        <v>110</v>
      </c>
      <c r="C5" s="141" t="s">
        <v>113</v>
      </c>
      <c r="D5" s="145"/>
      <c r="E5" s="61"/>
    </row>
    <row r="6" spans="1:5">
      <c r="A6" s="64" t="s">
        <v>115</v>
      </c>
      <c r="B6" s="136">
        <v>5</v>
      </c>
      <c r="C6" s="137">
        <v>0.78</v>
      </c>
      <c r="D6" s="138">
        <v>22.1</v>
      </c>
      <c r="E6" s="61"/>
    </row>
    <row r="7" spans="1:5">
      <c r="A7" s="64" t="s">
        <v>116</v>
      </c>
      <c r="B7" s="64">
        <v>4</v>
      </c>
      <c r="C7" s="154">
        <v>0.7</v>
      </c>
      <c r="D7" s="135">
        <v>20.100000000000001</v>
      </c>
      <c r="E7" s="61"/>
    </row>
    <row r="8" spans="1:5">
      <c r="A8" s="64" t="s">
        <v>117</v>
      </c>
      <c r="B8" s="64">
        <v>4</v>
      </c>
      <c r="C8" s="67">
        <v>0.62</v>
      </c>
      <c r="D8" s="135">
        <v>18.2</v>
      </c>
      <c r="E8" s="61"/>
    </row>
    <row r="9" spans="1:5">
      <c r="A9" s="64" t="s">
        <v>118</v>
      </c>
      <c r="B9" s="64">
        <v>4</v>
      </c>
      <c r="C9" s="67">
        <v>0.55000000000000004</v>
      </c>
      <c r="D9" s="135">
        <v>16.100000000000001</v>
      </c>
      <c r="E9" s="61"/>
    </row>
    <row r="10" spans="1:5">
      <c r="A10" s="64" t="s">
        <v>119</v>
      </c>
      <c r="B10" s="64">
        <v>3</v>
      </c>
      <c r="C10" s="67">
        <v>0.47</v>
      </c>
      <c r="D10" s="135">
        <v>14</v>
      </c>
      <c r="E10" s="61"/>
    </row>
    <row r="11" spans="1:5">
      <c r="A11" s="64" t="s">
        <v>120</v>
      </c>
      <c r="B11" s="64">
        <v>3</v>
      </c>
      <c r="C11" s="67">
        <v>0.39</v>
      </c>
      <c r="D11" s="135">
        <v>11.9</v>
      </c>
      <c r="E11" s="61"/>
    </row>
    <row r="12" spans="1:5">
      <c r="A12" s="64" t="s">
        <v>121</v>
      </c>
      <c r="B12" s="64">
        <v>2</v>
      </c>
      <c r="C12" s="67">
        <v>0.31</v>
      </c>
      <c r="D12" s="135">
        <v>9.6999999999999993</v>
      </c>
      <c r="E12" s="61"/>
    </row>
    <row r="13" spans="1:5">
      <c r="A13" s="64" t="s">
        <v>122</v>
      </c>
      <c r="B13" s="64">
        <v>2</v>
      </c>
      <c r="C13" s="67">
        <v>0.23</v>
      </c>
      <c r="D13" s="135">
        <v>7.3</v>
      </c>
      <c r="E13" s="61"/>
    </row>
    <row r="14" spans="1:5">
      <c r="A14" s="64" t="s">
        <v>123</v>
      </c>
      <c r="B14" s="64">
        <v>1</v>
      </c>
      <c r="C14" s="67">
        <v>0.16</v>
      </c>
      <c r="D14" s="135">
        <v>5</v>
      </c>
      <c r="E14" s="61"/>
    </row>
    <row r="15" spans="1:5">
      <c r="A15" s="64" t="s">
        <v>124</v>
      </c>
      <c r="B15" s="64">
        <v>1</v>
      </c>
      <c r="C15" s="67">
        <v>0.08</v>
      </c>
      <c r="D15" s="135">
        <v>2.5</v>
      </c>
      <c r="E15" s="61"/>
    </row>
    <row r="16" spans="1:5">
      <c r="A16" s="64" t="s">
        <v>125</v>
      </c>
      <c r="B16" s="64">
        <v>0</v>
      </c>
      <c r="C16" s="67">
        <v>0</v>
      </c>
      <c r="D16" s="67">
        <v>0</v>
      </c>
      <c r="E16" s="61"/>
    </row>
    <row r="17" spans="1:5">
      <c r="A17" s="64" t="s">
        <v>38</v>
      </c>
      <c r="B17" s="64">
        <v>5</v>
      </c>
      <c r="C17" s="154">
        <v>1</v>
      </c>
      <c r="D17" s="67">
        <v>22.7</v>
      </c>
      <c r="E17" s="61"/>
    </row>
  </sheetData>
  <mergeCells count="3">
    <mergeCell ref="A2:D2"/>
    <mergeCell ref="A3:A5"/>
    <mergeCell ref="E3:E4"/>
  </mergeCells>
  <phoneticPr fontId="4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C9E6-AD61-419C-9BE8-935EADFCA18A}">
  <dimension ref="A1:F18"/>
  <sheetViews>
    <sheetView zoomScale="145" zoomScaleNormal="145" workbookViewId="0">
      <selection activeCell="H2" sqref="H2"/>
    </sheetView>
  </sheetViews>
  <sheetFormatPr defaultRowHeight="15"/>
  <cols>
    <col min="1" max="1" width="11.375" style="22" customWidth="1"/>
    <col min="2" max="2" width="9" style="22"/>
    <col min="3" max="3" width="11.875" style="22" customWidth="1"/>
    <col min="4" max="6" width="9.5" style="22" customWidth="1"/>
    <col min="7" max="16384" width="9" style="22"/>
  </cols>
  <sheetData>
    <row r="1" spans="1:6">
      <c r="A1" s="147" t="s">
        <v>190</v>
      </c>
    </row>
    <row r="2" spans="1:6">
      <c r="A2" s="192" t="s">
        <v>185</v>
      </c>
      <c r="B2" s="193"/>
      <c r="C2" s="193"/>
      <c r="D2" s="193"/>
      <c r="E2" s="193"/>
      <c r="F2" s="193"/>
    </row>
    <row r="3" spans="1:6" ht="18.75" customHeight="1">
      <c r="A3" s="194" t="s">
        <v>127</v>
      </c>
      <c r="B3" s="186" t="s">
        <v>188</v>
      </c>
      <c r="C3" s="189" t="s">
        <v>189</v>
      </c>
      <c r="D3" s="195" t="s">
        <v>128</v>
      </c>
      <c r="E3" s="195"/>
      <c r="F3" s="196"/>
    </row>
    <row r="4" spans="1:6">
      <c r="A4" s="194"/>
      <c r="B4" s="187"/>
      <c r="C4" s="190"/>
      <c r="D4" s="197" t="s">
        <v>161</v>
      </c>
      <c r="E4" s="197"/>
      <c r="F4" s="198"/>
    </row>
    <row r="5" spans="1:6">
      <c r="A5" s="194"/>
      <c r="B5" s="187"/>
      <c r="C5" s="190"/>
      <c r="D5" s="186" t="s">
        <v>129</v>
      </c>
      <c r="E5" s="186" t="s">
        <v>186</v>
      </c>
      <c r="F5" s="186" t="s">
        <v>187</v>
      </c>
    </row>
    <row r="6" spans="1:6">
      <c r="A6" s="194"/>
      <c r="B6" s="188"/>
      <c r="C6" s="191"/>
      <c r="D6" s="188"/>
      <c r="E6" s="188"/>
      <c r="F6" s="188"/>
    </row>
    <row r="7" spans="1:6">
      <c r="A7" s="64" t="s">
        <v>115</v>
      </c>
      <c r="B7" s="146">
        <v>28</v>
      </c>
      <c r="C7" s="137" t="s">
        <v>130</v>
      </c>
      <c r="D7" s="67">
        <v>6</v>
      </c>
      <c r="E7" s="67">
        <v>93</v>
      </c>
      <c r="F7" s="67">
        <v>100</v>
      </c>
    </row>
    <row r="8" spans="1:6">
      <c r="A8" s="64" t="s">
        <v>116</v>
      </c>
      <c r="B8" s="66">
        <v>33</v>
      </c>
      <c r="C8" s="67" t="s">
        <v>131</v>
      </c>
      <c r="D8" s="67">
        <v>21</v>
      </c>
      <c r="E8" s="67">
        <v>98</v>
      </c>
      <c r="F8" s="67">
        <v>100</v>
      </c>
    </row>
    <row r="9" spans="1:6">
      <c r="A9" s="64" t="s">
        <v>117</v>
      </c>
      <c r="B9" s="66">
        <v>39</v>
      </c>
      <c r="C9" s="67" t="s">
        <v>132</v>
      </c>
      <c r="D9" s="67">
        <v>46</v>
      </c>
      <c r="E9" s="67">
        <v>100</v>
      </c>
      <c r="F9" s="67">
        <v>100</v>
      </c>
    </row>
    <row r="10" spans="1:6">
      <c r="A10" s="64" t="s">
        <v>118</v>
      </c>
      <c r="B10" s="66">
        <v>46</v>
      </c>
      <c r="C10" s="67" t="s">
        <v>133</v>
      </c>
      <c r="D10" s="67">
        <v>74</v>
      </c>
      <c r="E10" s="67">
        <v>100</v>
      </c>
      <c r="F10" s="67">
        <v>100</v>
      </c>
    </row>
    <row r="11" spans="1:6">
      <c r="A11" s="64" t="s">
        <v>119</v>
      </c>
      <c r="B11" s="66">
        <v>53</v>
      </c>
      <c r="C11" s="67" t="s">
        <v>134</v>
      </c>
      <c r="D11" s="67">
        <v>93</v>
      </c>
      <c r="E11" s="67">
        <v>100</v>
      </c>
      <c r="F11" s="67">
        <v>100</v>
      </c>
    </row>
    <row r="12" spans="1:6">
      <c r="A12" s="64" t="s">
        <v>120</v>
      </c>
      <c r="B12" s="66">
        <v>61</v>
      </c>
      <c r="C12" s="67" t="s">
        <v>135</v>
      </c>
      <c r="D12" s="67">
        <v>99</v>
      </c>
      <c r="E12" s="67">
        <v>100</v>
      </c>
      <c r="F12" s="67">
        <v>100</v>
      </c>
    </row>
    <row r="13" spans="1:6">
      <c r="A13" s="64" t="s">
        <v>121</v>
      </c>
      <c r="B13" s="66">
        <v>69</v>
      </c>
      <c r="C13" s="67" t="s">
        <v>136</v>
      </c>
      <c r="D13" s="67">
        <v>100</v>
      </c>
      <c r="E13" s="67">
        <v>100</v>
      </c>
      <c r="F13" s="67">
        <v>100</v>
      </c>
    </row>
    <row r="14" spans="1:6">
      <c r="A14" s="64" t="s">
        <v>122</v>
      </c>
      <c r="B14" s="66">
        <v>77</v>
      </c>
      <c r="C14" s="67" t="s">
        <v>137</v>
      </c>
      <c r="D14" s="67">
        <v>100</v>
      </c>
      <c r="E14" s="67">
        <v>100</v>
      </c>
      <c r="F14" s="67">
        <v>100</v>
      </c>
    </row>
    <row r="15" spans="1:6">
      <c r="A15" s="64" t="s">
        <v>123</v>
      </c>
      <c r="B15" s="66">
        <v>88</v>
      </c>
      <c r="C15" s="67" t="s">
        <v>138</v>
      </c>
      <c r="D15" s="67">
        <v>100</v>
      </c>
      <c r="E15" s="67">
        <v>100</v>
      </c>
      <c r="F15" s="67">
        <v>100</v>
      </c>
    </row>
    <row r="16" spans="1:6">
      <c r="A16" s="64" t="s">
        <v>124</v>
      </c>
      <c r="B16" s="66">
        <v>100</v>
      </c>
      <c r="C16" s="67" t="s">
        <v>139</v>
      </c>
      <c r="D16" s="67">
        <v>100</v>
      </c>
      <c r="E16" s="67">
        <v>100</v>
      </c>
      <c r="F16" s="67">
        <v>100</v>
      </c>
    </row>
    <row r="17" spans="1:6">
      <c r="A17" s="64" t="s">
        <v>125</v>
      </c>
      <c r="B17" s="66">
        <v>115</v>
      </c>
      <c r="C17" s="67" t="s">
        <v>140</v>
      </c>
      <c r="D17" s="67">
        <v>100</v>
      </c>
      <c r="E17" s="67">
        <v>100</v>
      </c>
      <c r="F17" s="67">
        <v>100</v>
      </c>
    </row>
    <row r="18" spans="1:6">
      <c r="A18" s="64" t="s">
        <v>38</v>
      </c>
      <c r="B18" s="66">
        <v>40</v>
      </c>
      <c r="C18" s="67" t="s">
        <v>141</v>
      </c>
      <c r="D18" s="67">
        <v>48</v>
      </c>
      <c r="E18" s="67">
        <v>99</v>
      </c>
      <c r="F18" s="67">
        <v>100</v>
      </c>
    </row>
  </sheetData>
  <mergeCells count="9">
    <mergeCell ref="B3:B6"/>
    <mergeCell ref="C3:C6"/>
    <mergeCell ref="A2:F2"/>
    <mergeCell ref="A3:A6"/>
    <mergeCell ref="D3:F3"/>
    <mergeCell ref="D4:F4"/>
    <mergeCell ref="D5:D6"/>
    <mergeCell ref="E5:E6"/>
    <mergeCell ref="F5:F6"/>
  </mergeCells>
  <phoneticPr fontId="4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B5D0-2448-4ABB-8FCB-27615B1DFAD3}">
  <dimension ref="A1:D16"/>
  <sheetViews>
    <sheetView workbookViewId="0">
      <selection activeCell="L11" sqref="L11"/>
    </sheetView>
  </sheetViews>
  <sheetFormatPr defaultRowHeight="18.75"/>
  <cols>
    <col min="1" max="1" width="17.5" customWidth="1"/>
    <col min="2" max="4" width="18.25" customWidth="1"/>
  </cols>
  <sheetData>
    <row r="1" spans="1:4">
      <c r="A1" s="59" t="s">
        <v>191</v>
      </c>
    </row>
    <row r="2" spans="1:4">
      <c r="A2" s="199" t="s">
        <v>142</v>
      </c>
      <c r="B2" s="199"/>
      <c r="C2" s="199"/>
      <c r="D2" s="199"/>
    </row>
    <row r="3" spans="1:4">
      <c r="A3" s="200" t="s">
        <v>127</v>
      </c>
      <c r="B3" s="201" t="s">
        <v>143</v>
      </c>
      <c r="C3" s="201"/>
      <c r="D3" s="201"/>
    </row>
    <row r="4" spans="1:4">
      <c r="A4" s="200"/>
      <c r="B4" s="62" t="s">
        <v>129</v>
      </c>
      <c r="C4" s="62" t="s">
        <v>144</v>
      </c>
      <c r="D4" s="62" t="s">
        <v>145</v>
      </c>
    </row>
    <row r="5" spans="1:4">
      <c r="A5" s="64" t="s">
        <v>160</v>
      </c>
      <c r="B5" s="63" t="s">
        <v>146</v>
      </c>
      <c r="C5" s="64" t="s">
        <v>147</v>
      </c>
      <c r="D5" s="64" t="s">
        <v>148</v>
      </c>
    </row>
    <row r="6" spans="1:4">
      <c r="A6" s="64" t="s">
        <v>159</v>
      </c>
      <c r="B6" s="64" t="s">
        <v>149</v>
      </c>
      <c r="C6" s="64" t="s">
        <v>150</v>
      </c>
      <c r="D6" s="64" t="s">
        <v>148</v>
      </c>
    </row>
    <row r="7" spans="1:4">
      <c r="A7" s="64" t="s">
        <v>117</v>
      </c>
      <c r="B7" s="64" t="s">
        <v>151</v>
      </c>
      <c r="C7" s="64" t="s">
        <v>152</v>
      </c>
      <c r="D7" s="64" t="s">
        <v>148</v>
      </c>
    </row>
    <row r="8" spans="1:4">
      <c r="A8" s="64" t="s">
        <v>118</v>
      </c>
      <c r="B8" s="64" t="s">
        <v>153</v>
      </c>
      <c r="C8" s="64" t="s">
        <v>154</v>
      </c>
      <c r="D8" s="64" t="s">
        <v>148</v>
      </c>
    </row>
    <row r="9" spans="1:4">
      <c r="A9" s="64" t="s">
        <v>119</v>
      </c>
      <c r="B9" s="64" t="s">
        <v>155</v>
      </c>
      <c r="C9" s="64" t="s">
        <v>154</v>
      </c>
      <c r="D9" s="64" t="s">
        <v>148</v>
      </c>
    </row>
    <row r="10" spans="1:4">
      <c r="A10" s="64" t="s">
        <v>120</v>
      </c>
      <c r="B10" s="64" t="s">
        <v>156</v>
      </c>
      <c r="C10" s="64" t="s">
        <v>154</v>
      </c>
      <c r="D10" s="64" t="s">
        <v>148</v>
      </c>
    </row>
    <row r="11" spans="1:4">
      <c r="A11" s="64" t="s">
        <v>121</v>
      </c>
      <c r="B11" s="64" t="s">
        <v>157</v>
      </c>
      <c r="C11" s="64" t="s">
        <v>154</v>
      </c>
      <c r="D11" s="64" t="s">
        <v>148</v>
      </c>
    </row>
    <row r="12" spans="1:4">
      <c r="A12" s="64" t="s">
        <v>122</v>
      </c>
      <c r="B12" s="64" t="s">
        <v>147</v>
      </c>
      <c r="C12" s="64" t="s">
        <v>158</v>
      </c>
      <c r="D12" s="64" t="s">
        <v>148</v>
      </c>
    </row>
    <row r="13" spans="1:4">
      <c r="A13" s="64" t="s">
        <v>123</v>
      </c>
      <c r="B13" s="64" t="s">
        <v>147</v>
      </c>
      <c r="C13" s="64" t="s">
        <v>158</v>
      </c>
      <c r="D13" s="64" t="s">
        <v>148</v>
      </c>
    </row>
    <row r="14" spans="1:4">
      <c r="A14" s="64" t="s">
        <v>124</v>
      </c>
      <c r="B14" s="64" t="s">
        <v>150</v>
      </c>
      <c r="C14" s="64" t="s">
        <v>158</v>
      </c>
      <c r="D14" s="64" t="s">
        <v>148</v>
      </c>
    </row>
    <row r="15" spans="1:4">
      <c r="A15" s="64" t="s">
        <v>125</v>
      </c>
      <c r="B15" s="64" t="s">
        <v>150</v>
      </c>
      <c r="C15" s="64" t="s">
        <v>158</v>
      </c>
      <c r="D15" s="64" t="s">
        <v>148</v>
      </c>
    </row>
    <row r="16" spans="1:4">
      <c r="A16" s="64" t="s">
        <v>38</v>
      </c>
      <c r="B16" s="64" t="s">
        <v>151</v>
      </c>
      <c r="C16" s="64" t="s">
        <v>150</v>
      </c>
      <c r="D16" s="64" t="s">
        <v>148</v>
      </c>
    </row>
  </sheetData>
  <mergeCells count="3">
    <mergeCell ref="A2:D2"/>
    <mergeCell ref="A3:A4"/>
    <mergeCell ref="B3:D3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表3-1</vt:lpstr>
      <vt:lpstr>表3-2</vt:lpstr>
      <vt:lpstr>表4-1</vt:lpstr>
      <vt:lpstr>補足表2-1</vt:lpstr>
      <vt:lpstr>補足表4-1</vt:lpstr>
      <vt:lpstr>補足表4-2</vt:lpstr>
      <vt:lpstr>補足表4-3</vt:lpstr>
      <vt:lpstr>補足表4-4</vt:lpstr>
      <vt:lpstr>補足表5-1</vt:lpstr>
      <vt:lpstr>補足表6-1</vt:lpstr>
      <vt:lpstr>補足表6-2</vt:lpstr>
      <vt:lpstr>補足表6-3</vt:lpstr>
      <vt:lpstr>補足表6-4</vt:lpstr>
      <vt:lpstr>補足表6-5</vt:lpstr>
      <vt:lpstr>補足表6-5（つづき）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2023-07-10T06:00:41Z</dcterms:created>
  <dcterms:modified xsi:type="dcterms:W3CDTF">2023-07-10T06:01:16Z</dcterms:modified>
</cp:coreProperties>
</file>