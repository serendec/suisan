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codeName="ThisWorkbook"/>
  <xr:revisionPtr revIDLastSave="0" documentId="13_ncr:1_{5418DD13-7E96-4C48-A816-A0305ACCC0C0}" xr6:coauthVersionLast="47" xr6:coauthVersionMax="47" xr10:uidLastSave="{00000000-0000-0000-0000-000000000000}"/>
  <bookViews>
    <workbookView xWindow="3990" yWindow="-330" windowWidth="20460" windowHeight="14430" xr2:uid="{00000000-000D-0000-FFFF-FFFF00000000}"/>
  </bookViews>
  <sheets>
    <sheet name="表3-1" sheetId="39" r:id="rId1"/>
    <sheet name="表4-1" sheetId="41" r:id="rId2"/>
    <sheet name="補足表2-1" sheetId="43" r:id="rId3"/>
    <sheet name="補足表2-2" sheetId="44" r:id="rId4"/>
    <sheet name="補足表2-3" sheetId="45" r:id="rId5"/>
    <sheet name="補足表2-4" sheetId="46" r:id="rId6"/>
    <sheet name="補足表4-1" sheetId="69" r:id="rId7"/>
    <sheet name="補足表4-2" sheetId="50" r:id="rId8"/>
    <sheet name="補足表4-3" sheetId="51" r:id="rId9"/>
    <sheet name="補足表5-1" sheetId="52" r:id="rId10"/>
    <sheet name="補足表6-1" sheetId="62" r:id="rId11"/>
    <sheet name="補足表6-2" sheetId="63" r:id="rId12"/>
    <sheet name="補足表6-3" sheetId="64" r:id="rId13"/>
    <sheet name="補足表6-4" sheetId="65" r:id="rId14"/>
    <sheet name="補足表6-5" sheetId="66" r:id="rId15"/>
    <sheet name="補足表7-1" sheetId="53" r:id="rId16"/>
    <sheet name="補足表7-2" sheetId="54" r:id="rId17"/>
    <sheet name="補足表8-1" sheetId="67" r:id="rId18"/>
    <sheet name="補足表9-1" sheetId="55" r:id="rId19"/>
    <sheet name="補足表9-2" sheetId="56" r:id="rId20"/>
    <sheet name="補足表11-1" sheetId="68" r:id="rId21"/>
    <sheet name="補足表12-1" sheetId="57" r:id="rId22"/>
    <sheet name="補足表12-2" sheetId="58" r:id="rId23"/>
    <sheet name="補足表12-3" sheetId="59" r:id="rId24"/>
    <sheet name="補足表12-4" sheetId="60" r:id="rId25"/>
    <sheet name="補足表13-1" sheetId="61" r:id="rId26"/>
  </sheets>
  <definedNames>
    <definedName name="OLE_LINK1" localSheetId="16">'補足表7-2'!$B$47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<sst xmlns="http://schemas.openxmlformats.org/spreadsheetml/2006/main" count="1090" uniqueCount="718">
  <si>
    <t>F/Fmsy</t>
  </si>
  <si>
    <t>Inf</t>
  </si>
  <si>
    <t>c-AIC</t>
  </si>
  <si>
    <t>θ</t>
  </si>
  <si>
    <t>S0</t>
  </si>
  <si>
    <t>S7</t>
  </si>
  <si>
    <t>S8</t>
  </si>
  <si>
    <t>β</t>
  </si>
  <si>
    <t>年齢</t>
  </si>
  <si>
    <t>選択率</t>
  </si>
  <si>
    <t>（注1）</t>
  </si>
  <si>
    <t>Fmsy</t>
  </si>
  <si>
    <t>（注2）</t>
  </si>
  <si>
    <t>F2024</t>
  </si>
  <si>
    <t>（注3）</t>
  </si>
  <si>
    <t>F2021-2023</t>
  </si>
  <si>
    <t>（注4）</t>
  </si>
  <si>
    <t>平均</t>
  </si>
  <si>
    <t>体重</t>
  </si>
  <si>
    <t>（g）</t>
  </si>
  <si>
    <t>自然</t>
  </si>
  <si>
    <t>死亡</t>
  </si>
  <si>
    <t>係数</t>
  </si>
  <si>
    <t>成熟</t>
  </si>
  <si>
    <t>割合</t>
  </si>
  <si>
    <t>0歳</t>
  </si>
  <si>
    <t>1歳</t>
  </si>
  <si>
    <t>2歳</t>
  </si>
  <si>
    <t>3歳</t>
  </si>
  <si>
    <t>補足表5-1.　将来予測のパラメータ</t>
  </si>
  <si>
    <t>補足表6-1.　再生産関係式のパラメータ</t>
  </si>
  <si>
    <t>再生産関係式</t>
  </si>
  <si>
    <t>最適化法</t>
  </si>
  <si>
    <t>自己相関</t>
  </si>
  <si>
    <t>a</t>
  </si>
  <si>
    <t>b</t>
  </si>
  <si>
    <t>S.D.</t>
  </si>
  <si>
    <t>ρ</t>
  </si>
  <si>
    <t>ベバートン・ホルト型</t>
  </si>
  <si>
    <t>最小二乗法</t>
  </si>
  <si>
    <t>無</t>
  </si>
  <si>
    <t>-</t>
  </si>
  <si>
    <t>補足表6-2.　管理基準値案とMSY</t>
  </si>
  <si>
    <t>項目</t>
  </si>
  <si>
    <t>値</t>
  </si>
  <si>
    <t>説明</t>
  </si>
  <si>
    <t>SBmsy</t>
  </si>
  <si>
    <t>SB0.6msy</t>
  </si>
  <si>
    <t>SB0.1msy</t>
  </si>
  <si>
    <t>MSY</t>
  </si>
  <si>
    <t>最大持続生産量</t>
  </si>
  <si>
    <t>112千トン</t>
  </si>
  <si>
    <t>28千トン</t>
  </si>
  <si>
    <t>3千トン</t>
  </si>
  <si>
    <t>SBmsyを維持する漁獲圧</t>
  </si>
  <si>
    <t>（0歳, 1歳, 2歳, 3歳）=（0.38, 1.23, 1.39, 1.39）</t>
  </si>
  <si>
    <t>%SPR（Fmsy）</t>
  </si>
  <si>
    <t>Fmsyに対応する%SPR</t>
  </si>
  <si>
    <t>81千トン</t>
  </si>
  <si>
    <t>補足表6-3.　最新年の親魚量と漁獲圧</t>
  </si>
  <si>
    <t>SB2023</t>
  </si>
  <si>
    <t>F2023</t>
  </si>
  <si>
    <t>U2023</t>
  </si>
  <si>
    <t>管理基準値案との比較</t>
  </si>
  <si>
    <t>SB2023/ SBmsy</t>
  </si>
  <si>
    <t>F2023/ Fmsy</t>
  </si>
  <si>
    <t>親魚量の水準</t>
  </si>
  <si>
    <t>漁獲圧の水準</t>
  </si>
  <si>
    <t>親魚量の動向</t>
  </si>
  <si>
    <t>増加</t>
  </si>
  <si>
    <t>98千トン</t>
  </si>
  <si>
    <t>2023年の親魚量</t>
  </si>
  <si>
    <t>2023年の漁獲割合</t>
  </si>
  <si>
    <t>%SPR（F2023）</t>
  </si>
  <si>
    <t>2023年の%SPR</t>
  </si>
  <si>
    <t>%SPR（F2021-2023）</t>
  </si>
  <si>
    <t>現状（2021～2023年）の漁獲圧に対応する%SPR*</t>
  </si>
  <si>
    <t>最大持続生産量を実現する親魚量（SBmsy）に対する2023年の親魚量の比</t>
  </si>
  <si>
    <t>SBmsyを維持する漁獲圧（Fmsy）に対する2023年の漁獲圧の比*</t>
  </si>
  <si>
    <t>MSYを実現する水準を下回る</t>
  </si>
  <si>
    <t>SBmsyを維持する水準を下回る</t>
  </si>
  <si>
    <t>* 2023年の選択率の下でFmsyの漁獲圧を与えるFを%SPR換算して求めた比率。</t>
  </si>
  <si>
    <t>aとbは各再生産関係式の推定パラメータ、S.D.は加入量の標準偏差、ρは自己相関係数である。</t>
  </si>
  <si>
    <t>補足表6-4.　予測漁獲量と予測親魚量</t>
  </si>
  <si>
    <t>（千トン）</t>
  </si>
  <si>
    <t>β=0.9</t>
  </si>
  <si>
    <t>β=1.0</t>
  </si>
  <si>
    <t>β=0.8</t>
  </si>
  <si>
    <t>β=0.6</t>
  </si>
  <si>
    <t>β=0.4</t>
  </si>
  <si>
    <t>β=0.2</t>
  </si>
  <si>
    <t>β=0.0</t>
  </si>
  <si>
    <t>2025年の親魚量（予測平均値）：150千トン</t>
  </si>
  <si>
    <t>管理基準値等に関する研究機関会議資料で提案されたβ（最高値）</t>
  </si>
  <si>
    <t>上記と異なるβを使用した場合</t>
  </si>
  <si>
    <t>補足表6-5.　異なるβを用いた将来予測結果</t>
  </si>
  <si>
    <t>考慮している不確実性：加入量</t>
  </si>
  <si>
    <t>の親魚量</t>
  </si>
  <si>
    <t>予測区間</t>
  </si>
  <si>
    <t>78 – 184</t>
  </si>
  <si>
    <t>71 – 169</t>
  </si>
  <si>
    <t>87 – 201</t>
  </si>
  <si>
    <t>108 – 239</t>
  </si>
  <si>
    <t>137 – 288</t>
  </si>
  <si>
    <t>175 – 352</t>
  </si>
  <si>
    <t>229 – 440</t>
  </si>
  <si>
    <t>81 – 189</t>
  </si>
  <si>
    <t>2035年</t>
  </si>
  <si>
    <t>2035年に親魚量が以下の</t>
  </si>
  <si>
    <t>管理基準値案を上回る確率（%）</t>
  </si>
  <si>
    <t>補足表8-1. 北上期調査0歳魚CPUEの二項分布モデルおよびガンマ分布モデルにおける変数選択の結果</t>
  </si>
  <si>
    <t>順位</t>
  </si>
  <si>
    <t>SST</t>
  </si>
  <si>
    <t>T50</t>
  </si>
  <si>
    <t>SST:T50</t>
  </si>
  <si>
    <t>二項分布</t>
  </si>
  <si>
    <t>+</t>
  </si>
  <si>
    <t>ガンマ分布</t>
  </si>
  <si>
    <t>SSTは海表面水温、T50は水深50 mの水温を表す。+印は変数が選択されたことを、-印は変数が選択されなかったことを表す。</t>
  </si>
  <si>
    <t>補足表11-1.　評価年度別の各年の親魚量、加入量、および漁獲量</t>
  </si>
  <si>
    <t>(a) 親魚量（千トン）</t>
  </si>
  <si>
    <t>親魚量</t>
  </si>
  <si>
    <t>年</t>
  </si>
  <si>
    <t>評価年度</t>
  </si>
  <si>
    <t>(b) 加入量（百万尾）</t>
  </si>
  <si>
    <t>加入量</t>
  </si>
  <si>
    <t>(c) 漁獲量（千トン）</t>
  </si>
  <si>
    <t>黒色の数値は親魚量もしくは加入量の推定値か漁獲量の実績を表す。青色の数値は漁獲量の仮定値を表す。赤色の数値はβを0.8とした漁獲管理規則案を適用した場合の予測平均値を表す。</t>
  </si>
  <si>
    <t>チューニングVPAに使用した年の値は太字で示した。</t>
  </si>
  <si>
    <t>モデル名が緑文字で示されているものは、レトロバイアスを勘案した5項目全てでMohn’s ρが±0.20の範囲内であったモデルである。黒の太枠で囲ったのが本年度評価で採用したモデルである。</t>
  </si>
  <si>
    <t>モデル名が緑文字で示されているものは、レトロバイアスを勘案した5項目全てでMohn’s ρが±0.20の範囲内であったモデルである。</t>
  </si>
  <si>
    <t>本表は令和3（2021）年度までの資源評価報告書に示している月別データの表を年間でまとめたものである。卵数法による親魚量の[大括弧]内の月は、親魚量の最大月を表す。</t>
  </si>
  <si>
    <t>M1は田中（2022）のTable 1におけるConstrained parametersに相当する。</t>
  </si>
  <si>
    <t>北海道区
太平洋側</t>
  </si>
  <si>
    <t>資源量
(千トン)</t>
  </si>
  <si>
    <t>親魚量
(千トン)</t>
  </si>
  <si>
    <t>加入量
(億尾)</t>
  </si>
  <si>
    <t>再生産成功率
(尾/kg)</t>
  </si>
  <si>
    <t>漁獲割合
(%)</t>
  </si>
  <si>
    <t>%SPR</t>
  </si>
  <si>
    <t>補足表2-1.　チューニング指数</t>
  </si>
  <si>
    <t>規格化した産卵量</t>
  </si>
  <si>
    <t>北上期調査
0歳魚CPUE
(尾/網・時)</t>
  </si>
  <si>
    <t>補足表2-2.　コホート解析に用いた入力値と解析結果の詳細</t>
    <phoneticPr fontId="5"/>
  </si>
  <si>
    <t>年齢別漁獲尾数 (百万尾)</t>
  </si>
  <si>
    <t>年齢別資源尾数 (百万尾)</t>
  </si>
  <si>
    <t>年齢別資源量 (千トン)</t>
  </si>
  <si>
    <t>0歳魚</t>
  </si>
  <si>
    <t>1歳魚</t>
  </si>
  <si>
    <t>2歳魚</t>
  </si>
  <si>
    <t>3歳魚</t>
  </si>
  <si>
    <t>合計</t>
  </si>
  <si>
    <t>補足表2-3. モデル別の最尤推定となった初期値とMohn’s ρの一覧</t>
  </si>
  <si>
    <t>モデル名</t>
    <phoneticPr fontId="5"/>
  </si>
  <si>
    <t>Mohn's ρ</t>
  </si>
  <si>
    <t>資源量</t>
  </si>
  <si>
    <t>資源尾数</t>
  </si>
  <si>
    <t>漁獲係数</t>
  </si>
  <si>
    <t>絶対値
の合計</t>
  </si>
  <si>
    <t>チューニングVPA（λ=0）</t>
  </si>
  <si>
    <t>リッジVPA（λ=0.51）</t>
  </si>
  <si>
    <t>リッジVPA（λ=0.01）</t>
  </si>
  <si>
    <t>リッジVPA（λ=0.52）</t>
  </si>
  <si>
    <t>リッジVPA（λ=0.02）</t>
  </si>
  <si>
    <t>リッジVPA（λ=0.53）</t>
  </si>
  <si>
    <t>リッジVPA（λ=0.03）</t>
  </si>
  <si>
    <t>リッジVPA（λ=0.54）</t>
  </si>
  <si>
    <t>リッジVPA（λ=0.04）</t>
  </si>
  <si>
    <t>リッジVPA（λ=0.55）</t>
  </si>
  <si>
    <t>リッジVPA（λ=0.05）</t>
  </si>
  <si>
    <t>リッジVPA（λ=0.56）</t>
  </si>
  <si>
    <t>リッジVPA（λ=0.06）</t>
  </si>
  <si>
    <t>リッジVPA（λ=0.57）</t>
  </si>
  <si>
    <t>リッジVPA（λ=0.07）</t>
  </si>
  <si>
    <t>リッジVPA（λ=0.58）</t>
  </si>
  <si>
    <t>リッジVPA（λ=0.08）</t>
  </si>
  <si>
    <t>リッジVPA（λ=0.59）</t>
  </si>
  <si>
    <t>リッジVPA（λ=0.09）</t>
  </si>
  <si>
    <t>リッジVPA（λ=0.60）</t>
  </si>
  <si>
    <t>リッジVPA（λ=0.10）</t>
  </si>
  <si>
    <t>リッジVPA（λ=0.61）</t>
  </si>
  <si>
    <t>リッジVPA（λ=0.11）</t>
  </si>
  <si>
    <t>リッジVPA（λ=0.62）</t>
  </si>
  <si>
    <t>リッジVPA（λ=0.12）</t>
  </si>
  <si>
    <t>リッジVPA（λ=0.63）</t>
  </si>
  <si>
    <t>リッジVPA（λ=0.13）</t>
  </si>
  <si>
    <t>リッジVPA（λ=0.64）</t>
  </si>
  <si>
    <t>リッジVPA（λ=0.14）</t>
  </si>
  <si>
    <t>リッジVPA（λ=0.65）</t>
  </si>
  <si>
    <t>リッジVPA（λ=0.15）</t>
  </si>
  <si>
    <t>リッジVPA（λ=0.66）</t>
  </si>
  <si>
    <t>リッジVPA（λ=0.16）</t>
  </si>
  <si>
    <t>リッジVPA（λ=0.67）</t>
  </si>
  <si>
    <t>リッジVPA（λ=0.17）</t>
  </si>
  <si>
    <t>リッジVPA（λ=0.68）</t>
  </si>
  <si>
    <t>リッジVPA（λ=0.18）</t>
  </si>
  <si>
    <t>リッジVPA（λ=0.69）</t>
  </si>
  <si>
    <t>リッジVPA（λ=0.19）</t>
  </si>
  <si>
    <t>リッジVPA（λ=0.70）</t>
  </si>
  <si>
    <t>リッジVPA（λ=0.20）</t>
  </si>
  <si>
    <t>リッジVPA（λ=0.71）</t>
  </si>
  <si>
    <t>リッジVPA（λ=0.21）</t>
  </si>
  <si>
    <t>リッジVPA（λ=0.72）</t>
  </si>
  <si>
    <t>リッジVPA（λ=0.22）</t>
  </si>
  <si>
    <t>リッジVPA（λ=0.73）</t>
  </si>
  <si>
    <t>リッジVPA（λ=0.23）</t>
  </si>
  <si>
    <t>リッジVPA（λ=0.74）</t>
  </si>
  <si>
    <t>リッジVPA（λ=0.24）</t>
  </si>
  <si>
    <t>リッジVPA（λ=0.75）</t>
  </si>
  <si>
    <t>リッジVPA（λ=0.25）</t>
  </si>
  <si>
    <t>リッジVPA（λ=0.76）</t>
  </si>
  <si>
    <t>リッジVPA（λ=0.26）</t>
  </si>
  <si>
    <t>リッジVPA（λ=0.77）</t>
  </si>
  <si>
    <t>リッジVPA（λ=0.27）</t>
  </si>
  <si>
    <t>リッジVPA（λ=0.78）</t>
  </si>
  <si>
    <t>リッジVPA（λ=0.28）</t>
  </si>
  <si>
    <t>リッジVPA（λ=0.79）</t>
  </si>
  <si>
    <t>リッジVPA（λ=0.29）</t>
  </si>
  <si>
    <t>リッジVPA（λ=0.80）</t>
  </si>
  <si>
    <t>リッジVPA（λ=0.30）</t>
  </si>
  <si>
    <t>リッジVPA（λ=0.81）</t>
  </si>
  <si>
    <t>リッジVPA（λ=0.31）</t>
  </si>
  <si>
    <t>リッジVPA（λ=0.82）</t>
  </si>
  <si>
    <t>リッジVPA（λ=0.32）</t>
  </si>
  <si>
    <t>リッジVPA（λ=0.83）</t>
  </si>
  <si>
    <t>リッジVPA（λ=0.33）</t>
  </si>
  <si>
    <t>リッジVPA（λ=0.84）</t>
  </si>
  <si>
    <t>リッジVPA（λ=0.34）</t>
  </si>
  <si>
    <t>リッジVPA（λ=0.85）</t>
  </si>
  <si>
    <t>0.2961、2.2046、2.0394</t>
  </si>
  <si>
    <t>リッジVPA（λ=0.35）</t>
  </si>
  <si>
    <t>リッジVPA（λ=0.86）</t>
  </si>
  <si>
    <t>0.3008、2.2055、2.0403</t>
  </si>
  <si>
    <t>リッジVPA（λ=0.36）</t>
  </si>
  <si>
    <t>リッジVPA（λ=0.87）</t>
  </si>
  <si>
    <t>0.3065、2.2064、2.0411</t>
  </si>
  <si>
    <t>リッジVPA（λ=0.37）</t>
  </si>
  <si>
    <t>リッジVPA（λ=0.88）</t>
  </si>
  <si>
    <t>0.3138、2.2073、2.0420</t>
  </si>
  <si>
    <t>リッジVPA（λ=0.38）</t>
  </si>
  <si>
    <t>リッジVPA（λ=0.89）</t>
  </si>
  <si>
    <t>0.3234、2.2082、2.0429</t>
  </si>
  <si>
    <t>リッジVPA（λ=0.39）</t>
  </si>
  <si>
    <t>リッジVPA（λ=0.90）</t>
  </si>
  <si>
    <t>リッジVPA（λ=0.40）</t>
  </si>
  <si>
    <t>リッジVPA（λ=0.91）</t>
  </si>
  <si>
    <t>リッジVPA（λ=0.41）</t>
  </si>
  <si>
    <t>リッジVPA（λ=0.92）</t>
  </si>
  <si>
    <t>リッジVPA（λ=0.42）</t>
  </si>
  <si>
    <t>リッジVPA（λ=0.93）</t>
  </si>
  <si>
    <t>リッジVPA（λ=0.43）</t>
  </si>
  <si>
    <t>リッジVPA（λ=0.94）</t>
  </si>
  <si>
    <t>リッジVPA（λ=0.44）</t>
  </si>
  <si>
    <t>リッジVPA（λ=0.95）</t>
  </si>
  <si>
    <t>リッジVPA（λ=0.45）</t>
  </si>
  <si>
    <t>リッジVPA（λ=0.96）</t>
  </si>
  <si>
    <t>リッジVPA（λ=0.46）</t>
  </si>
  <si>
    <t>リッジVPA（λ=0.97）</t>
  </si>
  <si>
    <t>リッジVPA（λ=0.47）</t>
  </si>
  <si>
    <t>リッジVPA（λ=0.98）</t>
  </si>
  <si>
    <t>リッジVPA（λ=0.48）</t>
  </si>
  <si>
    <t>リッジVPA（λ=0.99）</t>
  </si>
  <si>
    <t>リッジVPA（λ=0.49）</t>
  </si>
  <si>
    <t>リッジVPA（λ=0.9999）</t>
  </si>
  <si>
    <t>リッジVPA（λ=0.50）</t>
  </si>
  <si>
    <t>緑色で塗りつぶしたセルはMohn’s ρが±0.20の範囲内であることを、青色で塗りつぶしたセルは±0.30の範囲内であることを示す。モデル名が緑文字で示されているものは、レトロバイアスを勘案した5項目全てでMohn’s ρが±0.20の範囲内であったモデルである。</t>
  </si>
  <si>
    <t>緑色で塗りつぶしたセルはMohn’s ρが±0.20の範囲内であることを、青色で塗りつぶしたセルは±0.30の範囲内であることを示す。モデル名が緑文字で示されているものは、レトロバイアスを勘案した5項目全てでMohn’s ρが±0.20の範囲内であったモデルである。黒の太枠で囲ったのが本年度評価で採用したモデルである。</t>
  </si>
  <si>
    <t>正の対数尤度</t>
  </si>
  <si>
    <t>ターミナルF（0、1、2歳魚）</t>
    <phoneticPr fontId="2"/>
  </si>
  <si>
    <t>0.2301、1.1360、0.0589</t>
  </si>
  <si>
    <t>0.2308、1.1664、0.0542</t>
  </si>
  <si>
    <t>0.2301、1.1367、0.0588</t>
  </si>
  <si>
    <t>0.2308、1.1666、0.0541</t>
  </si>
  <si>
    <t>0.2301、1.1374、0.0588</t>
  </si>
  <si>
    <t>0.2308、1.1668、0.0539</t>
  </si>
  <si>
    <t>0.2301、1.1381、0.0587</t>
  </si>
  <si>
    <t>0.2308、1.1669、0.0537</t>
  </si>
  <si>
    <t>0.2301、1.1388、0.0587</t>
  </si>
  <si>
    <t>0.2308、1.1670、0.0535</t>
  </si>
  <si>
    <t>0.2302、1.1395、0.0586</t>
  </si>
  <si>
    <t>0.2309、1.1670、0.0533</t>
  </si>
  <si>
    <t>0.2302、1.1402、0.0586</t>
  </si>
  <si>
    <t>0.2309、1.1669、0.0531</t>
  </si>
  <si>
    <t>0.2302、1.1409、0.0585</t>
  </si>
  <si>
    <t>0.2309、1.1668、0.0529</t>
  </si>
  <si>
    <t>0.2302、1.1417、0.0584</t>
  </si>
  <si>
    <t>0.2309、1.1667、0.0527</t>
  </si>
  <si>
    <t>0.2302、1.1424、0.0584</t>
  </si>
  <si>
    <t>0.2310、1.1665、0.0525</t>
  </si>
  <si>
    <t>0.2302、1.1431、0.0583</t>
  </si>
  <si>
    <t>0.2310、1.1662、0.0522</t>
  </si>
  <si>
    <t>0.2302、1.1438、0.0583</t>
  </si>
  <si>
    <t>0.2310、1.1659、0.0520</t>
  </si>
  <si>
    <t>0.2302、1.1445、0.0582</t>
  </si>
  <si>
    <t>0.2311、1.1654、0.0517</t>
  </si>
  <si>
    <t>0.2302、1.1452、0.0581</t>
  </si>
  <si>
    <t>0.2311、1.1649、0.0514</t>
  </si>
  <si>
    <t>0.2302、1.1459、0.0581</t>
  </si>
  <si>
    <t>0.2311、1.1643、0.0512</t>
  </si>
  <si>
    <t>0.2303、1.1466、0.0580</t>
  </si>
  <si>
    <t>0.2312、1.1636、0.0509</t>
  </si>
  <si>
    <t>0.2303、1.1473、0.0579</t>
  </si>
  <si>
    <t>0.2312、1.1628、0.0505</t>
  </si>
  <si>
    <t>0.2303、1.1480、0.0579</t>
  </si>
  <si>
    <t>0.2312、1.1619、0.0502</t>
  </si>
  <si>
    <t>0.2303、1.1487、0.0578</t>
  </si>
  <si>
    <t>0.2313、1.1608、0.0499</t>
  </si>
  <si>
    <t>0.2303、1.1494、0.0577</t>
  </si>
  <si>
    <t>0.2313、1.1596、0.0495</t>
  </si>
  <si>
    <t>0.2303、1.1501、0.0577</t>
  </si>
  <si>
    <t>0.2314、1.1582、0.0491</t>
  </si>
  <si>
    <t>0.2303、1.1508、0.0576</t>
  </si>
  <si>
    <t>0.2314、1.1567、0.0487</t>
  </si>
  <si>
    <t>0.2303、1.1514、0.0575</t>
  </si>
  <si>
    <t>0.2315、1.1550、0.0483</t>
  </si>
  <si>
    <t>0.2303、1.1521、0.0574</t>
  </si>
  <si>
    <t>0.2315、1.1531、0.0478</t>
  </si>
  <si>
    <t>0.2303、1.1528、0.0573</t>
  </si>
  <si>
    <t>0.2316、1.1509、0.0473</t>
  </si>
  <si>
    <t>0.2304、1.1535、0.0573</t>
  </si>
  <si>
    <t>0.2317、1.1485、0.0468</t>
  </si>
  <si>
    <t>0.2304、1.1541、0.0572</t>
  </si>
  <si>
    <t>0.2318、1.1457、0.0462</t>
  </si>
  <si>
    <t>0.2304、1.1548、0.0571</t>
  </si>
  <si>
    <t>0.2318、1.1427、0.0456</t>
  </si>
  <si>
    <t>0.2304、1.1554、0.0570</t>
  </si>
  <si>
    <t>0.2319、1.1392、0.0450</t>
  </si>
  <si>
    <t>0.2304、1.1561、0.0569</t>
  </si>
  <si>
    <t>0.2321、1.1353、0.0443</t>
  </si>
  <si>
    <t>0.2304、1.1567、0.0568</t>
  </si>
  <si>
    <t>0.2322、1.1308、0.0435</t>
  </si>
  <si>
    <t>0.2304、1.1573、0.0567</t>
  </si>
  <si>
    <t>0.2323、1.1257、0.0427</t>
  </si>
  <si>
    <t>0.2304、1.1579、0.0566</t>
  </si>
  <si>
    <t>0.2325、1.1199、0.0417</t>
  </si>
  <si>
    <t>0.2305、1.1585、0.0565</t>
  </si>
  <si>
    <t>0.2327、1.1131、0.0407</t>
  </si>
  <si>
    <t>0.2305、1.1591、0.0564</t>
  </si>
  <si>
    <t>0.2305、1.1597、0.0563</t>
  </si>
  <si>
    <t>0.2305、1.1603、0.0562</t>
  </si>
  <si>
    <t>0.2305、1.1608、0.0561</t>
  </si>
  <si>
    <t>0.2305、1.1614、0.0560</t>
  </si>
  <si>
    <t>0.2305、1.1619、0.0559</t>
  </si>
  <si>
    <t>0.3366、2.2093、2.0438</t>
  </si>
  <si>
    <t>0.2306、1.1624、0.0558</t>
  </si>
  <si>
    <t>0.3564、2.2105、2.0447</t>
  </si>
  <si>
    <t>0.2306、1.1629、0.0557</t>
  </si>
  <si>
    <t>0.3901、2.2120、2.0458</t>
  </si>
  <si>
    <t>0.2306、1.1634、0.0555</t>
  </si>
  <si>
    <t>0.4555、2.2141、2.0471</t>
  </si>
  <si>
    <t>0.2306、1.1638、0.0554</t>
  </si>
  <si>
    <t>0.5414、2.2164、2.0485</t>
  </si>
  <si>
    <t>0.2306、1.1642、0.0553</t>
  </si>
  <si>
    <t>0.6039、2.2178、2.0494</t>
  </si>
  <si>
    <t>0.2306、1.1646、0.0551</t>
  </si>
  <si>
    <t>0.6490、2.2188、2.0501</t>
  </si>
  <si>
    <t>0.2307、1.1650、0.0550</t>
  </si>
  <si>
    <t>0.6843、2.2195、2.0506</t>
  </si>
  <si>
    <t>0.2307、1.1654、0.0549</t>
  </si>
  <si>
    <t>0.7135、2.2201、2.0511</t>
  </si>
  <si>
    <t>0.2307、1.1657、0.0547</t>
  </si>
  <si>
    <t>0.7385、2.2206、2.0515</t>
  </si>
  <si>
    <t>0.2307、1.1660、0.0546</t>
  </si>
  <si>
    <t>0.7603、2.2211、2.0519</t>
  </si>
  <si>
    <t>0.2307、1.1662、0.0544</t>
  </si>
  <si>
    <t>チューニングなしVPA</t>
  </si>
  <si>
    <t>NA</t>
  </si>
  <si>
    <t>0.7605、2.2211、2.0519</t>
  </si>
  <si>
    <t>現状の漁獲圧</t>
    <phoneticPr fontId="5"/>
  </si>
  <si>
    <t>北西太平洋北上期浮魚類資源調査
におけるCPUEの全測点平均値
（尾/網・時）</t>
    <phoneticPr fontId="0"/>
  </si>
  <si>
    <t>卵数法による推定親魚量（千トン）</t>
    <phoneticPr fontId="0"/>
  </si>
  <si>
    <t>1歳魚以上</t>
  </si>
  <si>
    <t>I-IV区</t>
    <phoneticPr fontId="0"/>
  </si>
  <si>
    <t>I-III区</t>
    <phoneticPr fontId="0"/>
  </si>
  <si>
    <t xml:space="preserve">  159.6 [6月]</t>
  </si>
  <si>
    <t xml:space="preserve">  149.4 [6月]</t>
  </si>
  <si>
    <t xml:space="preserve">   84.9 [6月]</t>
  </si>
  <si>
    <t xml:space="preserve">   80.6 [6月]</t>
  </si>
  <si>
    <t xml:space="preserve">   51.1 [7月]</t>
  </si>
  <si>
    <t xml:space="preserve">   50.5 [7月]</t>
  </si>
  <si>
    <t xml:space="preserve">   81.4 [7月]</t>
  </si>
  <si>
    <t xml:space="preserve">   72.5 [7月]</t>
  </si>
  <si>
    <t xml:space="preserve">  137.3 [7月]</t>
  </si>
  <si>
    <t xml:space="preserve">  137.2 [7月]</t>
  </si>
  <si>
    <t xml:space="preserve">  182.2 [8月]</t>
  </si>
  <si>
    <t xml:space="preserve">   73.4 [7月]</t>
  </si>
  <si>
    <t xml:space="preserve">   73.3 [7月]</t>
  </si>
  <si>
    <t xml:space="preserve">  125.5 [6月]</t>
  </si>
  <si>
    <t xml:space="preserve">  125.2 [6月]</t>
  </si>
  <si>
    <t xml:space="preserve">  324.9 [7月]</t>
  </si>
  <si>
    <t xml:space="preserve">  324.8 [7月]</t>
  </si>
  <si>
    <t xml:space="preserve">  731.2 [7月]</t>
  </si>
  <si>
    <t xml:space="preserve">  726.0 [7月]</t>
  </si>
  <si>
    <t xml:space="preserve">  567.9 [7月]</t>
  </si>
  <si>
    <t xml:space="preserve">  565.9 [7月]</t>
  </si>
  <si>
    <t xml:space="preserve">  349.0 [5月]</t>
  </si>
  <si>
    <t xml:space="preserve">  342.7 [5月]</t>
  </si>
  <si>
    <t xml:space="preserve">  708.6 [6月]</t>
  </si>
  <si>
    <t xml:space="preserve">  707.9 [6月]</t>
  </si>
  <si>
    <t xml:space="preserve">  707.2 [6月]</t>
  </si>
  <si>
    <t xml:space="preserve">  350.9 [6月]</t>
  </si>
  <si>
    <t xml:space="preserve">  350.0 [6月]</t>
  </si>
  <si>
    <t xml:space="preserve">  539.5 [6月]</t>
  </si>
  <si>
    <t xml:space="preserve">  510.0 [6月]</t>
  </si>
  <si>
    <t xml:space="preserve">  742.5 [6月]</t>
  </si>
  <si>
    <t xml:space="preserve">  739.7 [6月]</t>
  </si>
  <si>
    <t>1,923.9 [5月]</t>
  </si>
  <si>
    <t>1,901.1 [5月]</t>
  </si>
  <si>
    <t xml:space="preserve">  732.2 [7月]</t>
  </si>
  <si>
    <t xml:space="preserve">  727.3 [7月]</t>
  </si>
  <si>
    <t>1,407.1 [6月]</t>
  </si>
  <si>
    <t>1,142.7 [7月]</t>
  </si>
  <si>
    <t>1,124.0 [7月]</t>
  </si>
  <si>
    <t>2,555.8 [5月]</t>
  </si>
  <si>
    <t>2,449.6 [5月]</t>
  </si>
  <si>
    <t>1,878.5 [5月]</t>
  </si>
  <si>
    <t>1,678.2 [5月]</t>
  </si>
  <si>
    <t>1,037.9 [6月]</t>
  </si>
  <si>
    <t>1,033.8 [6月]</t>
  </si>
  <si>
    <t>1,235.8 [7月]</t>
  </si>
  <si>
    <t>1,232.8 [7月]</t>
  </si>
  <si>
    <t>1,007.6 [7月]</t>
  </si>
  <si>
    <t>1,005.4 [7月]</t>
  </si>
  <si>
    <t xml:space="preserve">  594.0 [5月]</t>
  </si>
  <si>
    <t xml:space="preserve">  495.8 [5月]</t>
  </si>
  <si>
    <t xml:space="preserve">  749.7 [6月]</t>
  </si>
  <si>
    <t xml:space="preserve">  734.9 [6月]</t>
  </si>
  <si>
    <t>1,173.5 [6月]</t>
  </si>
  <si>
    <t>1,166.3 [6月]</t>
  </si>
  <si>
    <t xml:space="preserve">  852.3 [5月]</t>
  </si>
  <si>
    <t xml:space="preserve">  819.9 [5月]</t>
  </si>
  <si>
    <t>1,033.0 [6月]</t>
  </si>
  <si>
    <t>1,030.1 [6月]</t>
  </si>
  <si>
    <t xml:space="preserve">  374.8 [6月]</t>
  </si>
  <si>
    <t xml:space="preserve">  362.6 [6月]</t>
  </si>
  <si>
    <t xml:space="preserve">  356.2 [5月]</t>
  </si>
  <si>
    <t xml:space="preserve">  340.5 [5月]</t>
  </si>
  <si>
    <t xml:space="preserve">  230.4 [6月]</t>
  </si>
  <si>
    <t xml:space="preserve">  225.4 [6月]</t>
  </si>
  <si>
    <t xml:space="preserve">  111.4 [3月]</t>
  </si>
  <si>
    <t xml:space="preserve">   70.0 [8月]</t>
  </si>
  <si>
    <t xml:space="preserve">  142.6 [6月]</t>
  </si>
  <si>
    <t xml:space="preserve">  127.7 [6月]</t>
  </si>
  <si>
    <t xml:space="preserve">   71.1 [5月]</t>
  </si>
  <si>
    <t xml:space="preserve">   55.7 [5月]</t>
  </si>
  <si>
    <t xml:space="preserve">   89.6 [5月]</t>
  </si>
  <si>
    <t xml:space="preserve">   54.3 [6月]</t>
  </si>
  <si>
    <t xml:space="preserve">  162.5 [6月]</t>
  </si>
  <si>
    <t xml:space="preserve">  143.3 [6月]</t>
  </si>
  <si>
    <t xml:space="preserve">  381.0 [6月]</t>
  </si>
  <si>
    <t xml:space="preserve">  366.1 [6月]</t>
  </si>
  <si>
    <t xml:space="preserve">  162.9 [5月]</t>
  </si>
  <si>
    <t xml:space="preserve">  151.4 [5月]</t>
  </si>
  <si>
    <t xml:space="preserve">  307.5 [6月]</t>
  </si>
  <si>
    <t xml:space="preserve">  305.5 [6月]</t>
  </si>
  <si>
    <t>年</t>
    <phoneticPr fontId="2"/>
  </si>
  <si>
    <t>産卵量（兆粒）</t>
    <phoneticPr fontId="2"/>
  </si>
  <si>
    <t>卵数法による親魚量（千トン）</t>
    <phoneticPr fontId="2"/>
  </si>
  <si>
    <t>GSIの年間最高値</t>
    <phoneticPr fontId="2"/>
  </si>
  <si>
    <t>体重1g当たりバッチ産卵数の
年平均値（粒）</t>
    <phoneticPr fontId="2"/>
  </si>
  <si>
    <t>産卵間隔の
年平均値（日）</t>
    <phoneticPr fontId="2"/>
  </si>
  <si>
    <t>卵数加重平均水温の
年平均値（°C）</t>
    <phoneticPr fontId="2"/>
  </si>
  <si>
    <t>GSIの
年平均値</t>
    <phoneticPr fontId="2"/>
  </si>
  <si>
    <t>I</t>
  </si>
  <si>
    <t>II</t>
  </si>
  <si>
    <t>III</t>
  </si>
  <si>
    <t>IV</t>
  </si>
  <si>
    <t>76.2 [  6月]</t>
  </si>
  <si>
    <t>69.0 [  6月]</t>
  </si>
  <si>
    <t>9.6 [ 10月]</t>
  </si>
  <si>
    <t>16.8 [  7月]</t>
  </si>
  <si>
    <t>2.6 [  6月]</t>
  </si>
  <si>
    <t>69.1 [  6月]</t>
  </si>
  <si>
    <t>15.8 [  5月]</t>
  </si>
  <si>
    <t>23.5 [  4月]</t>
  </si>
  <si>
    <t>1.7 [ 10月]</t>
  </si>
  <si>
    <t>47.8 [  7月]</t>
  </si>
  <si>
    <t>7.3 [ 10月]</t>
  </si>
  <si>
    <t>3.0 [  5月]</t>
  </si>
  <si>
    <t>7.4 [  7月]</t>
  </si>
  <si>
    <t>61.6 [  7月]</t>
  </si>
  <si>
    <t>4.2 [  9月]</t>
  </si>
  <si>
    <t>8.8 [  7月]</t>
  </si>
  <si>
    <t>1.9 [  7月]</t>
  </si>
  <si>
    <t>125.6 [  7月]</t>
  </si>
  <si>
    <t>12.7 [  6月]</t>
  </si>
  <si>
    <t>5.2 [  5月]</t>
  </si>
  <si>
    <t>12.5 [  8月]</t>
  </si>
  <si>
    <t>169.3 [  8月]</t>
  </si>
  <si>
    <t>1.8 [  7月]</t>
  </si>
  <si>
    <t>10.0 [  4月]</t>
  </si>
  <si>
    <t>48.3 [  6月]</t>
  </si>
  <si>
    <t>61.4 [  7月]</t>
  </si>
  <si>
    <t>2.3 [  7月]</t>
  </si>
  <si>
    <t>3.5 [  5月]</t>
  </si>
  <si>
    <t>52.4 [  7月]</t>
  </si>
  <si>
    <t>119.2 [  6月]</t>
  </si>
  <si>
    <t>1.8 [  5月]</t>
  </si>
  <si>
    <t>5.5 [  3月]</t>
  </si>
  <si>
    <t>125.2 [  7月]</t>
  </si>
  <si>
    <t>190.5 [  7月]</t>
  </si>
  <si>
    <t>11.6 [  6月]</t>
  </si>
  <si>
    <t>1.1 [  6月]</t>
  </si>
  <si>
    <t>460.3 [  7月]</t>
  </si>
  <si>
    <t>258.0 [  7月]</t>
  </si>
  <si>
    <t>15.0 [  6月]</t>
  </si>
  <si>
    <t>80.0 [  4月]</t>
  </si>
  <si>
    <t>315.6 [  7月]</t>
  </si>
  <si>
    <t>313.1 [  4月]</t>
  </si>
  <si>
    <t>61.7 [  4月]</t>
  </si>
  <si>
    <t>45.1 [  5月]</t>
  </si>
  <si>
    <t>95.0 [  6月]</t>
  </si>
  <si>
    <t>315.3 [  5月]</t>
  </si>
  <si>
    <t>52.3 [  6月]</t>
  </si>
  <si>
    <t>51.0 [  4月]</t>
  </si>
  <si>
    <t>162.2 [  5月]</t>
  </si>
  <si>
    <t>567.1 [  6月]</t>
  </si>
  <si>
    <t>9.4 [  5月]</t>
  </si>
  <si>
    <t>56.0 [  5月]</t>
  </si>
  <si>
    <t>314.2 [  6月]</t>
  </si>
  <si>
    <t>386.0 [  6月]</t>
  </si>
  <si>
    <t>22.1 [  5月]</t>
  </si>
  <si>
    <t>1.0 [  4月]</t>
  </si>
  <si>
    <t>28.6 [  4月]</t>
  </si>
  <si>
    <t>315.4 [  6月]</t>
  </si>
  <si>
    <t>67.6 [  5月]</t>
  </si>
  <si>
    <t>96.2 [  4月]</t>
  </si>
  <si>
    <t>211.4 [  6月]</t>
  </si>
  <si>
    <t>285.6 [  6月]</t>
  </si>
  <si>
    <t>23.3 [  4月]</t>
  </si>
  <si>
    <t>58.8 [  5月]</t>
  </si>
  <si>
    <t>241.7 [  6月]</t>
  </si>
  <si>
    <t>483.0 [  6月]</t>
  </si>
  <si>
    <t>28.3 [  4月]</t>
  </si>
  <si>
    <t>16.4 [  4月]</t>
  </si>
  <si>
    <t>1,400.8 [  5月]</t>
  </si>
  <si>
    <t>644.9 [  3月]</t>
  </si>
  <si>
    <t>208.5 [  4月]</t>
  </si>
  <si>
    <t>106.4 [  3月]</t>
  </si>
  <si>
    <t>525.2 [  7月]</t>
  </si>
  <si>
    <t>448.0 [  4月]</t>
  </si>
  <si>
    <t>100.6 [  4月]</t>
  </si>
  <si>
    <t>29.6 [  6月]</t>
  </si>
  <si>
    <t>1,197.7 [  6月]</t>
  </si>
  <si>
    <t>207.4 [  6月]</t>
  </si>
  <si>
    <t>23.9 [  4月]</t>
  </si>
  <si>
    <t>0.1 [  3月]</t>
  </si>
  <si>
    <t>787.3 [  7月]</t>
  </si>
  <si>
    <t>423.6 [  6月]</t>
  </si>
  <si>
    <t>43.0 [  4月]</t>
  </si>
  <si>
    <t>61.3 [  6月]</t>
  </si>
  <si>
    <t>1,448.5 [  5月]</t>
  </si>
  <si>
    <t>848.3 [  5月]</t>
  </si>
  <si>
    <t>406.6 [  3月]</t>
  </si>
  <si>
    <t>207.9 [  4月]</t>
  </si>
  <si>
    <t>816.3 [  5月]</t>
  </si>
  <si>
    <t>746.7 [  5月]</t>
  </si>
  <si>
    <t>578.0 [  4月]</t>
  </si>
  <si>
    <t>200.3 [  5月]</t>
  </si>
  <si>
    <t>221.4 [  6月]</t>
  </si>
  <si>
    <t>760.9 [  6月]</t>
  </si>
  <si>
    <t>294.0 [  7月]</t>
  </si>
  <si>
    <t>174.7 [  3月]</t>
  </si>
  <si>
    <t>699.9 [  7月]</t>
  </si>
  <si>
    <t>520.2 [  7月]</t>
  </si>
  <si>
    <t>43.5 [  3月]</t>
  </si>
  <si>
    <t>32.6 [  3月]</t>
  </si>
  <si>
    <t>378.6 [  7月]</t>
  </si>
  <si>
    <t>605.3 [  7月]</t>
  </si>
  <si>
    <t>33.1 [  8月]</t>
  </si>
  <si>
    <t>348.2 [  4月]</t>
  </si>
  <si>
    <t>199.5 [  5月]</t>
  </si>
  <si>
    <t>279.0 [  5月]</t>
  </si>
  <si>
    <t>31.6 [  4月]</t>
  </si>
  <si>
    <t>98.2 [  5月]</t>
  </si>
  <si>
    <t>297.4 [  7月]</t>
  </si>
  <si>
    <t>479.7 [  6月]</t>
  </si>
  <si>
    <t>135.6 [  3月]</t>
  </si>
  <si>
    <t>32.2 [  7月]</t>
  </si>
  <si>
    <t>469.2 [  6月]</t>
  </si>
  <si>
    <t>650.4 [  6月]</t>
  </si>
  <si>
    <t>69.3 [  4月]</t>
  </si>
  <si>
    <t>11.3 [  4月]</t>
  </si>
  <si>
    <t>441.2 [  5月]</t>
  </si>
  <si>
    <t>375.1 [  5月]</t>
  </si>
  <si>
    <t>31.5 [  6月]</t>
  </si>
  <si>
    <t>70.5 [  4月]</t>
  </si>
  <si>
    <t>455.2 [  8月]</t>
  </si>
  <si>
    <t>774.1 [  6月]</t>
  </si>
  <si>
    <t>26.8 [  5月]</t>
  </si>
  <si>
    <t>44.3 [  2月]</t>
  </si>
  <si>
    <t>154.1 [  6月]</t>
  </si>
  <si>
    <t>194.7 [  6月]</t>
  </si>
  <si>
    <t>13.8 [  6月]</t>
  </si>
  <si>
    <t>23.2 [  3月]</t>
  </si>
  <si>
    <t>136.7 [  5月]</t>
  </si>
  <si>
    <t>198.5 [  6月]</t>
  </si>
  <si>
    <t>21.3 [  3月]</t>
  </si>
  <si>
    <t>73.8 [  6月]</t>
  </si>
  <si>
    <t>28.3 [  6月]</t>
  </si>
  <si>
    <t>171.5 [  6月]</t>
  </si>
  <si>
    <t>33.0 [  4月]</t>
  </si>
  <si>
    <t>21.1 [  3月]</t>
  </si>
  <si>
    <t>10.6 [  8月]</t>
  </si>
  <si>
    <t>52.3 [  8月]</t>
  </si>
  <si>
    <t>48.5 [  3月]</t>
  </si>
  <si>
    <t>62.0 [  3月]</t>
  </si>
  <si>
    <t>9.1 [  7月]</t>
  </si>
  <si>
    <t>115.3 [  6月]</t>
  </si>
  <si>
    <t>19.2 [  7月]</t>
  </si>
  <si>
    <t>22.0 [  5月]</t>
  </si>
  <si>
    <t>17.2 [  5月]</t>
  </si>
  <si>
    <t>41.3 [  6月]</t>
  </si>
  <si>
    <t>10.9 [  8月]</t>
  </si>
  <si>
    <t>19.5 [  2月]</t>
  </si>
  <si>
    <t>7.0 [  7月]</t>
  </si>
  <si>
    <t>42.2 [  6月]</t>
  </si>
  <si>
    <t>10.4 [  6月]</t>
  </si>
  <si>
    <t>52.5 [  5月]</t>
  </si>
  <si>
    <t>49.2 [  6月]</t>
  </si>
  <si>
    <t>81.2 [  6月]</t>
  </si>
  <si>
    <t>37.0 [  7月]</t>
  </si>
  <si>
    <t>68.0 [  2月]</t>
  </si>
  <si>
    <t>46.6 [  5月]</t>
  </si>
  <si>
    <t>340.0 [  6月]</t>
  </si>
  <si>
    <t>10.1 [  7月]</t>
  </si>
  <si>
    <t>79.1 [  5月]</t>
  </si>
  <si>
    <t>72.2 [  5月]</t>
  </si>
  <si>
    <t>99.7 [  6月]</t>
  </si>
  <si>
    <t>29.1 [  4月]</t>
  </si>
  <si>
    <t>85.2 [  4月]</t>
  </si>
  <si>
    <t>178.7 [  6月]</t>
  </si>
  <si>
    <t>121.9 [  6月]</t>
  </si>
  <si>
    <t>4.9 [  6月]</t>
  </si>
  <si>
    <t>18.3 [  5月]</t>
  </si>
  <si>
    <t>補足表9-1.　北部太平洋海域における資源量指標値</t>
  </si>
  <si>
    <t>北部太平洋大中型まき網の漁獲量、努力量、
CPUEおよび3〜6月資源量指数計</t>
    <phoneticPr fontId="5"/>
  </si>
  <si>
    <t>北西太平洋秋季浮魚類資源調査
におけるCPUEの全測点平均値</t>
  </si>
  <si>
    <t>漁獲量
（トン）</t>
  </si>
  <si>
    <t>努力量
（網数）</t>
  </si>
  <si>
    <t>CPUE
（トン/網）</t>
  </si>
  <si>
    <t>3月〜6月
資源量指数計</t>
  </si>
  <si>
    <t>体長11 cm未満
（尾/網・時）</t>
  </si>
  <si>
    <t>体長11 cm以上
（尾/網・時）</t>
  </si>
  <si>
    <t>補足表9-2.　常磐・房総海域における資源量指標値</t>
  </si>
  <si>
    <t>常磐・房総海域 (千葉・茨城・福島)
における前年11月〜当年6月の漁獲量
(主要港合計)</t>
  </si>
  <si>
    <t>千葉県大中型・中型2そうまき網船3隻の
2月〜6月の親魚相当銘柄 (中セグロ、
中ゴボウ、ゴボウ、大ゴボウ) の平均CPUE</t>
    <phoneticPr fontId="5"/>
  </si>
  <si>
    <t>体長12cm未満
（百トン）</t>
  </si>
  <si>
    <t>体長12cm以上
（百トン）</t>
  </si>
  <si>
    <t>CPUE （トン/網）</t>
  </si>
  <si>
    <t>シナリオ</t>
  </si>
  <si>
    <t>正の
対数尤度</t>
  </si>
  <si>
    <t>M1
（/年）</t>
  </si>
  <si>
    <t>年齢別資源尾数（百万尾）</t>
    <phoneticPr fontId="5"/>
  </si>
  <si>
    <t>年齢別漁獲係数</t>
    <phoneticPr fontId="5"/>
  </si>
  <si>
    <t>M2（サバ類による捕食死亡係数）</t>
    <phoneticPr fontId="5"/>
  </si>
  <si>
    <t>年</t>
    <phoneticPr fontId="5"/>
  </si>
  <si>
    <t>年齢別資源量（千トン）</t>
    <phoneticPr fontId="5"/>
  </si>
  <si>
    <t>資源量
（千トン）</t>
    <phoneticPr fontId="5"/>
  </si>
  <si>
    <t>親魚量
（千トン）</t>
    <phoneticPr fontId="5"/>
  </si>
  <si>
    <t>漁獲割合
（%）</t>
    <phoneticPr fontId="5"/>
  </si>
  <si>
    <t>補足表13-1.　シラス漁獲量と推定されたカタクチイワシシラス漁獲量およびシラス漁獲量に占めるカタクチイワシシラスの割合</t>
    <phoneticPr fontId="0"/>
  </si>
  <si>
    <t>漁業・養殖業生産統計年報のシラス漁獲量（トン）</t>
  </si>
  <si>
    <t>主要港合計</t>
  </si>
  <si>
    <t>太平洋合計（推定値）</t>
  </si>
  <si>
    <t>太平洋
南区</t>
  </si>
  <si>
    <t>太平洋
中区</t>
  </si>
  <si>
    <t>太平洋
北区</t>
  </si>
  <si>
    <t>太平洋
合計</t>
  </si>
  <si>
    <t>シラス漁獲量
（トン）</t>
  </si>
  <si>
    <t>カタクチイワシ
シラス漁獲量
（トン）</t>
  </si>
  <si>
    <t>カタクチイワシ
シラスの割合
（%）</t>
  </si>
  <si>
    <t>2023年の漁獲圧（漁獲係数F）（0歳, 1歳, 2歳, 3歳）=（0.23, 1.16, 0.06, 0.06）</t>
  </si>
  <si>
    <t>2025年の
漁獲量
（千トン）</t>
  </si>
  <si>
    <t>現状の漁獲圧に
対する比
（F/F2021-2023）</t>
  </si>
  <si>
    <t>2025年の
漁獲割合（%）</t>
  </si>
  <si>
    <t>SST^2</t>
  </si>
  <si>
    <t>T50^2</t>
  </si>
  <si>
    <t>ΔAIC</t>
  </si>
  <si>
    <r>
      <rPr>
        <sz val="10.5"/>
        <color rgb="FF000000"/>
        <rFont val="ＭＳ 明朝"/>
        <family val="1"/>
        <charset val="128"/>
      </rPr>
      <t>補足表</t>
    </r>
    <r>
      <rPr>
        <sz val="10.5"/>
        <color rgb="FF000000"/>
        <rFont val="Times New Roman"/>
        <family val="1"/>
      </rPr>
      <t>2-4. </t>
    </r>
    <r>
      <rPr>
        <sz val="10.5"/>
        <color rgb="FF000000"/>
        <rFont val="ＭＳ 明朝"/>
        <family val="1"/>
        <charset val="128"/>
      </rPr>
      <t>モデル別の対数尤度とターミナル</t>
    </r>
    <r>
      <rPr>
        <sz val="10.5"/>
        <color rgb="FF000000"/>
        <rFont val="Times New Roman"/>
        <family val="1"/>
      </rPr>
      <t>F</t>
    </r>
    <r>
      <rPr>
        <sz val="10.5"/>
        <color rgb="FF000000"/>
        <rFont val="ＭＳ 明朝"/>
        <family val="1"/>
        <charset val="128"/>
      </rPr>
      <t>の一覧</t>
    </r>
    <phoneticPr fontId="5"/>
  </si>
  <si>
    <r>
      <rPr>
        <sz val="10.5"/>
        <color rgb="FF000000"/>
        <rFont val="ＭＳ 明朝"/>
        <family val="1"/>
        <charset val="128"/>
      </rPr>
      <t>目標管理基準値案。最大持続生産量</t>
    </r>
    <r>
      <rPr>
        <sz val="10.5"/>
        <color rgb="FF000000"/>
        <rFont val="Times New Roman"/>
        <family val="1"/>
      </rPr>
      <t>MSY</t>
    </r>
    <r>
      <rPr>
        <sz val="10.5"/>
        <color rgb="FF000000"/>
        <rFont val="ＭＳ 明朝"/>
        <family val="1"/>
        <charset val="128"/>
      </rPr>
      <t>を実現する親魚量</t>
    </r>
    <phoneticPr fontId="5"/>
  </si>
  <si>
    <r>
      <rPr>
        <sz val="10.5"/>
        <color rgb="FF000000"/>
        <rFont val="ＭＳ 明朝"/>
        <family val="1"/>
        <charset val="128"/>
      </rPr>
      <t>限界管理基準値案。</t>
    </r>
    <r>
      <rPr>
        <sz val="10.5"/>
        <color rgb="FF000000"/>
        <rFont val="Times New Roman"/>
        <family val="1"/>
      </rPr>
      <t>MSY</t>
    </r>
    <r>
      <rPr>
        <sz val="10.5"/>
        <color rgb="FF000000"/>
        <rFont val="ＭＳ 明朝"/>
        <family val="1"/>
        <charset val="128"/>
      </rPr>
      <t>の</t>
    </r>
    <r>
      <rPr>
        <sz val="10.5"/>
        <color rgb="FF000000"/>
        <rFont val="Times New Roman"/>
        <family val="1"/>
      </rPr>
      <t>60%</t>
    </r>
    <r>
      <rPr>
        <sz val="10.5"/>
        <color rgb="FF000000"/>
        <rFont val="ＭＳ 明朝"/>
        <family val="1"/>
        <charset val="128"/>
      </rPr>
      <t>の漁獲量が得られる親魚量</t>
    </r>
    <phoneticPr fontId="5"/>
  </si>
  <si>
    <r>
      <rPr>
        <sz val="10.5"/>
        <color rgb="FF000000"/>
        <rFont val="ＭＳ 明朝"/>
        <family val="1"/>
        <charset val="128"/>
      </rPr>
      <t>禁漁水準案。</t>
    </r>
    <r>
      <rPr>
        <sz val="10.5"/>
        <color rgb="FF000000"/>
        <rFont val="Times New Roman"/>
        <family val="1"/>
      </rPr>
      <t>MSY</t>
    </r>
    <r>
      <rPr>
        <sz val="10.5"/>
        <color rgb="FF000000"/>
        <rFont val="ＭＳ 明朝"/>
        <family val="1"/>
        <charset val="128"/>
      </rPr>
      <t>の</t>
    </r>
    <r>
      <rPr>
        <sz val="10.5"/>
        <color rgb="FF000000"/>
        <rFont val="Times New Roman"/>
        <family val="1"/>
      </rPr>
      <t>10%</t>
    </r>
    <r>
      <rPr>
        <sz val="10.5"/>
        <color rgb="FF000000"/>
        <rFont val="ＭＳ 明朝"/>
        <family val="1"/>
        <charset val="128"/>
      </rPr>
      <t>の漁獲量が得られる親魚量</t>
    </r>
    <phoneticPr fontId="5"/>
  </si>
  <si>
    <r>
      <rPr>
        <sz val="10"/>
        <rFont val="ＭＳ 明朝"/>
        <family val="1"/>
        <charset val="128"/>
      </rPr>
      <t>令和</t>
    </r>
    <r>
      <rPr>
        <sz val="10"/>
        <rFont val="Times New Roman"/>
        <family val="1"/>
      </rPr>
      <t>6(2024)</t>
    </r>
    <r>
      <rPr>
        <sz val="10"/>
        <rFont val="ＭＳ 明朝"/>
        <family val="1"/>
        <charset val="128"/>
      </rPr>
      <t>年度カタクチイワシ太平洋系群の資源評価のデータセット</t>
    </r>
    <phoneticPr fontId="5"/>
  </si>
  <si>
    <r>
      <rPr>
        <sz val="10"/>
        <rFont val="ＭＳ 明朝"/>
        <family val="1"/>
        <charset val="128"/>
      </rPr>
      <t>表</t>
    </r>
    <r>
      <rPr>
        <sz val="10"/>
        <rFont val="Times New Roman"/>
        <family val="1"/>
      </rPr>
      <t>3-1.</t>
    </r>
    <r>
      <rPr>
        <sz val="10"/>
        <rFont val="ＭＳ 明朝"/>
        <family val="1"/>
        <charset val="128"/>
      </rPr>
      <t>　太平洋区における海区別漁獲量および主要港水揚量（トン）</t>
    </r>
    <phoneticPr fontId="5"/>
  </si>
  <si>
    <r>
      <rPr>
        <sz val="10"/>
        <rFont val="ＭＳ 明朝"/>
        <family val="1"/>
        <charset val="128"/>
      </rPr>
      <t>年</t>
    </r>
  </si>
  <si>
    <r>
      <rPr>
        <sz val="10"/>
        <rFont val="ＭＳ 明朝"/>
        <family val="1"/>
        <charset val="128"/>
      </rPr>
      <t>漁獲量</t>
    </r>
    <r>
      <rPr>
        <sz val="10"/>
        <rFont val="Times New Roman"/>
        <family val="1"/>
      </rPr>
      <t xml:space="preserve"> (</t>
    </r>
    <r>
      <rPr>
        <sz val="10"/>
        <rFont val="ＭＳ 明朝"/>
        <family val="1"/>
        <charset val="128"/>
      </rPr>
      <t>トン</t>
    </r>
    <r>
      <rPr>
        <sz val="10"/>
        <rFont val="Times New Roman"/>
        <family val="1"/>
      </rPr>
      <t>)</t>
    </r>
  </si>
  <si>
    <r>
      <rPr>
        <sz val="10"/>
        <rFont val="ＭＳ 明朝"/>
        <family val="1"/>
        <charset val="128"/>
      </rPr>
      <t>太平洋南区</t>
    </r>
  </si>
  <si>
    <r>
      <rPr>
        <sz val="10"/>
        <rFont val="ＭＳ 明朝"/>
        <family val="1"/>
        <charset val="128"/>
      </rPr>
      <t xml:space="preserve">太平洋中区
</t>
    </r>
    <r>
      <rPr>
        <sz val="10"/>
        <rFont val="Times New Roman"/>
        <family val="1"/>
      </rPr>
      <t>(</t>
    </r>
    <r>
      <rPr>
        <sz val="10"/>
        <rFont val="ＭＳ 明朝"/>
        <family val="1"/>
        <charset val="128"/>
      </rPr>
      <t>千葉県除く</t>
    </r>
    <r>
      <rPr>
        <sz val="10"/>
        <rFont val="Times New Roman"/>
        <family val="1"/>
      </rPr>
      <t>)</t>
    </r>
  </si>
  <si>
    <r>
      <rPr>
        <sz val="10"/>
        <rFont val="ＭＳ 明朝"/>
        <family val="1"/>
        <charset val="128"/>
      </rPr>
      <t xml:space="preserve">千葉県
</t>
    </r>
    <r>
      <rPr>
        <sz val="10"/>
        <rFont val="Times New Roman"/>
        <family val="1"/>
      </rPr>
      <t>(</t>
    </r>
    <r>
      <rPr>
        <sz val="10"/>
        <rFont val="ＭＳ 明朝"/>
        <family val="1"/>
        <charset val="128"/>
      </rPr>
      <t>太平洋中区</t>
    </r>
    <r>
      <rPr>
        <sz val="10"/>
        <rFont val="Times New Roman"/>
        <family val="1"/>
      </rPr>
      <t>)</t>
    </r>
  </si>
  <si>
    <r>
      <rPr>
        <sz val="10"/>
        <rFont val="ＭＳ 明朝"/>
        <family val="1"/>
        <charset val="128"/>
      </rPr>
      <t>太平洋北区</t>
    </r>
  </si>
  <si>
    <r>
      <rPr>
        <sz val="10"/>
        <rFont val="ＭＳ 明朝"/>
        <family val="1"/>
        <charset val="128"/>
      </rPr>
      <t>北海道区
太平洋側</t>
    </r>
  </si>
  <si>
    <r>
      <rPr>
        <sz val="10"/>
        <rFont val="ＭＳ 明朝"/>
        <family val="1"/>
        <charset val="128"/>
      </rPr>
      <t>太平洋合計</t>
    </r>
  </si>
  <si>
    <r>
      <rPr>
        <sz val="10"/>
        <rFont val="ＭＳ 明朝"/>
        <family val="1"/>
        <charset val="128"/>
      </rPr>
      <t>主要港
漁獲量</t>
    </r>
  </si>
  <si>
    <r>
      <rPr>
        <sz val="10.5"/>
        <rFont val="ＭＳ 明朝"/>
        <family val="1"/>
        <charset val="128"/>
      </rPr>
      <t>表</t>
    </r>
    <r>
      <rPr>
        <sz val="10.5"/>
        <rFont val="Times New Roman"/>
        <family val="1"/>
      </rPr>
      <t>4-1.</t>
    </r>
    <r>
      <rPr>
        <sz val="10.5"/>
        <rFont val="ＭＳ 明朝"/>
        <family val="1"/>
        <charset val="128"/>
      </rPr>
      <t>　カタクチイワシ太平洋系群の資源解析結果</t>
    </r>
    <r>
      <rPr>
        <sz val="10.5"/>
        <rFont val="Times New Roman"/>
        <family val="1"/>
      </rPr>
      <t xml:space="preserve"> (</t>
    </r>
    <r>
      <rPr>
        <sz val="10.5"/>
        <rFont val="ＭＳ 明朝"/>
        <family val="1"/>
        <charset val="128"/>
      </rPr>
      <t>チューニング</t>
    </r>
    <r>
      <rPr>
        <sz val="10.5"/>
        <rFont val="Times New Roman"/>
        <family val="1"/>
      </rPr>
      <t>VPA</t>
    </r>
    <r>
      <rPr>
        <sz val="10.5"/>
        <rFont val="ＭＳ 明朝"/>
        <family val="1"/>
        <charset val="128"/>
      </rPr>
      <t>の結果</t>
    </r>
    <r>
      <rPr>
        <sz val="10.5"/>
        <rFont val="Times New Roman"/>
        <family val="1"/>
      </rPr>
      <t>)</t>
    </r>
    <phoneticPr fontId="5"/>
  </si>
  <si>
    <r>
      <rPr>
        <sz val="11"/>
        <color rgb="FF000000"/>
        <rFont val="Times New Roman"/>
        <family val="1"/>
        <charset val="128"/>
      </rPr>
      <t>年齢別平均体重</t>
    </r>
    <r>
      <rPr>
        <sz val="11"/>
        <color rgb="FF000000"/>
        <rFont val="Times New Roman"/>
        <family val="1"/>
      </rPr>
      <t xml:space="preserve"> (g)</t>
    </r>
  </si>
  <si>
    <r>
      <rPr>
        <sz val="10.5"/>
        <rFont val="Times New Roman"/>
        <family val="1"/>
        <charset val="128"/>
      </rPr>
      <t>初期値
（</t>
    </r>
    <r>
      <rPr>
        <sz val="10.5"/>
        <rFont val="Times New Roman"/>
        <family val="1"/>
      </rPr>
      <t>3</t>
    </r>
    <r>
      <rPr>
        <sz val="10.5"/>
        <rFont val="Times New Roman"/>
        <family val="1"/>
        <charset val="128"/>
      </rPr>
      <t>個の場合は</t>
    </r>
    <r>
      <rPr>
        <sz val="10.5"/>
        <rFont val="Times New Roman"/>
        <family val="1"/>
      </rPr>
      <t>0</t>
    </r>
    <r>
      <rPr>
        <sz val="10.5"/>
        <rFont val="Times New Roman"/>
        <family val="1"/>
        <charset val="128"/>
      </rPr>
      <t>、</t>
    </r>
    <r>
      <rPr>
        <sz val="10.5"/>
        <rFont val="Times New Roman"/>
        <family val="1"/>
      </rPr>
      <t>1</t>
    </r>
    <r>
      <rPr>
        <sz val="10.5"/>
        <rFont val="Times New Roman"/>
        <family val="1"/>
        <charset val="128"/>
      </rPr>
      <t>、</t>
    </r>
    <r>
      <rPr>
        <sz val="10.5"/>
        <rFont val="Times New Roman"/>
        <family val="1"/>
      </rPr>
      <t>2</t>
    </r>
    <r>
      <rPr>
        <sz val="10.5"/>
        <rFont val="Times New Roman"/>
        <family val="1"/>
        <charset val="128"/>
      </rPr>
      <t>歳魚）</t>
    </r>
    <phoneticPr fontId="2"/>
  </si>
  <si>
    <r>
      <t>補足表</t>
    </r>
    <r>
      <rPr>
        <sz val="10.5"/>
        <rFont val="Times New Roman"/>
        <family val="1"/>
      </rPr>
      <t>4-1.</t>
    </r>
    <r>
      <rPr>
        <sz val="10.5"/>
        <rFont val="ＭＳ Ｐ明朝"/>
        <family val="1"/>
        <charset val="128"/>
      </rPr>
      <t>　将来の親魚量が目標・限界管理基準値案を上回る確率（%）</t>
    </r>
    <phoneticPr fontId="5"/>
  </si>
  <si>
    <r>
      <t>a</t>
    </r>
    <r>
      <rPr>
        <sz val="10.5"/>
        <rFont val="ＭＳ 明朝"/>
        <family val="1"/>
        <charset val="128"/>
      </rPr>
      <t>）漁獲圧の上限を</t>
    </r>
    <r>
      <rPr>
        <sz val="10.5"/>
        <rFont val="Times New Roman"/>
        <family val="1"/>
      </rPr>
      <t>Fmsy</t>
    </r>
    <r>
      <rPr>
        <sz val="10.5"/>
        <rFont val="ＭＳ 明朝"/>
        <family val="1"/>
        <charset val="128"/>
      </rPr>
      <t>とした漁獲管理規則案を用いた場合に</t>
    </r>
    <r>
      <rPr>
        <sz val="10.5"/>
        <rFont val="Times New Roman"/>
        <family val="1"/>
      </rPr>
      <t>SBmsy</t>
    </r>
    <r>
      <rPr>
        <sz val="10.5"/>
        <rFont val="ＭＳ 明朝"/>
        <family val="1"/>
        <charset val="128"/>
      </rPr>
      <t>を上回る確率</t>
    </r>
  </si>
  <si>
    <r>
      <t>b</t>
    </r>
    <r>
      <rPr>
        <sz val="10.5"/>
        <rFont val="ＭＳ 明朝"/>
        <family val="1"/>
        <charset val="128"/>
      </rPr>
      <t>）漁獲圧の上限を</t>
    </r>
    <r>
      <rPr>
        <sz val="10.5"/>
        <rFont val="Times New Roman"/>
        <family val="1"/>
      </rPr>
      <t>Fmsy</t>
    </r>
    <r>
      <rPr>
        <sz val="10.5"/>
        <rFont val="ＭＳ 明朝"/>
        <family val="1"/>
        <charset val="128"/>
      </rPr>
      <t>とした漁獲管理規則案を用いた場合に</t>
    </r>
    <r>
      <rPr>
        <sz val="10.5"/>
        <rFont val="Times New Roman"/>
        <family val="1"/>
      </rPr>
      <t>SB0.6msy</t>
    </r>
    <r>
      <rPr>
        <sz val="10.5"/>
        <rFont val="ＭＳ 明朝"/>
        <family val="1"/>
        <charset val="128"/>
      </rPr>
      <t>を上回る確率</t>
    </r>
  </si>
  <si>
    <r>
      <t>β</t>
    </r>
    <r>
      <rPr>
        <sz val="10.5"/>
        <rFont val="ＭＳ 明朝"/>
        <family val="1"/>
        <charset val="128"/>
      </rPr>
      <t>を</t>
    </r>
    <r>
      <rPr>
        <sz val="10.5"/>
        <rFont val="Times New Roman"/>
        <family val="1"/>
      </rPr>
      <t>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年の漁獲量は直近</t>
    </r>
    <r>
      <rPr>
        <sz val="10.5"/>
        <rFont val="Times New Roman"/>
        <family val="1"/>
      </rPr>
      <t>5</t>
    </r>
    <r>
      <rPr>
        <sz val="10.5"/>
        <rFont val="ＭＳ 明朝"/>
        <family val="1"/>
        <charset val="128"/>
      </rPr>
      <t>年平均（</t>
    </r>
    <r>
      <rPr>
        <sz val="10.5"/>
        <rFont val="Times New Roman"/>
        <family val="1"/>
      </rPr>
      <t>2019</t>
    </r>
    <r>
      <rPr>
        <sz val="10.5"/>
        <rFont val="ＭＳ 明朝"/>
        <family val="1"/>
        <charset val="128"/>
      </rPr>
      <t>〜</t>
    </r>
    <r>
      <rPr>
        <sz val="10.5"/>
        <rFont val="Times New Roman"/>
        <family val="1"/>
      </rPr>
      <t>2023</t>
    </r>
    <r>
      <rPr>
        <sz val="10.5"/>
        <rFont val="ＭＳ 明朝"/>
        <family val="1"/>
        <charset val="128"/>
      </rPr>
      <t>年）の</t>
    </r>
    <r>
      <rPr>
        <sz val="10.5"/>
        <rFont val="Times New Roman"/>
        <family val="1"/>
      </rPr>
      <t>45</t>
    </r>
    <r>
      <rPr>
        <sz val="10.5"/>
        <rFont val="ＭＳ 明朝"/>
        <family val="1"/>
        <charset val="128"/>
      </rPr>
      <t>千トンとし、</t>
    </r>
    <r>
      <rPr>
        <sz val="10.5"/>
        <rFont val="Times New Roman"/>
        <family val="1"/>
      </rPr>
      <t>2025</t>
    </r>
    <r>
      <rPr>
        <sz val="10.5"/>
        <rFont val="ＭＳ 明朝"/>
        <family val="1"/>
        <charset val="128"/>
      </rPr>
      <t>年から漁獲管理規則案による漁獲とした。比較のため現状の漁獲圧（</t>
    </r>
    <r>
      <rPr>
        <sz val="10.5"/>
        <rFont val="Times New Roman"/>
        <family val="1"/>
      </rPr>
      <t>F2021-F2023</t>
    </r>
    <r>
      <rPr>
        <sz val="10.5"/>
        <rFont val="ＭＳ 明朝"/>
        <family val="1"/>
        <charset val="128"/>
      </rPr>
      <t>、</t>
    </r>
    <r>
      <rPr>
        <sz val="10.5"/>
        <rFont val="Times New Roman"/>
        <family val="1"/>
      </rPr>
      <t>β = 0.87</t>
    </r>
    <r>
      <rPr>
        <sz val="10.5"/>
        <rFont val="ＭＳ 明朝"/>
        <family val="1"/>
        <charset val="128"/>
      </rPr>
      <t>に相当）で漁獲を続けた場合の結果も示した。</t>
    </r>
  </si>
  <si>
    <r>
      <t>補足表</t>
    </r>
    <r>
      <rPr>
        <sz val="10.5"/>
        <rFont val="Times New Roman"/>
        <family val="1"/>
      </rPr>
      <t>4-2.</t>
    </r>
    <r>
      <rPr>
        <sz val="10.5"/>
        <rFont val="ＭＳ 明朝"/>
        <family val="1"/>
        <charset val="128"/>
      </rPr>
      <t>　将来の平均親魚量（千トン）</t>
    </r>
    <phoneticPr fontId="5"/>
  </si>
  <si>
    <r>
      <t>補足表</t>
    </r>
    <r>
      <rPr>
        <sz val="10.5"/>
        <rFont val="Times New Roman"/>
        <family val="1"/>
      </rPr>
      <t>4-3.</t>
    </r>
    <r>
      <rPr>
        <sz val="10.5"/>
        <rFont val="ＭＳ 明朝"/>
        <family val="1"/>
        <charset val="128"/>
      </rPr>
      <t>　将来の平均漁獲量（千トン）</t>
    </r>
  </si>
  <si>
    <r>
      <t>β</t>
    </r>
    <r>
      <rPr>
        <sz val="10.5"/>
        <rFont val="ＭＳ Ｐ明朝"/>
        <family val="1"/>
        <charset val="128"/>
      </rPr>
      <t>を</t>
    </r>
    <r>
      <rPr>
        <sz val="10.5"/>
        <rFont val="Times New Roman"/>
        <family val="1"/>
      </rPr>
      <t>0</t>
    </r>
    <r>
      <rPr>
        <sz val="10.5"/>
        <rFont val="ＭＳ Ｐ明朝"/>
        <family val="1"/>
        <charset val="128"/>
      </rPr>
      <t>〜</t>
    </r>
    <r>
      <rPr>
        <sz val="10.5"/>
        <rFont val="Times New Roman"/>
        <family val="1"/>
      </rPr>
      <t>1.0</t>
    </r>
    <r>
      <rPr>
        <sz val="10.5"/>
        <rFont val="ＭＳ Ｐ明朝"/>
        <family val="1"/>
        <charset val="128"/>
      </rPr>
      <t>で変更した場合の将来予測の結果を示す。</t>
    </r>
    <r>
      <rPr>
        <sz val="10.5"/>
        <rFont val="Times New Roman"/>
        <family val="1"/>
      </rPr>
      <t>2024</t>
    </r>
    <r>
      <rPr>
        <sz val="10.5"/>
        <rFont val="ＭＳ Ｐ明朝"/>
        <family val="1"/>
        <charset val="128"/>
      </rPr>
      <t>年の漁獲量は直近</t>
    </r>
    <r>
      <rPr>
        <sz val="10.5"/>
        <rFont val="Times New Roman"/>
        <family val="1"/>
      </rPr>
      <t>5</t>
    </r>
    <r>
      <rPr>
        <sz val="10.5"/>
        <rFont val="ＭＳ Ｐ明朝"/>
        <family val="1"/>
        <charset val="128"/>
      </rPr>
      <t>年平均（</t>
    </r>
    <r>
      <rPr>
        <sz val="10.5"/>
        <rFont val="Times New Roman"/>
        <family val="1"/>
      </rPr>
      <t>2019</t>
    </r>
    <r>
      <rPr>
        <sz val="10.5"/>
        <rFont val="ＭＳ Ｐ明朝"/>
        <family val="1"/>
        <charset val="128"/>
      </rPr>
      <t>〜</t>
    </r>
    <r>
      <rPr>
        <sz val="10.5"/>
        <rFont val="Times New Roman"/>
        <family val="1"/>
      </rPr>
      <t>2023</t>
    </r>
    <r>
      <rPr>
        <sz val="10.5"/>
        <rFont val="ＭＳ Ｐ明朝"/>
        <family val="1"/>
        <charset val="128"/>
      </rPr>
      <t>年）の</t>
    </r>
    <r>
      <rPr>
        <sz val="10.5"/>
        <rFont val="Times New Roman"/>
        <family val="1"/>
      </rPr>
      <t>45</t>
    </r>
    <r>
      <rPr>
        <sz val="10.5"/>
        <rFont val="ＭＳ Ｐ明朝"/>
        <family val="1"/>
        <charset val="128"/>
      </rPr>
      <t>千トンとし、</t>
    </r>
    <r>
      <rPr>
        <sz val="10.5"/>
        <rFont val="Times New Roman"/>
        <family val="1"/>
      </rPr>
      <t>2025</t>
    </r>
    <r>
      <rPr>
        <sz val="10.5"/>
        <rFont val="ＭＳ Ｐ明朝"/>
        <family val="1"/>
        <charset val="128"/>
      </rPr>
      <t>年から漁獲管理規則案による漁獲とした。比較のため現状の漁獲圧（</t>
    </r>
    <r>
      <rPr>
        <sz val="10.5"/>
        <rFont val="Times New Roman"/>
        <family val="1"/>
      </rPr>
      <t>F2021-F2023</t>
    </r>
    <r>
      <rPr>
        <sz val="10.5"/>
        <rFont val="ＭＳ Ｐ明朝"/>
        <family val="1"/>
        <charset val="128"/>
      </rPr>
      <t>、</t>
    </r>
    <r>
      <rPr>
        <sz val="10.5"/>
        <rFont val="Times New Roman"/>
        <family val="1"/>
      </rPr>
      <t>β = 0.87</t>
    </r>
    <r>
      <rPr>
        <sz val="10.5"/>
        <rFont val="ＭＳ Ｐ明朝"/>
        <family val="1"/>
        <charset val="128"/>
      </rPr>
      <t>に相当）で漁獲を続けた場合の結果も示した。</t>
    </r>
    <phoneticPr fontId="5"/>
  </si>
  <si>
    <r>
      <t>注</t>
    </r>
    <r>
      <rPr>
        <sz val="10.5"/>
        <rFont val="Times New Roman"/>
        <family val="1"/>
      </rPr>
      <t>1</t>
    </r>
    <r>
      <rPr>
        <sz val="10.5"/>
        <rFont val="ＭＳ 明朝"/>
        <family val="1"/>
        <charset val="128"/>
      </rPr>
      <t>：令和</t>
    </r>
    <r>
      <rPr>
        <sz val="10.5"/>
        <rFont val="Times New Roman"/>
        <family val="1"/>
      </rPr>
      <t>3</t>
    </r>
    <r>
      <rPr>
        <sz val="10.5"/>
        <rFont val="ＭＳ 明朝"/>
        <family val="1"/>
        <charset val="128"/>
      </rPr>
      <t>年度研究機関会議で</t>
    </r>
    <r>
      <rPr>
        <sz val="10.5"/>
        <rFont val="Times New Roman"/>
        <family val="1"/>
      </rPr>
      <t>MSY</t>
    </r>
    <r>
      <rPr>
        <sz val="10.5"/>
        <rFont val="ＭＳ 明朝"/>
        <family val="1"/>
        <charset val="128"/>
      </rPr>
      <t>を実現する水準の推定の際に使用した選択率（すなわ
　　 ち、令和</t>
    </r>
    <r>
      <rPr>
        <sz val="10.5"/>
        <rFont val="Times New Roman"/>
        <family val="1"/>
      </rPr>
      <t>2</t>
    </r>
    <r>
      <rPr>
        <sz val="10.5"/>
        <rFont val="ＭＳ 明朝"/>
        <family val="1"/>
        <charset val="128"/>
      </rPr>
      <t>年度資源評価での</t>
    </r>
    <r>
      <rPr>
        <sz val="10.5"/>
        <rFont val="Times New Roman"/>
        <family val="1"/>
      </rPr>
      <t>Fcurrent</t>
    </r>
    <r>
      <rPr>
        <sz val="10.5"/>
        <rFont val="ＭＳ 明朝"/>
        <family val="1"/>
        <charset val="128"/>
      </rPr>
      <t>の選択率）。</t>
    </r>
    <phoneticPr fontId="5"/>
  </si>
  <si>
    <r>
      <t>注</t>
    </r>
    <r>
      <rPr>
        <sz val="10.5"/>
        <rFont val="Times New Roman"/>
        <family val="1"/>
      </rPr>
      <t>2</t>
    </r>
    <r>
      <rPr>
        <sz val="10.5"/>
        <rFont val="ＭＳ 明朝"/>
        <family val="1"/>
        <charset val="128"/>
      </rPr>
      <t>：令和</t>
    </r>
    <r>
      <rPr>
        <sz val="10.5"/>
        <rFont val="Times New Roman"/>
        <family val="1"/>
      </rPr>
      <t>3</t>
    </r>
    <r>
      <rPr>
        <sz val="10.5"/>
        <rFont val="ＭＳ 明朝"/>
        <family val="1"/>
        <charset val="128"/>
      </rPr>
      <t>年度研究機関会議で推定された</t>
    </r>
    <r>
      <rPr>
        <sz val="10.5"/>
        <rFont val="Times New Roman"/>
        <family val="1"/>
      </rPr>
      <t>Fmsy</t>
    </r>
    <r>
      <rPr>
        <sz val="10.5"/>
        <rFont val="ＭＳ 明朝"/>
        <family val="1"/>
        <charset val="128"/>
      </rPr>
      <t>（すなわち、令和</t>
    </r>
    <r>
      <rPr>
        <sz val="10.5"/>
        <rFont val="Times New Roman"/>
        <family val="1"/>
      </rPr>
      <t>2</t>
    </r>
    <r>
      <rPr>
        <sz val="10.5"/>
        <rFont val="ＭＳ 明朝"/>
        <family val="1"/>
        <charset val="128"/>
      </rPr>
      <t xml:space="preserve">年度資源評価での
　　 </t>
    </r>
    <r>
      <rPr>
        <sz val="10.5"/>
        <rFont val="Times New Roman"/>
        <family val="1"/>
      </rPr>
      <t>Fcurrent</t>
    </r>
    <r>
      <rPr>
        <sz val="10.5"/>
        <rFont val="ＭＳ 明朝"/>
        <family val="1"/>
        <charset val="128"/>
      </rPr>
      <t>に</t>
    </r>
    <r>
      <rPr>
        <sz val="10.5"/>
        <rFont val="Times New Roman"/>
        <family val="1"/>
      </rPr>
      <t>Fmsy/Fcurrent</t>
    </r>
    <r>
      <rPr>
        <sz val="10.5"/>
        <rFont val="ＭＳ 明朝"/>
        <family val="1"/>
        <charset val="128"/>
      </rPr>
      <t>を掛けたもの）。</t>
    </r>
    <phoneticPr fontId="5"/>
  </si>
  <si>
    <r>
      <t>注</t>
    </r>
    <r>
      <rPr>
        <sz val="10.5"/>
        <rFont val="Times New Roman"/>
        <family val="1"/>
      </rPr>
      <t>3</t>
    </r>
    <r>
      <rPr>
        <sz val="10.5"/>
        <rFont val="ＭＳ 明朝"/>
        <family val="1"/>
        <charset val="128"/>
      </rPr>
      <t>：上記の選択率の下で、</t>
    </r>
    <r>
      <rPr>
        <sz val="10.5"/>
        <rFont val="Times New Roman"/>
        <family val="1"/>
      </rPr>
      <t>2024</t>
    </r>
    <r>
      <rPr>
        <sz val="10.5"/>
        <rFont val="ＭＳ 明朝"/>
        <family val="1"/>
        <charset val="128"/>
      </rPr>
      <t>年の漁獲量が直近</t>
    </r>
    <r>
      <rPr>
        <sz val="10.5"/>
        <rFont val="Times New Roman"/>
        <family val="1"/>
      </rPr>
      <t>5</t>
    </r>
    <r>
      <rPr>
        <sz val="10.5"/>
        <rFont val="ＭＳ 明朝"/>
        <family val="1"/>
        <charset val="128"/>
      </rPr>
      <t>年平均（</t>
    </r>
    <r>
      <rPr>
        <sz val="10.5"/>
        <rFont val="Times New Roman"/>
        <family val="1"/>
      </rPr>
      <t>2019</t>
    </r>
    <r>
      <rPr>
        <sz val="10.5"/>
        <rFont val="ＭＳ 明朝"/>
        <family val="1"/>
        <charset val="128"/>
      </rPr>
      <t>〜</t>
    </r>
    <r>
      <rPr>
        <sz val="10.5"/>
        <rFont val="Times New Roman"/>
        <family val="1"/>
      </rPr>
      <t>2023</t>
    </r>
    <r>
      <rPr>
        <sz val="10.5"/>
        <rFont val="ＭＳ 明朝"/>
        <family val="1"/>
        <charset val="128"/>
      </rPr>
      <t>年、</t>
    </r>
    <r>
      <rPr>
        <sz val="10.5"/>
        <rFont val="Times New Roman"/>
        <family val="1"/>
      </rPr>
      <t>45</t>
    </r>
    <r>
      <rPr>
        <sz val="10.5"/>
        <rFont val="ＭＳ 明朝"/>
        <family val="1"/>
        <charset val="128"/>
      </rPr>
      <t>千トン）に
　　 なるように仮定した</t>
    </r>
    <r>
      <rPr>
        <sz val="10.5"/>
        <rFont val="Times New Roman"/>
        <family val="1"/>
      </rPr>
      <t>F</t>
    </r>
    <r>
      <rPr>
        <sz val="10.5"/>
        <rFont val="ＭＳ 明朝"/>
        <family val="1"/>
        <charset val="128"/>
      </rPr>
      <t>。</t>
    </r>
    <phoneticPr fontId="5"/>
  </si>
  <si>
    <r>
      <t>注</t>
    </r>
    <r>
      <rPr>
        <sz val="10.5"/>
        <rFont val="Times New Roman"/>
        <family val="1"/>
      </rPr>
      <t>4</t>
    </r>
    <r>
      <rPr>
        <sz val="10.5"/>
        <rFont val="ＭＳ 明朝"/>
        <family val="1"/>
        <charset val="128"/>
      </rPr>
      <t>：上記の選択率の下で、今回の資源評価で推定された</t>
    </r>
    <r>
      <rPr>
        <sz val="10.5"/>
        <rFont val="Times New Roman"/>
        <family val="1"/>
      </rPr>
      <t>2021</t>
    </r>
    <r>
      <rPr>
        <sz val="10.5"/>
        <rFont val="ＭＳ 明朝"/>
        <family val="1"/>
        <charset val="128"/>
      </rPr>
      <t>〜</t>
    </r>
    <r>
      <rPr>
        <sz val="10.5"/>
        <rFont val="Times New Roman"/>
        <family val="1"/>
      </rPr>
      <t>2023</t>
    </r>
    <r>
      <rPr>
        <sz val="10.5"/>
        <rFont val="ＭＳ 明朝"/>
        <family val="1"/>
        <charset val="128"/>
      </rPr>
      <t>年の年齢別の平均</t>
    </r>
    <r>
      <rPr>
        <sz val="10.5"/>
        <rFont val="Times New Roman"/>
        <family val="1"/>
      </rPr>
      <t>F</t>
    </r>
    <r>
      <rPr>
        <sz val="10.5"/>
        <rFont val="ＭＳ 明朝"/>
        <family val="1"/>
        <charset val="128"/>
      </rPr>
      <t>と
　　 同じ漁獲圧を与える</t>
    </r>
    <r>
      <rPr>
        <sz val="10.5"/>
        <rFont val="Times New Roman"/>
        <family val="1"/>
      </rPr>
      <t>F</t>
    </r>
    <r>
      <rPr>
        <sz val="10.5"/>
        <rFont val="ＭＳ 明朝"/>
        <family val="1"/>
        <charset val="128"/>
      </rPr>
      <t>値を</t>
    </r>
    <r>
      <rPr>
        <sz val="10.5"/>
        <rFont val="Times New Roman"/>
        <family val="1"/>
      </rPr>
      <t>%SPR</t>
    </r>
    <r>
      <rPr>
        <sz val="10.5"/>
        <rFont val="ＭＳ 明朝"/>
        <family val="1"/>
        <charset val="128"/>
      </rPr>
      <t>換算して算出した。この</t>
    </r>
    <r>
      <rPr>
        <sz val="10.5"/>
        <rFont val="Times New Roman"/>
        <family val="1"/>
      </rPr>
      <t>F</t>
    </r>
    <r>
      <rPr>
        <sz val="10.5"/>
        <rFont val="ＭＳ 明朝"/>
        <family val="1"/>
        <charset val="128"/>
      </rPr>
      <t>値は</t>
    </r>
    <r>
      <rPr>
        <sz val="10.5"/>
        <rFont val="Times New Roman"/>
        <family val="1"/>
      </rPr>
      <t>2025</t>
    </r>
    <r>
      <rPr>
        <sz val="10.5"/>
        <rFont val="ＭＳ 明朝"/>
        <family val="1"/>
        <charset val="128"/>
      </rPr>
      <t>年以降の漁獲量の
　　 仮定に使用した。</t>
    </r>
    <phoneticPr fontId="5"/>
  </si>
  <si>
    <r>
      <t>1.843 × 10</t>
    </r>
    <r>
      <rPr>
        <vertAlign val="superscript"/>
        <sz val="10.5"/>
        <rFont val="Times New Roman"/>
        <family val="1"/>
      </rPr>
      <t>-5</t>
    </r>
    <phoneticPr fontId="5"/>
  </si>
  <si>
    <r>
      <rPr>
        <sz val="10.5"/>
        <rFont val="ＭＳ 明朝"/>
        <family val="1"/>
        <charset val="128"/>
      </rPr>
      <t>補足表</t>
    </r>
    <r>
      <rPr>
        <sz val="10.5"/>
        <rFont val="Times New Roman"/>
        <family val="1"/>
      </rPr>
      <t>7-1.</t>
    </r>
    <r>
      <rPr>
        <sz val="10.5"/>
        <rFont val="ＭＳ 明朝"/>
        <family val="1"/>
        <charset val="128"/>
      </rPr>
      <t>　北上期調査における</t>
    </r>
    <r>
      <rPr>
        <sz val="10.5"/>
        <rFont val="Times New Roman"/>
        <family val="1"/>
      </rPr>
      <t>CPUE</t>
    </r>
    <r>
      <rPr>
        <sz val="10.5"/>
        <rFont val="ＭＳ 明朝"/>
        <family val="1"/>
        <charset val="128"/>
      </rPr>
      <t>の全測点平均値および卵・稚仔、プランクトン調査による卵数法による推定親魚量</t>
    </r>
    <phoneticPr fontId="5"/>
  </si>
  <si>
    <r>
      <rPr>
        <sz val="10.5"/>
        <rFont val="ＭＳ 明朝"/>
        <family val="1"/>
        <charset val="128"/>
      </rPr>
      <t>補足表</t>
    </r>
    <r>
      <rPr>
        <sz val="10.5"/>
        <rFont val="Times New Roman"/>
        <family val="1"/>
      </rPr>
      <t>7-2.</t>
    </r>
    <r>
      <rPr>
        <sz val="10.5"/>
        <rFont val="ＭＳ 明朝"/>
        <family val="1"/>
        <charset val="128"/>
      </rPr>
      <t>　海区別の卵数法による推定親魚量および推定に用いた生物パラメータの概要</t>
    </r>
    <phoneticPr fontId="2"/>
  </si>
  <si>
    <r>
      <t>最小</t>
    </r>
    <r>
      <rPr>
        <sz val="10.5"/>
        <rFont val="Times New Roman"/>
        <family val="1"/>
      </rPr>
      <t>AICc</t>
    </r>
    <r>
      <rPr>
        <sz val="10.5"/>
        <rFont val="ＭＳ 明朝"/>
        <family val="1"/>
        <charset val="128"/>
      </rPr>
      <t>のモデルを太字で示した。</t>
    </r>
  </si>
  <si>
    <r>
      <rPr>
        <sz val="10.5"/>
        <rFont val="ＭＳ 明朝"/>
        <family val="1"/>
        <charset val="128"/>
      </rPr>
      <t>補足表</t>
    </r>
    <r>
      <rPr>
        <sz val="10.5"/>
        <rFont val="Times New Roman"/>
        <family val="1"/>
      </rPr>
      <t>12-1.</t>
    </r>
    <r>
      <rPr>
        <sz val="10.5"/>
        <rFont val="ＭＳ 明朝"/>
        <family val="1"/>
        <charset val="128"/>
      </rPr>
      <t>　サバ類捕食</t>
    </r>
    <r>
      <rPr>
        <sz val="10.5"/>
        <rFont val="Times New Roman"/>
        <family val="1"/>
      </rPr>
      <t>VPA</t>
    </r>
    <r>
      <rPr>
        <sz val="10.5"/>
        <rFont val="游ゴシック"/>
        <family val="1"/>
        <charset val="128"/>
      </rPr>
      <t>について</t>
    </r>
    <r>
      <rPr>
        <sz val="10.5"/>
        <rFont val="ＭＳ 明朝"/>
        <family val="1"/>
        <charset val="128"/>
      </rPr>
      <t>推定されたパラメーター</t>
    </r>
    <phoneticPr fontId="5"/>
  </si>
  <si>
    <r>
      <t>F</t>
    </r>
    <r>
      <rPr>
        <vertAlign val="subscript"/>
        <sz val="10.5"/>
        <rFont val="Times New Roman"/>
        <family val="1"/>
      </rPr>
      <t>2023,2</t>
    </r>
    <phoneticPr fontId="5"/>
  </si>
  <si>
    <r>
      <t xml:space="preserve">α
</t>
    </r>
    <r>
      <rPr>
        <sz val="10.5"/>
        <rFont val="ＭＳ 明朝"/>
        <family val="1"/>
        <charset val="128"/>
      </rPr>
      <t>（</t>
    </r>
    <r>
      <rPr>
        <sz val="10.5"/>
        <rFont val="ＭＳ Ｐ明朝"/>
        <family val="1"/>
        <charset val="128"/>
      </rPr>
      <t>×</t>
    </r>
    <r>
      <rPr>
        <sz val="10.5"/>
        <rFont val="Times New Roman"/>
        <family val="1"/>
      </rPr>
      <t>10</t>
    </r>
    <r>
      <rPr>
        <vertAlign val="superscript"/>
        <sz val="10.5"/>
        <rFont val="Times New Roman"/>
        <family val="1"/>
      </rPr>
      <t>-6</t>
    </r>
    <r>
      <rPr>
        <sz val="10.5"/>
        <rFont val="Times New Roman"/>
        <family val="1"/>
      </rPr>
      <t>/</t>
    </r>
    <r>
      <rPr>
        <sz val="10.5"/>
        <rFont val="ＭＳ 明朝"/>
        <family val="1"/>
        <charset val="128"/>
      </rPr>
      <t>トン・年）</t>
    </r>
    <phoneticPr fontId="5"/>
  </si>
  <si>
    <r>
      <rPr>
        <sz val="10.5"/>
        <rFont val="ＭＳ 明朝"/>
        <family val="1"/>
        <charset val="128"/>
      </rPr>
      <t>補足表</t>
    </r>
    <r>
      <rPr>
        <sz val="10.5"/>
        <rFont val="Times New Roman"/>
        <family val="1"/>
      </rPr>
      <t>12-2.</t>
    </r>
    <r>
      <rPr>
        <sz val="10.5"/>
        <rFont val="ＭＳ 明朝"/>
        <family val="1"/>
        <charset val="128"/>
      </rPr>
      <t>　サバ類捕食</t>
    </r>
    <r>
      <rPr>
        <sz val="10.5"/>
        <rFont val="Times New Roman"/>
        <family val="1"/>
      </rPr>
      <t>VPA</t>
    </r>
    <r>
      <rPr>
        <sz val="10.5"/>
        <rFont val="ＭＳ 明朝"/>
        <family val="1"/>
        <charset val="128"/>
      </rPr>
      <t>の</t>
    </r>
    <r>
      <rPr>
        <sz val="10.5"/>
        <rFont val="Times New Roman"/>
        <family val="1"/>
      </rPr>
      <t>S0</t>
    </r>
    <r>
      <rPr>
        <sz val="10.5"/>
        <rFont val="ＭＳ 明朝"/>
        <family val="1"/>
        <charset val="128"/>
      </rPr>
      <t>（ベースケース）シナリオによる結果の詳細</t>
    </r>
    <phoneticPr fontId="5"/>
  </si>
  <si>
    <t>補足表12-3.　サバ類捕食VPAのS7（高齢魚ほど捕食圧が高い）シナリオによる結果の詳細</t>
    <phoneticPr fontId="5"/>
  </si>
  <si>
    <t>補足表12-4.　サバ類捕食VPAのS8（若齢魚ほど捕食圧が高い）シナリオによる結果の詳細</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</si>
</sst>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0"/>
    <numFmt numFmtId="177" formatCode="#,##0.0"/>
    <numFmt numFmtId="178" formatCode="#0"/>
    <numFmt numFmtId="179" formatCode="#,##0.000"/>
    <numFmt numFmtId="180" formatCode="0.0_ "/>
    <numFmt numFmtId="181" formatCode="#,##0.0_ "/>
    <numFmt numFmtId="182" formatCode="#,##0.0000"/>
    <numFmt numFmtId="183" formatCode="0_ "/>
    <numFmt numFmtId="184" formatCode="#0.0"/>
    <numFmt numFmtId="185" formatCode="0.0000"/>
    <numFmt numFmtId="186" formatCode="0.000"/>
    <numFmt numFmtId="187" formatCode="0.0"/>
    <numFmt numFmtId="188" formatCode="0.0%"/>
  </numFmts>
  <fonts count="35">
    <font>
      <sz val="10.5"/>
      <color rgb="FF000000"/>
      <name val="Times New Roman"/>
    </font>
    <font>
      <b/>
      <sz val="10.5"/>
      <color rgb="FF000000"/>
      <name val="Times New Roman"/>
      <family val="1"/>
    </font>
    <font>
      <sz val="10.5"/>
      <color rgb="FF000000"/>
      <name val="ＭＳ Ｐゴシック"/>
      <family val="3"/>
      <charset val="128"/>
    </font>
    <font>
      <sz val="10.5"/>
      <color rgb="FF000000"/>
      <name val="Times New Roman"/>
      <family val="1"/>
    </font>
    <font>
      <sz val="10.5"/>
      <color rgb="FF000000"/>
      <name val="ＭＳ Ｐ明朝"/>
      <family val="1"/>
      <charset val="128"/>
    </font>
    <font>
      <sz val="6"/>
      <name val="ＭＳ Ｐゴシック"/>
      <family val="3"/>
      <charset val="128"/>
    </font>
    <font>
      <sz val="10.5"/>
      <color rgb="FF000000"/>
      <name val="Times New Roman"/>
      <family val="1"/>
      <charset val="128"/>
    </font>
    <font>
      <b/>
      <sz val="10.5"/>
      <color rgb="FF00B050"/>
      <name val="Times New Roman"/>
      <family val="1"/>
    </font>
    <font>
      <sz val="10.5"/>
      <name val="Times New Roman"/>
      <family val="1"/>
    </font>
    <font>
      <b/>
      <sz val="10.5"/>
      <color rgb="FF00B050"/>
      <name val="Times New Roman"/>
      <family val="1"/>
      <charset val="128"/>
    </font>
    <font>
      <sz val="10.5"/>
      <color rgb="FF000000"/>
      <name val="Times New Roman"/>
      <family val="1"/>
      <charset val="161"/>
    </font>
    <font>
      <sz val="10.5"/>
      <color rgb="FFFF0000"/>
      <name val="Times New Roman"/>
      <family val="1"/>
    </font>
    <font>
      <sz val="10.5"/>
      <color rgb="FF0432FF"/>
      <name val="Times New Roman"/>
      <family val="1"/>
    </font>
    <font>
      <b/>
      <sz val="10.5"/>
      <color rgb="FFFF0000"/>
      <name val="ＭＳ Ｐ明朝"/>
      <family val="1"/>
      <charset val="128"/>
    </font>
    <font>
      <b/>
      <sz val="10.5"/>
      <color rgb="FFFF0000"/>
      <name val="HGSｺﾞｼｯｸE"/>
      <family val="3"/>
      <charset val="128"/>
    </font>
    <font>
      <sz val="10.5"/>
      <color rgb="FF000000"/>
      <name val="ＭＳ 明朝"/>
      <family val="1"/>
      <charset val="128"/>
    </font>
    <font>
      <b/>
      <sz val="10.5"/>
      <color rgb="FF7030A0"/>
      <name val="ＭＳ Ｐ明朝"/>
      <family val="1"/>
      <charset val="128"/>
    </font>
    <font>
      <b/>
      <sz val="10.5"/>
      <color rgb="FFFF0000"/>
      <name val="HGPｺﾞｼｯｸM"/>
      <family val="3"/>
      <charset val="128"/>
    </font>
    <font>
      <sz val="10"/>
      <name val="Times New Roman"/>
      <family val="1"/>
    </font>
    <font>
      <sz val="10"/>
      <name val="ＭＳ 明朝"/>
      <family val="1"/>
      <charset val="128"/>
    </font>
    <font>
      <b/>
      <sz val="10"/>
      <name val="Times New Roman"/>
      <family val="1"/>
    </font>
    <font>
      <sz val="10.5"/>
      <name val="Times New Roman"/>
      <family val="1"/>
      <charset val="128"/>
    </font>
    <font>
      <sz val="10.5"/>
      <name val="ＭＳ 明朝"/>
      <family val="1"/>
      <charset val="128"/>
    </font>
    <font>
      <b/>
      <sz val="10.5"/>
      <name val="ＭＳ Ｐ明朝"/>
      <family val="1"/>
      <charset val="128"/>
    </font>
    <font>
      <sz val="10.5"/>
      <name val="ＭＳ Ｐ明朝"/>
      <family val="1"/>
      <charset val="128"/>
    </font>
    <font>
      <sz val="11"/>
      <color rgb="FF000000"/>
      <name val="Times New Roman"/>
      <family val="1"/>
    </font>
    <font>
      <sz val="11"/>
      <color rgb="FF000000"/>
      <name val="Times New Roman"/>
      <family val="1"/>
      <charset val="128"/>
    </font>
    <font>
      <sz val="11"/>
      <color rgb="FF000000"/>
      <name val="ＭＳ Ｐ明朝"/>
      <family val="1"/>
      <charset val="128"/>
    </font>
    <font>
      <sz val="10.5"/>
      <name val="MS Mincho"/>
      <family val="1"/>
      <charset val="128"/>
    </font>
    <font>
      <b/>
      <sz val="10.5"/>
      <name val="HGSｺﾞｼｯｸE"/>
      <family val="3"/>
      <charset val="128"/>
    </font>
    <font>
      <vertAlign val="superscript"/>
      <sz val="10.5"/>
      <name val="Times New Roman"/>
      <family val="1"/>
    </font>
    <font>
      <sz val="10.5"/>
      <name val="游ゴシック"/>
      <family val="1"/>
      <charset val="128"/>
    </font>
    <font>
      <vertAlign val="subscript"/>
      <sz val="10.5"/>
      <name val="Times New Roman"/>
      <family val="1"/>
    </font>
    <font>
      <b/>
      <sz val="10.5"/>
      <name val="HGPｺﾞｼｯｸM"/>
      <family val="3"/>
      <charset val="128"/>
    </font>
    <font>
      <b/>
      <sz val="10.5"/>
      <name val="Times New Roman"/>
      <family val="1"/>
    </font>
  </fonts>
  <fills count="4">
    <fill>
      <patternFill patternType="none"/>
    </fill>
    <fill>
      <patternFill patternType="gray125"/>
    </fill>
    <fill>
      <patternFill patternType="solid">
        <fgColor rgb="FFD7D7D7"/>
        <bgColor indexed="64"/>
      </patternFill>
    </fill>
    <fill>
      <patternFill patternType="solid">
        <fgColor theme="0" tint="-0.14999847407452621"/>
        <bgColor indexed="64"/>
      </patternFill>
    </fill>
  </fills>
  <borders count="29">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rgb="FF000000"/>
      </top>
      <bottom style="thin">
        <color indexed="64"/>
      </bottom>
      <diagonal/>
    </border>
  </borders>
  <cellStyleXfs count="2">
    <xf numFmtId="0" fontId="0" fillId="0" borderId="0"/>
    <xf numFmtId="0" fontId="3" fillId="0" borderId="0"/>
  </cellStyleXfs>
  <cellXfs count="292">
    <xf numFmtId="0" fontId="0" fillId="0" borderId="0" xfId="0"/>
    <xf numFmtId="4" fontId="1" fillId="0" borderId="0" xfId="0" applyNumberFormat="1" applyFont="1" applyAlignment="1">
      <alignment horizontal="right" vertical="center"/>
    </xf>
    <xf numFmtId="177" fontId="1" fillId="0" borderId="0" xfId="0" applyNumberFormat="1" applyFont="1" applyAlignment="1">
      <alignment horizontal="right" vertical="center"/>
    </xf>
    <xf numFmtId="4" fontId="1" fillId="0" borderId="1" xfId="0" applyNumberFormat="1" applyFont="1" applyBorder="1" applyAlignment="1">
      <alignment horizontal="right" vertical="center"/>
    </xf>
    <xf numFmtId="177" fontId="1" fillId="0" borderId="1" xfId="0" applyNumberFormat="1" applyFont="1" applyBorder="1" applyAlignment="1">
      <alignment horizontal="right" vertical="center"/>
    </xf>
    <xf numFmtId="0" fontId="3" fillId="0" borderId="3" xfId="0" applyFont="1" applyBorder="1" applyAlignment="1">
      <alignment vertical="center"/>
    </xf>
    <xf numFmtId="0" fontId="3" fillId="0" borderId="0" xfId="0" applyFont="1"/>
    <xf numFmtId="0" fontId="3" fillId="0" borderId="1" xfId="0" applyFont="1" applyBorder="1"/>
    <xf numFmtId="0" fontId="3" fillId="0" borderId="0" xfId="0" applyFont="1" applyAlignment="1">
      <alignment horizontal="center" vertical="center"/>
    </xf>
    <xf numFmtId="177" fontId="3" fillId="0" borderId="0" xfId="0" applyNumberFormat="1" applyFont="1" applyAlignment="1">
      <alignment horizontal="right" vertical="center"/>
    </xf>
    <xf numFmtId="0" fontId="3" fillId="0" borderId="1" xfId="0" applyFont="1" applyBorder="1" applyAlignment="1">
      <alignment horizontal="center" vertical="center"/>
    </xf>
    <xf numFmtId="177" fontId="3" fillId="0" borderId="1" xfId="0" applyNumberFormat="1" applyFont="1" applyBorder="1" applyAlignment="1">
      <alignment horizontal="right" vertical="center"/>
    </xf>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3" fontId="3" fillId="0" borderId="0" xfId="0" applyNumberFormat="1" applyFont="1" applyAlignment="1">
      <alignment horizontal="right" vertical="center"/>
    </xf>
    <xf numFmtId="3" fontId="3" fillId="0" borderId="1" xfId="0" applyNumberFormat="1" applyFont="1" applyBorder="1" applyAlignment="1">
      <alignment horizontal="right" vertical="center"/>
    </xf>
    <xf numFmtId="0" fontId="3" fillId="0" borderId="11" xfId="0" applyFont="1" applyBorder="1" applyAlignment="1">
      <alignment vertical="center"/>
    </xf>
    <xf numFmtId="0" fontId="3" fillId="0" borderId="0" xfId="0" applyFont="1" applyAlignment="1">
      <alignment vertical="center"/>
    </xf>
    <xf numFmtId="0" fontId="3" fillId="0" borderId="12" xfId="0" applyFont="1" applyBorder="1" applyAlignment="1">
      <alignment horizontal="center" vertical="center"/>
    </xf>
    <xf numFmtId="0" fontId="3" fillId="0" borderId="5" xfId="0" applyFont="1" applyBorder="1" applyAlignment="1">
      <alignment horizontal="center" vertical="center"/>
    </xf>
    <xf numFmtId="183" fontId="3" fillId="0" borderId="10" xfId="0" applyNumberFormat="1" applyFont="1" applyBorder="1" applyAlignment="1">
      <alignment horizontal="center"/>
    </xf>
    <xf numFmtId="177" fontId="3" fillId="0" borderId="10" xfId="0" applyNumberFormat="1" applyFont="1" applyBorder="1" applyAlignment="1">
      <alignment horizontal="right" vertical="center"/>
    </xf>
    <xf numFmtId="4" fontId="3" fillId="0" borderId="0" xfId="0" applyNumberFormat="1" applyFont="1" applyAlignment="1">
      <alignment horizontal="right" vertical="center"/>
    </xf>
    <xf numFmtId="4" fontId="3" fillId="0" borderId="10" xfId="0" applyNumberFormat="1" applyFont="1" applyBorder="1" applyAlignment="1">
      <alignment horizontal="right" vertical="center"/>
    </xf>
    <xf numFmtId="0" fontId="3" fillId="0" borderId="10" xfId="0" applyFont="1" applyBorder="1" applyAlignment="1">
      <alignment horizontal="center"/>
    </xf>
    <xf numFmtId="183" fontId="3" fillId="0" borderId="12" xfId="0" applyNumberFormat="1" applyFont="1" applyBorder="1" applyAlignment="1">
      <alignment horizontal="center"/>
    </xf>
    <xf numFmtId="177" fontId="3" fillId="0" borderId="12" xfId="0" applyNumberFormat="1" applyFont="1" applyBorder="1" applyAlignment="1">
      <alignment horizontal="right" vertical="center"/>
    </xf>
    <xf numFmtId="4" fontId="3" fillId="0" borderId="1" xfId="0" applyNumberFormat="1" applyFont="1" applyBorder="1" applyAlignment="1">
      <alignment horizontal="right" vertical="center"/>
    </xf>
    <xf numFmtId="4" fontId="3" fillId="0" borderId="12" xfId="0" applyNumberFormat="1" applyFont="1" applyBorder="1" applyAlignment="1">
      <alignment horizontal="right" vertical="center"/>
    </xf>
    <xf numFmtId="0" fontId="3" fillId="0" borderId="12"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Alignment="1">
      <alignment horizontal="right"/>
    </xf>
    <xf numFmtId="0" fontId="3" fillId="0" borderId="5" xfId="0" applyFont="1" applyBorder="1" applyAlignment="1">
      <alignment horizontal="right"/>
    </xf>
    <xf numFmtId="0" fontId="3" fillId="0" borderId="1" xfId="0" applyFont="1" applyBorder="1" applyAlignment="1">
      <alignment horizontal="center"/>
    </xf>
    <xf numFmtId="177" fontId="3" fillId="0" borderId="0" xfId="0" applyNumberFormat="1" applyFont="1" applyAlignment="1">
      <alignment horizontal="right"/>
    </xf>
    <xf numFmtId="177" fontId="3" fillId="0" borderId="1" xfId="0" applyNumberFormat="1" applyFont="1" applyBorder="1" applyAlignment="1">
      <alignment horizontal="right"/>
    </xf>
    <xf numFmtId="0" fontId="3" fillId="0" borderId="1" xfId="0" applyFont="1" applyBorder="1" applyAlignment="1">
      <alignment horizontal="right"/>
    </xf>
    <xf numFmtId="0" fontId="3" fillId="0" borderId="9" xfId="0" applyFont="1" applyBorder="1" applyAlignment="1">
      <alignment horizontal="center" vertical="center"/>
    </xf>
    <xf numFmtId="0" fontId="3" fillId="0" borderId="5" xfId="0" applyFont="1" applyBorder="1" applyAlignment="1">
      <alignment horizontal="center" vertical="center" wrapText="1"/>
    </xf>
    <xf numFmtId="178" fontId="3" fillId="0" borderId="0" xfId="0" applyNumberFormat="1" applyFont="1" applyAlignment="1">
      <alignment horizontal="center" vertical="center"/>
    </xf>
    <xf numFmtId="178" fontId="3" fillId="0" borderId="1"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0" borderId="0" xfId="0" applyFont="1" applyAlignment="1">
      <alignment horizontal="left" vertical="center" wrapText="1"/>
    </xf>
    <xf numFmtId="0" fontId="6" fillId="0" borderId="1" xfId="0" applyFont="1" applyBorder="1" applyAlignment="1">
      <alignment horizontal="center" vertical="center" wrapText="1"/>
    </xf>
    <xf numFmtId="0" fontId="4" fillId="0" borderId="9" xfId="0" applyFont="1" applyBorder="1" applyAlignment="1">
      <alignment horizontal="center" vertical="center"/>
    </xf>
    <xf numFmtId="179" fontId="3" fillId="0" borderId="0" xfId="0" applyNumberFormat="1" applyFont="1"/>
    <xf numFmtId="179" fontId="3" fillId="0" borderId="7" xfId="0" applyNumberFormat="1" applyFont="1" applyBorder="1"/>
    <xf numFmtId="179" fontId="3" fillId="0" borderId="8" xfId="0" applyNumberFormat="1" applyFont="1" applyBorder="1"/>
    <xf numFmtId="0" fontId="7" fillId="0" borderId="0" xfId="0" applyFont="1"/>
    <xf numFmtId="0" fontId="7" fillId="0" borderId="5" xfId="0" applyFont="1" applyBorder="1"/>
    <xf numFmtId="0" fontId="7" fillId="0" borderId="6" xfId="0" applyFont="1" applyBorder="1"/>
    <xf numFmtId="11" fontId="3" fillId="0" borderId="0" xfId="0" applyNumberFormat="1" applyFont="1"/>
    <xf numFmtId="0" fontId="8" fillId="0" borderId="0" xfId="0" applyFont="1"/>
    <xf numFmtId="179" fontId="3" fillId="0" borderId="5" xfId="0" applyNumberFormat="1" applyFont="1" applyBorder="1"/>
    <xf numFmtId="0" fontId="9" fillId="0" borderId="5" xfId="0" applyFont="1" applyBorder="1"/>
    <xf numFmtId="0" fontId="6" fillId="0" borderId="0" xfId="0" applyFont="1"/>
    <xf numFmtId="0" fontId="0" fillId="0" borderId="4" xfId="0" applyBorder="1"/>
    <xf numFmtId="0" fontId="0" fillId="0" borderId="5" xfId="0" applyBorder="1"/>
    <xf numFmtId="0" fontId="0" fillId="0" borderId="9" xfId="0" applyBorder="1"/>
    <xf numFmtId="0" fontId="0" fillId="0" borderId="19" xfId="0" applyBorder="1"/>
    <xf numFmtId="0" fontId="0" fillId="3" borderId="19" xfId="0" applyFill="1" applyBorder="1" applyAlignment="1">
      <alignment horizontal="centerContinuous"/>
    </xf>
    <xf numFmtId="0" fontId="0" fillId="3" borderId="19" xfId="0" applyFill="1" applyBorder="1" applyAlignment="1">
      <alignment vertical="center"/>
    </xf>
    <xf numFmtId="0" fontId="0" fillId="0" borderId="0" xfId="0" applyAlignment="1">
      <alignment vertical="center"/>
    </xf>
    <xf numFmtId="0" fontId="0" fillId="0" borderId="19" xfId="0" applyBorder="1" applyAlignment="1">
      <alignment horizontal="right"/>
    </xf>
    <xf numFmtId="0" fontId="0" fillId="3" borderId="22" xfId="0" applyFill="1" applyBorder="1" applyAlignment="1">
      <alignment horizontal="centerContinuous"/>
    </xf>
    <xf numFmtId="0" fontId="0" fillId="3" borderId="23" xfId="0" applyFill="1" applyBorder="1" applyAlignment="1">
      <alignment horizontal="centerContinuous"/>
    </xf>
    <xf numFmtId="0" fontId="10" fillId="0" borderId="9" xfId="0" applyFont="1" applyBorder="1"/>
    <xf numFmtId="0" fontId="1" fillId="0" borderId="0" xfId="0" applyFont="1"/>
    <xf numFmtId="0" fontId="3" fillId="0" borderId="19" xfId="0" applyFont="1" applyBorder="1" applyAlignment="1">
      <alignment horizontal="center" vertical="center"/>
    </xf>
    <xf numFmtId="0" fontId="11" fillId="0" borderId="19" xfId="0" applyFont="1" applyBorder="1" applyAlignment="1">
      <alignment horizontal="right" vertical="center"/>
    </xf>
    <xf numFmtId="0" fontId="11" fillId="0" borderId="19" xfId="0" applyFont="1" applyBorder="1" applyAlignment="1">
      <alignment horizontal="right" vertical="center" wrapText="1"/>
    </xf>
    <xf numFmtId="0" fontId="3" fillId="0" borderId="19" xfId="0" applyFont="1" applyBorder="1" applyAlignment="1">
      <alignment horizontal="right" vertical="center"/>
    </xf>
    <xf numFmtId="3" fontId="11" fillId="0" borderId="19" xfId="0" applyNumberFormat="1" applyFont="1" applyBorder="1" applyAlignment="1">
      <alignment horizontal="right" vertical="center"/>
    </xf>
    <xf numFmtId="3" fontId="11" fillId="0" borderId="19" xfId="0" applyNumberFormat="1" applyFont="1" applyBorder="1" applyAlignment="1">
      <alignment horizontal="right" vertical="center" wrapText="1"/>
    </xf>
    <xf numFmtId="3" fontId="3" fillId="0" borderId="19" xfId="0" applyNumberFormat="1" applyFont="1" applyBorder="1" applyAlignment="1">
      <alignment horizontal="right" vertical="center"/>
    </xf>
    <xf numFmtId="0" fontId="12" fillId="0" borderId="19" xfId="0" applyFont="1" applyBorder="1" applyAlignment="1">
      <alignment horizontal="right" vertical="center"/>
    </xf>
    <xf numFmtId="0" fontId="4" fillId="3" borderId="20" xfId="0" applyFont="1" applyFill="1" applyBorder="1" applyAlignment="1">
      <alignment horizontal="center" vertical="center"/>
    </xf>
    <xf numFmtId="0" fontId="4" fillId="3" borderId="19"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23"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2" xfId="0" applyFont="1" applyBorder="1" applyAlignment="1">
      <alignment horizontal="center" vertical="center" wrapText="1"/>
    </xf>
    <xf numFmtId="0" fontId="9" fillId="0" borderId="6" xfId="0" applyFont="1" applyBorder="1"/>
    <xf numFmtId="0" fontId="9" fillId="0" borderId="0" xfId="0" applyFont="1"/>
    <xf numFmtId="0" fontId="3" fillId="0" borderId="0" xfId="0" applyFont="1" applyAlignment="1">
      <alignment wrapText="1"/>
    </xf>
    <xf numFmtId="0" fontId="13" fillId="0" borderId="0" xfId="0" applyFont="1"/>
    <xf numFmtId="0" fontId="14" fillId="0" borderId="0" xfId="0" applyFont="1"/>
    <xf numFmtId="185" fontId="8" fillId="0" borderId="0" xfId="0" applyNumberFormat="1" applyFont="1"/>
    <xf numFmtId="0" fontId="16" fillId="0" borderId="0" xfId="0" applyFont="1"/>
    <xf numFmtId="0" fontId="3" fillId="0" borderId="9" xfId="0" applyFont="1" applyBorder="1" applyAlignment="1">
      <alignment horizontal="right" vertical="center" wrapText="1"/>
    </xf>
    <xf numFmtId="0" fontId="3" fillId="0" borderId="8" xfId="0" applyFont="1" applyBorder="1" applyAlignment="1">
      <alignment horizontal="right"/>
    </xf>
    <xf numFmtId="0" fontId="6" fillId="0" borderId="9" xfId="0" applyFont="1" applyBorder="1" applyAlignment="1">
      <alignment horizontal="right" vertical="center" wrapText="1"/>
    </xf>
    <xf numFmtId="185" fontId="3" fillId="0" borderId="0" xfId="0" applyNumberFormat="1" applyFont="1"/>
    <xf numFmtId="185" fontId="3" fillId="0" borderId="9" xfId="0" applyNumberFormat="1" applyFont="1" applyBorder="1" applyAlignment="1">
      <alignment horizontal="center" vertical="center"/>
    </xf>
    <xf numFmtId="185" fontId="3" fillId="0" borderId="7" xfId="0" applyNumberFormat="1" applyFont="1" applyBorder="1"/>
    <xf numFmtId="185" fontId="3" fillId="0" borderId="5" xfId="0" applyNumberFormat="1" applyFont="1" applyBorder="1"/>
    <xf numFmtId="185" fontId="3" fillId="0" borderId="5" xfId="0" applyNumberFormat="1" applyFont="1" applyBorder="1" applyAlignment="1">
      <alignment horizontal="right"/>
    </xf>
    <xf numFmtId="0" fontId="0" fillId="0" borderId="0" xfId="0" applyAlignment="1">
      <alignment horizontal="center"/>
    </xf>
    <xf numFmtId="0" fontId="0" fillId="0" borderId="5" xfId="0" applyBorder="1" applyAlignment="1">
      <alignment horizontal="center"/>
    </xf>
    <xf numFmtId="186" fontId="0" fillId="0" borderId="0" xfId="0" applyNumberFormat="1"/>
    <xf numFmtId="0" fontId="0" fillId="3" borderId="19" xfId="0" applyFill="1" applyBorder="1" applyAlignment="1">
      <alignment horizontal="center"/>
    </xf>
    <xf numFmtId="0" fontId="17" fillId="0" borderId="0" xfId="0" quotePrefix="1" applyFont="1"/>
    <xf numFmtId="0" fontId="0" fillId="0" borderId="22" xfId="0" applyBorder="1"/>
    <xf numFmtId="9" fontId="0" fillId="0" borderId="23" xfId="0" applyNumberFormat="1" applyBorder="1"/>
    <xf numFmtId="0" fontId="0" fillId="0" borderId="23" xfId="0" applyBorder="1"/>
    <xf numFmtId="0" fontId="0" fillId="0" borderId="27" xfId="0" applyBorder="1"/>
    <xf numFmtId="0" fontId="0" fillId="0" borderId="26" xfId="0" applyBorder="1"/>
    <xf numFmtId="0" fontId="6" fillId="0" borderId="19" xfId="0" applyFont="1" applyBorder="1"/>
    <xf numFmtId="0" fontId="6" fillId="0" borderId="22" xfId="0" applyFont="1" applyBorder="1"/>
    <xf numFmtId="0" fontId="3" fillId="3" borderId="19"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0" fillId="3" borderId="13" xfId="0" applyFill="1" applyBorder="1" applyAlignment="1">
      <alignment horizontal="center"/>
    </xf>
    <xf numFmtId="9" fontId="0" fillId="3" borderId="13" xfId="0" applyNumberFormat="1" applyFill="1" applyBorder="1" applyAlignment="1">
      <alignment horizontal="center"/>
    </xf>
    <xf numFmtId="0" fontId="0" fillId="3" borderId="25" xfId="0" applyFill="1" applyBorder="1" applyAlignment="1">
      <alignment horizontal="center"/>
    </xf>
    <xf numFmtId="0" fontId="0" fillId="3" borderId="14" xfId="0" applyFill="1" applyBorder="1" applyAlignment="1">
      <alignment horizontal="center"/>
    </xf>
    <xf numFmtId="0" fontId="0" fillId="3" borderId="26" xfId="0" applyFill="1" applyBorder="1" applyAlignment="1">
      <alignment horizontal="center"/>
    </xf>
    <xf numFmtId="0" fontId="0" fillId="3" borderId="23" xfId="0" applyFill="1" applyBorder="1" applyAlignment="1">
      <alignment horizontal="center"/>
    </xf>
    <xf numFmtId="0" fontId="0" fillId="0" borderId="9" xfId="0" applyBorder="1" applyAlignment="1">
      <alignment horizontal="center"/>
    </xf>
    <xf numFmtId="0" fontId="3" fillId="0" borderId="9" xfId="0" applyFont="1" applyBorder="1" applyAlignment="1">
      <alignment horizontal="center"/>
    </xf>
    <xf numFmtId="0" fontId="1" fillId="0" borderId="0" xfId="0" applyFont="1" applyAlignment="1">
      <alignment horizontal="center"/>
    </xf>
    <xf numFmtId="0" fontId="13" fillId="0" borderId="0" xfId="0" applyFont="1" applyAlignment="1">
      <alignment horizontal="center"/>
    </xf>
    <xf numFmtId="0" fontId="18" fillId="0" borderId="0" xfId="0" applyFont="1"/>
    <xf numFmtId="0" fontId="20" fillId="0" borderId="0" xfId="0" applyFont="1"/>
    <xf numFmtId="0" fontId="18" fillId="0" borderId="1" xfId="0" applyFont="1" applyBorder="1" applyAlignment="1">
      <alignment horizont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0" xfId="0" applyFont="1" applyAlignment="1">
      <alignment horizontal="center" vertical="center"/>
    </xf>
    <xf numFmtId="3" fontId="18" fillId="0" borderId="0" xfId="0" applyNumberFormat="1" applyFont="1"/>
    <xf numFmtId="3" fontId="18" fillId="0" borderId="1" xfId="0" applyNumberFormat="1" applyFont="1" applyBorder="1"/>
    <xf numFmtId="0" fontId="21" fillId="0" borderId="0" xfId="0" applyFont="1"/>
    <xf numFmtId="0" fontId="23" fillId="0" borderId="0" xfId="0" applyFont="1"/>
    <xf numFmtId="0" fontId="24" fillId="0" borderId="2" xfId="0" applyFont="1" applyBorder="1" applyAlignment="1">
      <alignment horizontal="center" vertical="center"/>
    </xf>
    <xf numFmtId="0" fontId="24"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0" xfId="0" applyFont="1" applyAlignment="1">
      <alignment horizontal="center"/>
    </xf>
    <xf numFmtId="177" fontId="8" fillId="0" borderId="0" xfId="0" applyNumberFormat="1" applyFont="1"/>
    <xf numFmtId="176" fontId="8" fillId="0" borderId="0" xfId="0" applyNumberFormat="1" applyFont="1"/>
    <xf numFmtId="0" fontId="8" fillId="0" borderId="1" xfId="0" applyFont="1" applyBorder="1" applyAlignment="1">
      <alignment horizontal="center"/>
    </xf>
    <xf numFmtId="177" fontId="8" fillId="0" borderId="1" xfId="0" applyNumberFormat="1" applyFont="1" applyBorder="1"/>
    <xf numFmtId="176" fontId="8" fillId="0" borderId="1" xfId="0" applyNumberFormat="1" applyFont="1" applyBorder="1"/>
    <xf numFmtId="177" fontId="3" fillId="0" borderId="0" xfId="0" applyNumberFormat="1" applyFont="1" applyAlignment="1">
      <alignment horizontal="right" vertical="center" indent="1"/>
    </xf>
    <xf numFmtId="4" fontId="3" fillId="0" borderId="0" xfId="0" applyNumberFormat="1" applyFont="1" applyAlignment="1">
      <alignment horizontal="right" vertical="center" indent="1"/>
    </xf>
    <xf numFmtId="177" fontId="3" fillId="0" borderId="1" xfId="0" applyNumberFormat="1" applyFont="1" applyBorder="1" applyAlignment="1">
      <alignment horizontal="right" vertical="center" indent="1"/>
    </xf>
    <xf numFmtId="4" fontId="3" fillId="0" borderId="1" xfId="0" applyNumberFormat="1" applyFont="1" applyBorder="1" applyAlignment="1">
      <alignment horizontal="right" vertical="center" indent="1"/>
    </xf>
    <xf numFmtId="0" fontId="25" fillId="0" borderId="3" xfId="0" applyFont="1" applyBorder="1" applyAlignment="1">
      <alignment horizontal="center" vertical="center"/>
    </xf>
    <xf numFmtId="0" fontId="27" fillId="0" borderId="3" xfId="0" applyFont="1" applyBorder="1" applyAlignment="1">
      <alignment horizontal="center" vertical="center"/>
    </xf>
    <xf numFmtId="0" fontId="25" fillId="0" borderId="0" xfId="0" applyFont="1"/>
    <xf numFmtId="0" fontId="25" fillId="0" borderId="1" xfId="0" applyFont="1" applyBorder="1" applyAlignment="1">
      <alignment horizontal="right" vertical="center" indent="1"/>
    </xf>
    <xf numFmtId="0" fontId="25" fillId="0" borderId="0" xfId="0" applyFont="1" applyAlignment="1">
      <alignment horizontal="right" vertical="center" indent="1"/>
    </xf>
    <xf numFmtId="185" fontId="8" fillId="0" borderId="7" xfId="0" applyNumberFormat="1" applyFont="1" applyBorder="1"/>
    <xf numFmtId="185" fontId="8" fillId="0" borderId="5" xfId="0" applyNumberFormat="1" applyFont="1" applyBorder="1"/>
    <xf numFmtId="0" fontId="8" fillId="0" borderId="0" xfId="0" applyFont="1" applyAlignment="1">
      <alignment wrapText="1"/>
    </xf>
    <xf numFmtId="0" fontId="24" fillId="0" borderId="0" xfId="0" applyFont="1"/>
    <xf numFmtId="0" fontId="24" fillId="0" borderId="0" xfId="1" applyFont="1"/>
    <xf numFmtId="0" fontId="8" fillId="0" borderId="0" xfId="0" applyFont="1" applyAlignment="1">
      <alignment horizontal="left" vertical="center"/>
    </xf>
    <xf numFmtId="0" fontId="8" fillId="0" borderId="0" xfId="1" applyFont="1"/>
    <xf numFmtId="0" fontId="23" fillId="0" borderId="0" xfId="1" applyFont="1"/>
    <xf numFmtId="184" fontId="8" fillId="2" borderId="15" xfId="1" applyNumberFormat="1" applyFont="1" applyFill="1" applyBorder="1" applyAlignment="1">
      <alignment horizontal="center" vertical="center"/>
    </xf>
    <xf numFmtId="183" fontId="8" fillId="2" borderId="15" xfId="1" applyNumberFormat="1" applyFont="1" applyFill="1" applyBorder="1" applyAlignment="1">
      <alignment vertical="center"/>
    </xf>
    <xf numFmtId="3" fontId="8" fillId="0" borderId="15" xfId="1" applyNumberFormat="1" applyFont="1" applyBorder="1"/>
    <xf numFmtId="184" fontId="28" fillId="2" borderId="15" xfId="1" applyNumberFormat="1" applyFont="1" applyFill="1" applyBorder="1" applyAlignment="1">
      <alignment horizontal="center" vertical="center"/>
    </xf>
    <xf numFmtId="0" fontId="22" fillId="0" borderId="0" xfId="0" applyFont="1" applyAlignment="1">
      <alignment horizontal="left" vertical="center"/>
    </xf>
    <xf numFmtId="0" fontId="8" fillId="0" borderId="4" xfId="0" applyFont="1" applyBorder="1" applyAlignment="1">
      <alignment horizontal="center"/>
    </xf>
    <xf numFmtId="0" fontId="8" fillId="0" borderId="5" xfId="0" applyFont="1" applyBorder="1" applyAlignment="1">
      <alignment horizontal="center"/>
    </xf>
    <xf numFmtId="187" fontId="8" fillId="0" borderId="0" xfId="0" applyNumberFormat="1" applyFont="1"/>
    <xf numFmtId="0" fontId="29" fillId="0" borderId="0" xfId="0" applyFont="1"/>
    <xf numFmtId="2" fontId="8" fillId="0" borderId="0" xfId="0" applyNumberFormat="1" applyFont="1"/>
    <xf numFmtId="2" fontId="8" fillId="0" borderId="5" xfId="0" applyNumberFormat="1" applyFont="1" applyBorder="1"/>
    <xf numFmtId="0" fontId="8" fillId="0" borderId="5" xfId="0" applyFont="1" applyBorder="1"/>
    <xf numFmtId="187" fontId="8" fillId="0" borderId="5" xfId="0" applyNumberFormat="1" applyFont="1" applyBorder="1"/>
    <xf numFmtId="0" fontId="8" fillId="3" borderId="19" xfId="0" applyFont="1" applyFill="1" applyBorder="1" applyAlignment="1">
      <alignment horizontal="center"/>
    </xf>
    <xf numFmtId="0" fontId="8" fillId="0" borderId="19" xfId="0" applyFont="1" applyBorder="1"/>
    <xf numFmtId="0" fontId="0" fillId="0" borderId="19" xfId="0" applyBorder="1" applyAlignment="1">
      <alignment horizontal="center"/>
    </xf>
    <xf numFmtId="0" fontId="8" fillId="0" borderId="19" xfId="0" applyFont="1" applyBorder="1" applyAlignment="1">
      <alignment horizontal="center"/>
    </xf>
    <xf numFmtId="9" fontId="8" fillId="0" borderId="19" xfId="0" applyNumberFormat="1" applyFont="1" applyBorder="1"/>
    <xf numFmtId="188" fontId="8" fillId="0" borderId="19" xfId="0" applyNumberFormat="1" applyFont="1" applyBorder="1"/>
    <xf numFmtId="0" fontId="8" fillId="3" borderId="19" xfId="0" applyFont="1" applyFill="1" applyBorder="1" applyAlignment="1">
      <alignment horizontal="centerContinuous"/>
    </xf>
    <xf numFmtId="2" fontId="8" fillId="0" borderId="19" xfId="0" applyNumberFormat="1" applyFont="1" applyBorder="1"/>
    <xf numFmtId="0" fontId="8" fillId="0" borderId="4" xfId="0" applyFont="1" applyBorder="1" applyAlignment="1">
      <alignment horizontal="center" vertical="center"/>
    </xf>
    <xf numFmtId="0" fontId="8" fillId="0" borderId="5" xfId="0" applyFont="1" applyBorder="1" applyAlignment="1">
      <alignment horizontal="center" vertical="center"/>
    </xf>
    <xf numFmtId="181" fontId="8" fillId="0" borderId="4" xfId="0" applyNumberFormat="1" applyFont="1" applyBorder="1"/>
    <xf numFmtId="0" fontId="8" fillId="0" borderId="4" xfId="0" applyFont="1" applyBorder="1" applyAlignment="1">
      <alignment horizontal="right"/>
    </xf>
    <xf numFmtId="180" fontId="8" fillId="0" borderId="4" xfId="0" applyNumberFormat="1" applyFont="1" applyBorder="1"/>
    <xf numFmtId="181" fontId="8" fillId="0" borderId="0" xfId="0" applyNumberFormat="1" applyFont="1" applyAlignment="1">
      <alignment horizontal="right" vertical="center"/>
    </xf>
    <xf numFmtId="181" fontId="8" fillId="0" borderId="0" xfId="0" applyNumberFormat="1" applyFont="1" applyAlignment="1">
      <alignment vertical="center"/>
    </xf>
    <xf numFmtId="181" fontId="8" fillId="0" borderId="0" xfId="0" applyNumberFormat="1" applyFont="1"/>
    <xf numFmtId="0" fontId="8" fillId="0" borderId="0" xfId="0" applyFont="1" applyAlignment="1">
      <alignment horizontal="right"/>
    </xf>
    <xf numFmtId="180" fontId="8" fillId="0" borderId="0" xfId="0" applyNumberFormat="1" applyFont="1"/>
    <xf numFmtId="0" fontId="8" fillId="0" borderId="0" xfId="0" applyFont="1" applyAlignment="1">
      <alignment horizontal="center" vertical="center"/>
    </xf>
    <xf numFmtId="181" fontId="8" fillId="0" borderId="5" xfId="0" applyNumberFormat="1" applyFont="1" applyBorder="1"/>
    <xf numFmtId="0" fontId="8" fillId="0" borderId="5" xfId="0" applyFont="1" applyBorder="1" applyAlignment="1">
      <alignment horizontal="right"/>
    </xf>
    <xf numFmtId="180" fontId="8" fillId="0" borderId="5" xfId="0" applyNumberFormat="1" applyFont="1" applyBorder="1"/>
    <xf numFmtId="181" fontId="8" fillId="0" borderId="5" xfId="0" applyNumberFormat="1" applyFont="1" applyBorder="1" applyAlignment="1">
      <alignment horizontal="right" vertical="center"/>
    </xf>
    <xf numFmtId="181" fontId="8" fillId="0" borderId="5" xfId="0" applyNumberFormat="1" applyFont="1" applyBorder="1" applyAlignment="1">
      <alignment vertical="center"/>
    </xf>
    <xf numFmtId="0" fontId="8" fillId="0" borderId="9" xfId="0" applyFont="1" applyBorder="1"/>
    <xf numFmtId="0" fontId="22" fillId="0" borderId="0" xfId="0" applyFont="1"/>
    <xf numFmtId="0" fontId="8" fillId="0" borderId="2" xfId="0" applyFont="1" applyBorder="1" applyAlignment="1">
      <alignment horizontal="center" vertical="center" wrapText="1"/>
    </xf>
    <xf numFmtId="0" fontId="33" fillId="0" borderId="0" xfId="0" quotePrefix="1" applyFont="1"/>
    <xf numFmtId="182" fontId="8" fillId="0" borderId="0" xfId="0" applyNumberFormat="1" applyFont="1" applyAlignment="1">
      <alignment vertical="center"/>
    </xf>
    <xf numFmtId="182" fontId="8" fillId="0" borderId="0" xfId="0" applyNumberFormat="1" applyFont="1" applyAlignment="1">
      <alignment horizontal="right" vertical="center"/>
    </xf>
    <xf numFmtId="182" fontId="8" fillId="0" borderId="1" xfId="0" applyNumberFormat="1" applyFont="1" applyBorder="1" applyAlignment="1">
      <alignment vertical="center"/>
    </xf>
    <xf numFmtId="0" fontId="34" fillId="0" borderId="0" xfId="0" applyFont="1"/>
    <xf numFmtId="0" fontId="24" fillId="0" borderId="3" xfId="0" applyFont="1" applyBorder="1" applyAlignment="1">
      <alignment vertical="center"/>
    </xf>
    <xf numFmtId="0" fontId="8" fillId="0" borderId="3" xfId="0" applyFont="1" applyBorder="1" applyAlignment="1">
      <alignment vertical="center"/>
    </xf>
    <xf numFmtId="0" fontId="8" fillId="0" borderId="11" xfId="0" applyFont="1" applyBorder="1" applyAlignment="1">
      <alignment vertical="center"/>
    </xf>
    <xf numFmtId="0" fontId="8" fillId="0" borderId="0" xfId="0" applyFont="1" applyAlignment="1">
      <alignment vertical="center"/>
    </xf>
    <xf numFmtId="0" fontId="8" fillId="0" borderId="12" xfId="0" applyFont="1" applyBorder="1" applyAlignment="1">
      <alignment horizontal="center" vertical="center"/>
    </xf>
    <xf numFmtId="0" fontId="8" fillId="0" borderId="1" xfId="0" applyFont="1" applyBorder="1" applyAlignment="1">
      <alignment horizontal="center" vertical="center"/>
    </xf>
    <xf numFmtId="183" fontId="8" fillId="0" borderId="10" xfId="0" applyNumberFormat="1" applyFont="1" applyBorder="1" applyAlignment="1">
      <alignment horizontal="center"/>
    </xf>
    <xf numFmtId="177" fontId="8" fillId="0" borderId="0" xfId="0" applyNumberFormat="1" applyFont="1" applyAlignment="1">
      <alignment horizontal="right" vertical="center"/>
    </xf>
    <xf numFmtId="177" fontId="8" fillId="0" borderId="10" xfId="0" applyNumberFormat="1" applyFont="1" applyBorder="1" applyAlignment="1">
      <alignment horizontal="right" vertical="center"/>
    </xf>
    <xf numFmtId="4" fontId="8" fillId="0" borderId="0" xfId="0" applyNumberFormat="1" applyFont="1" applyAlignment="1">
      <alignment horizontal="right" vertical="center"/>
    </xf>
    <xf numFmtId="4" fontId="8" fillId="0" borderId="10" xfId="0" applyNumberFormat="1" applyFont="1" applyBorder="1" applyAlignment="1">
      <alignment horizontal="right" vertical="center"/>
    </xf>
    <xf numFmtId="0" fontId="8" fillId="0" borderId="10" xfId="0" applyFont="1" applyBorder="1" applyAlignment="1">
      <alignment horizontal="center"/>
    </xf>
    <xf numFmtId="183" fontId="8" fillId="0" borderId="12" xfId="0" applyNumberFormat="1" applyFont="1" applyBorder="1" applyAlignment="1">
      <alignment horizontal="center"/>
    </xf>
    <xf numFmtId="177" fontId="8" fillId="0" borderId="1" xfId="0" applyNumberFormat="1" applyFont="1" applyBorder="1" applyAlignment="1">
      <alignment horizontal="right" vertical="center"/>
    </xf>
    <xf numFmtId="177" fontId="8" fillId="0" borderId="12" xfId="0" applyNumberFormat="1" applyFont="1" applyBorder="1" applyAlignment="1">
      <alignment horizontal="right" vertical="center"/>
    </xf>
    <xf numFmtId="4" fontId="8" fillId="0" borderId="1" xfId="0" applyNumberFormat="1" applyFont="1" applyBorder="1" applyAlignment="1">
      <alignment horizontal="right" vertical="center"/>
    </xf>
    <xf numFmtId="4" fontId="8" fillId="0" borderId="12" xfId="0" applyNumberFormat="1" applyFont="1" applyBorder="1" applyAlignment="1">
      <alignment horizontal="right" vertical="center"/>
    </xf>
    <xf numFmtId="0" fontId="8" fillId="0" borderId="12" xfId="0" applyFont="1" applyBorder="1" applyAlignment="1">
      <alignment horizontal="center"/>
    </xf>
    <xf numFmtId="0" fontId="18" fillId="0" borderId="3" xfId="0" applyFont="1" applyBorder="1" applyAlignment="1">
      <alignment horizontal="center" vertical="center"/>
    </xf>
    <xf numFmtId="0" fontId="18" fillId="0" borderId="1" xfId="0" applyFont="1" applyBorder="1" applyAlignment="1">
      <alignment horizontal="center" vertical="center"/>
    </xf>
    <xf numFmtId="0" fontId="25" fillId="0" borderId="3" xfId="0" applyFont="1" applyBorder="1" applyAlignment="1">
      <alignment horizontal="center" vertical="center"/>
    </xf>
    <xf numFmtId="0" fontId="25" fillId="0" borderId="1" xfId="0" applyFont="1" applyBorder="1" applyAlignment="1">
      <alignment horizontal="center" vertical="center"/>
    </xf>
    <xf numFmtId="0" fontId="27" fillId="0" borderId="28" xfId="0" applyFont="1" applyBorder="1" applyAlignment="1">
      <alignment horizontal="center" vertical="center"/>
    </xf>
    <xf numFmtId="0" fontId="25" fillId="0" borderId="28"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3" fillId="0" borderId="4" xfId="0" applyFont="1" applyBorder="1" applyAlignment="1">
      <alignment wrapText="1"/>
    </xf>
    <xf numFmtId="0" fontId="0" fillId="0" borderId="4" xfId="0" applyBorder="1" applyAlignment="1">
      <alignment wrapText="1"/>
    </xf>
    <xf numFmtId="0" fontId="0" fillId="0" borderId="0" xfId="0" applyAlignment="1">
      <alignment wrapText="1"/>
    </xf>
    <xf numFmtId="0" fontId="6" fillId="0" borderId="4" xfId="0" applyFont="1" applyBorder="1" applyAlignment="1">
      <alignment vertical="center" wrapText="1"/>
    </xf>
    <xf numFmtId="0" fontId="0" fillId="0" borderId="4" xfId="0" applyBorder="1" applyAlignment="1">
      <alignment vertical="center" wrapText="1"/>
    </xf>
    <xf numFmtId="0" fontId="0" fillId="0" borderId="0" xfId="0" applyAlignment="1">
      <alignment vertical="center" wrapText="1"/>
    </xf>
    <xf numFmtId="3" fontId="8" fillId="0" borderId="16" xfId="1" applyNumberFormat="1" applyFont="1" applyBorder="1" applyAlignment="1">
      <alignment vertical="center"/>
    </xf>
    <xf numFmtId="3" fontId="8" fillId="0" borderId="17" xfId="1" applyNumberFormat="1" applyFont="1" applyBorder="1" applyAlignment="1">
      <alignment vertical="center"/>
    </xf>
    <xf numFmtId="3" fontId="8" fillId="0" borderId="18" xfId="1" applyNumberFormat="1" applyFont="1" applyBorder="1" applyAlignment="1">
      <alignment vertical="center"/>
    </xf>
    <xf numFmtId="0" fontId="8" fillId="0" borderId="17" xfId="1" applyFont="1" applyBorder="1" applyAlignment="1">
      <alignment vertical="center"/>
    </xf>
    <xf numFmtId="0" fontId="8" fillId="0" borderId="18" xfId="1" applyFont="1" applyBorder="1" applyAlignment="1">
      <alignment vertical="center"/>
    </xf>
    <xf numFmtId="0" fontId="8" fillId="0" borderId="0" xfId="0" applyFont="1" applyAlignment="1">
      <alignment vertical="center" wrapText="1"/>
    </xf>
    <xf numFmtId="0" fontId="8" fillId="0" borderId="0" xfId="0" applyFont="1" applyAlignment="1">
      <alignment horizontal="left" vertical="center" wrapText="1"/>
    </xf>
    <xf numFmtId="0" fontId="8" fillId="0" borderId="0" xfId="1" applyFont="1" applyAlignment="1">
      <alignment wrapText="1"/>
    </xf>
    <xf numFmtId="0" fontId="22" fillId="0" borderId="0" xfId="0" applyFont="1" applyAlignment="1">
      <alignment horizontal="left" vertical="top" wrapText="1"/>
    </xf>
    <xf numFmtId="0" fontId="22" fillId="0" borderId="0" xfId="0" applyFont="1" applyAlignment="1">
      <alignment vertical="top" wrapText="1"/>
    </xf>
    <xf numFmtId="0" fontId="8" fillId="0" borderId="20" xfId="0" applyFont="1" applyBorder="1"/>
    <xf numFmtId="0" fontId="8" fillId="0" borderId="21" xfId="0" applyFont="1" applyBorder="1"/>
    <xf numFmtId="0" fontId="0" fillId="3" borderId="22" xfId="0" applyFill="1" applyBorder="1" applyAlignment="1">
      <alignment horizontal="center" vertical="center"/>
    </xf>
    <xf numFmtId="0" fontId="0" fillId="3" borderId="24" xfId="0" applyFill="1" applyBorder="1" applyAlignment="1">
      <alignment horizontal="center" vertical="center"/>
    </xf>
    <xf numFmtId="0" fontId="0" fillId="3" borderId="23" xfId="0" applyFill="1" applyBorder="1" applyAlignment="1">
      <alignment horizontal="center" vertical="center"/>
    </xf>
    <xf numFmtId="0" fontId="0" fillId="3" borderId="13" xfId="0" applyFill="1" applyBorder="1" applyAlignment="1">
      <alignment horizontal="center"/>
    </xf>
    <xf numFmtId="0" fontId="0" fillId="3" borderId="4" xfId="0" applyFill="1" applyBorder="1" applyAlignment="1">
      <alignment horizontal="center"/>
    </xf>
    <xf numFmtId="0" fontId="0" fillId="3" borderId="27" xfId="0" applyFill="1" applyBorder="1" applyAlignment="1">
      <alignment horizontal="center"/>
    </xf>
    <xf numFmtId="0" fontId="0" fillId="3" borderId="14" xfId="0" applyFill="1" applyBorder="1" applyAlignment="1">
      <alignment horizontal="center"/>
    </xf>
    <xf numFmtId="0" fontId="0" fillId="3" borderId="5" xfId="0" applyFill="1" applyBorder="1" applyAlignment="1">
      <alignment horizontal="center"/>
    </xf>
    <xf numFmtId="0" fontId="0" fillId="3" borderId="26" xfId="0" applyFill="1" applyBorder="1" applyAlignment="1">
      <alignment horizont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vertical="top" wrapText="1"/>
    </xf>
    <xf numFmtId="0" fontId="3" fillId="0" borderId="0" xfId="0" applyFont="1" applyAlignment="1">
      <alignment vertical="top"/>
    </xf>
    <xf numFmtId="0" fontId="4" fillId="0" borderId="3" xfId="0" applyFont="1" applyBorder="1" applyAlignment="1">
      <alignment vertical="center" wrapText="1"/>
    </xf>
    <xf numFmtId="0" fontId="3" fillId="0" borderId="3" xfId="0" applyFont="1" applyBorder="1" applyAlignment="1">
      <alignment vertical="center" wrapText="1"/>
    </xf>
    <xf numFmtId="0" fontId="8" fillId="0" borderId="4" xfId="0" applyFont="1" applyBorder="1" applyAlignment="1">
      <alignment horizontal="left" vertical="top" wrapText="1"/>
    </xf>
    <xf numFmtId="0" fontId="8" fillId="0" borderId="4" xfId="0" applyFont="1" applyBorder="1" applyAlignment="1">
      <alignment wrapText="1"/>
    </xf>
    <xf numFmtId="0" fontId="8" fillId="0" borderId="0" xfId="0" applyFont="1" applyAlignment="1">
      <alignment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24" fillId="0" borderId="4" xfId="0" applyFont="1" applyBorder="1" applyAlignment="1">
      <alignment horizontal="left" vertical="center"/>
    </xf>
    <xf numFmtId="0" fontId="8" fillId="0" borderId="4" xfId="0" applyFont="1" applyBorder="1" applyAlignment="1">
      <alignment horizontal="left" vertical="center"/>
    </xf>
    <xf numFmtId="0" fontId="0" fillId="0" borderId="1" xfId="0" applyBorder="1" applyAlignment="1">
      <alignment horizontal="center" vertical="center"/>
    </xf>
    <xf numFmtId="0" fontId="6" fillId="0" borderId="0" xfId="0" applyFont="1" applyAlignment="1">
      <alignment horizontal="left" vertical="center" wrapText="1"/>
    </xf>
    <xf numFmtId="0" fontId="3" fillId="0" borderId="0" xfId="0" applyFont="1" applyAlignment="1">
      <alignment horizontal="left" vertical="center"/>
    </xf>
    <xf numFmtId="0" fontId="6" fillId="0" borderId="3" xfId="0" applyFont="1" applyBorder="1" applyAlignment="1">
      <alignment horizontal="left" vertical="center" wrapText="1"/>
    </xf>
    <xf numFmtId="0" fontId="0" fillId="0" borderId="3" xfId="0" applyBorder="1" applyAlignment="1">
      <alignment horizontal="left" vertical="center" wrapText="1"/>
    </xf>
    <xf numFmtId="0" fontId="4" fillId="3" borderId="20"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21" xfId="0" applyFont="1" applyFill="1" applyBorder="1" applyAlignment="1">
      <alignment horizontal="center" vertical="center"/>
    </xf>
    <xf numFmtId="0" fontId="0" fillId="0" borderId="4" xfId="0" applyBorder="1" applyAlignment="1">
      <alignment horizontal="left" vertical="top" wrapText="1"/>
    </xf>
    <xf numFmtId="0" fontId="0" fillId="0" borderId="0" xfId="0" applyAlignment="1">
      <alignment horizontal="left" vertical="top" wrapText="1"/>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wrapText="1"/>
    </xf>
    <xf numFmtId="0" fontId="8" fillId="0" borderId="14" xfId="0" applyFont="1" applyBorder="1" applyAlignment="1">
      <alignment horizontal="center" vertical="center"/>
    </xf>
    <xf numFmtId="0" fontId="3" fillId="0" borderId="4" xfId="0" applyFont="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xf>
    <xf numFmtId="0" fontId="3" fillId="0" borderId="2" xfId="0" applyFont="1" applyBorder="1" applyAlignment="1">
      <alignment horizontal="center" vertical="center"/>
    </xf>
  </cellXfs>
  <cellStyles count="2">
    <cellStyle name="標準" xfId="0" builtinId="0"/>
    <cellStyle name="標準 2" xfId="1" xr:uid="{37169A3A-37E6-0D40-B2F7-9F258C4B3B1B}"/>
  </cellStyles>
  <dxfs count="2">
    <dxf>
      <fill>
        <patternFill>
          <bgColor theme="3" tint="0.39994506668294322"/>
        </patternFill>
      </fill>
    </dxf>
    <dxf>
      <font>
        <color theme="1"/>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1785-8714-4E51-8560-92C1041634AA}">
  <sheetPr codeName="Sheet27"/>
  <dimension ref="A1:J51"/>
  <sheetViews>
    <sheetView showGridLines="0" tabSelected="1" zoomScale="106" zoomScaleNormal="106" workbookViewId="0">
      <selection activeCell="H1" sqref="H1"/>
    </sheetView>
  </sheetViews>
  <sheetFormatPr defaultColWidth="11.42578125" defaultRowHeight="12.75"/>
  <cols>
    <col min="1" max="1" width="5.85546875" style="123" customWidth="1"/>
    <col min="2" max="2" width="11.85546875" style="123" customWidth="1"/>
    <col min="3" max="3" width="12" style="123" bestFit="1" customWidth="1"/>
    <col min="4" max="4" width="12.5703125" style="123" bestFit="1" customWidth="1"/>
    <col min="5" max="5" width="11.28515625" style="123" bestFit="1" customWidth="1"/>
    <col min="6" max="6" width="9.42578125" style="123" bestFit="1" customWidth="1"/>
    <col min="7" max="7" width="11.28515625" style="123" bestFit="1" customWidth="1"/>
    <col min="8" max="8" width="9.140625" style="123" bestFit="1" customWidth="1"/>
    <col min="9" max="16384" width="11.42578125" style="123"/>
  </cols>
  <sheetData>
    <row r="1" spans="1:10">
      <c r="A1" s="123" t="s">
        <v>683</v>
      </c>
      <c r="J1" s="124"/>
    </row>
    <row r="2" spans="1:10">
      <c r="A2" s="123" t="s">
        <v>684</v>
      </c>
    </row>
    <row r="3" spans="1:10">
      <c r="A3" s="125"/>
      <c r="B3" s="125"/>
      <c r="C3" s="125"/>
      <c r="D3" s="125"/>
      <c r="E3" s="125"/>
      <c r="F3" s="125"/>
      <c r="G3" s="125"/>
      <c r="H3" s="125"/>
    </row>
    <row r="4" spans="1:10">
      <c r="A4" s="222" t="s">
        <v>685</v>
      </c>
      <c r="B4" s="123" t="s">
        <v>686</v>
      </c>
    </row>
    <row r="5" spans="1:10" ht="33" customHeight="1">
      <c r="A5" s="223"/>
      <c r="B5" s="126" t="s">
        <v>687</v>
      </c>
      <c r="C5" s="127" t="s">
        <v>688</v>
      </c>
      <c r="D5" s="127" t="s">
        <v>689</v>
      </c>
      <c r="E5" s="126" t="s">
        <v>690</v>
      </c>
      <c r="F5" s="127" t="s">
        <v>691</v>
      </c>
      <c r="G5" s="126" t="s">
        <v>692</v>
      </c>
      <c r="H5" s="127" t="s">
        <v>693</v>
      </c>
    </row>
    <row r="6" spans="1:10">
      <c r="A6" s="128">
        <v>1978</v>
      </c>
      <c r="B6" s="129">
        <v>11557</v>
      </c>
      <c r="C6" s="129">
        <v>4371</v>
      </c>
      <c r="D6" s="129">
        <v>17255</v>
      </c>
      <c r="E6" s="129">
        <v>9512</v>
      </c>
      <c r="F6" s="129">
        <v>303</v>
      </c>
      <c r="G6" s="129">
        <v>42998</v>
      </c>
      <c r="H6" s="129"/>
    </row>
    <row r="7" spans="1:10">
      <c r="A7" s="128">
        <v>1979</v>
      </c>
      <c r="B7" s="129">
        <v>15725</v>
      </c>
      <c r="C7" s="129">
        <v>15829</v>
      </c>
      <c r="D7" s="129">
        <v>16815</v>
      </c>
      <c r="E7" s="129">
        <v>8856</v>
      </c>
      <c r="F7" s="129">
        <v>201</v>
      </c>
      <c r="G7" s="129">
        <v>57426</v>
      </c>
      <c r="H7" s="129"/>
    </row>
    <row r="8" spans="1:10">
      <c r="A8" s="128">
        <v>1980</v>
      </c>
      <c r="B8" s="129">
        <v>15095</v>
      </c>
      <c r="C8" s="129">
        <v>14332</v>
      </c>
      <c r="D8" s="129">
        <v>24450</v>
      </c>
      <c r="E8" s="129">
        <v>11814</v>
      </c>
      <c r="F8" s="129">
        <v>268</v>
      </c>
      <c r="G8" s="129">
        <v>65959</v>
      </c>
      <c r="H8" s="129"/>
    </row>
    <row r="9" spans="1:10">
      <c r="A9" s="128">
        <v>1981</v>
      </c>
      <c r="B9" s="129">
        <v>18354</v>
      </c>
      <c r="C9" s="129">
        <v>14223</v>
      </c>
      <c r="D9" s="129">
        <v>12995</v>
      </c>
      <c r="E9" s="129">
        <v>4988</v>
      </c>
      <c r="F9" s="129">
        <v>47</v>
      </c>
      <c r="G9" s="129">
        <v>50607</v>
      </c>
      <c r="H9" s="129"/>
    </row>
    <row r="10" spans="1:10">
      <c r="A10" s="128">
        <v>1982</v>
      </c>
      <c r="B10" s="129">
        <v>17804</v>
      </c>
      <c r="C10" s="129">
        <v>15771</v>
      </c>
      <c r="D10" s="129">
        <v>8801</v>
      </c>
      <c r="E10" s="129">
        <v>5085</v>
      </c>
      <c r="F10" s="129">
        <v>81</v>
      </c>
      <c r="G10" s="129">
        <v>47542</v>
      </c>
      <c r="H10" s="129"/>
    </row>
    <row r="11" spans="1:10">
      <c r="A11" s="128">
        <v>1983</v>
      </c>
      <c r="B11" s="129">
        <v>23585</v>
      </c>
      <c r="C11" s="129">
        <v>12032</v>
      </c>
      <c r="D11" s="129">
        <v>13925</v>
      </c>
      <c r="E11" s="129">
        <v>5640</v>
      </c>
      <c r="F11" s="129">
        <v>46</v>
      </c>
      <c r="G11" s="129">
        <v>55228</v>
      </c>
      <c r="H11" s="129"/>
    </row>
    <row r="12" spans="1:10">
      <c r="A12" s="128">
        <v>1984</v>
      </c>
      <c r="B12" s="129">
        <v>21947</v>
      </c>
      <c r="C12" s="129">
        <v>17947</v>
      </c>
      <c r="D12" s="129">
        <v>24833</v>
      </c>
      <c r="E12" s="129">
        <v>25226</v>
      </c>
      <c r="F12" s="129">
        <v>54</v>
      </c>
      <c r="G12" s="129">
        <v>90007</v>
      </c>
      <c r="H12" s="129"/>
    </row>
    <row r="13" spans="1:10">
      <c r="A13" s="128">
        <v>1985</v>
      </c>
      <c r="B13" s="129">
        <v>17311</v>
      </c>
      <c r="C13" s="129">
        <v>22638</v>
      </c>
      <c r="D13" s="129">
        <v>17868</v>
      </c>
      <c r="E13" s="129">
        <v>3601</v>
      </c>
      <c r="F13" s="129">
        <v>17</v>
      </c>
      <c r="G13" s="129">
        <v>61435</v>
      </c>
      <c r="H13" s="129"/>
    </row>
    <row r="14" spans="1:10">
      <c r="A14" s="128">
        <v>1986</v>
      </c>
      <c r="B14" s="129">
        <v>13575</v>
      </c>
      <c r="C14" s="129">
        <v>29511</v>
      </c>
      <c r="D14" s="129">
        <v>20430</v>
      </c>
      <c r="E14" s="129">
        <v>2448</v>
      </c>
      <c r="F14" s="129">
        <v>98</v>
      </c>
      <c r="G14" s="129">
        <v>66062</v>
      </c>
      <c r="H14" s="129"/>
    </row>
    <row r="15" spans="1:10">
      <c r="A15" s="128">
        <v>1987</v>
      </c>
      <c r="B15" s="129">
        <v>7618</v>
      </c>
      <c r="C15" s="129">
        <v>13195</v>
      </c>
      <c r="D15" s="129">
        <v>38211</v>
      </c>
      <c r="E15" s="129">
        <v>3450</v>
      </c>
      <c r="F15" s="129">
        <v>259</v>
      </c>
      <c r="G15" s="129">
        <v>62733</v>
      </c>
      <c r="H15" s="129"/>
    </row>
    <row r="16" spans="1:10">
      <c r="A16" s="128">
        <v>1988</v>
      </c>
      <c r="B16" s="129">
        <v>13461</v>
      </c>
      <c r="C16" s="129">
        <v>7710</v>
      </c>
      <c r="D16" s="129">
        <v>44370</v>
      </c>
      <c r="E16" s="129">
        <v>2496</v>
      </c>
      <c r="F16" s="129">
        <v>51</v>
      </c>
      <c r="G16" s="129">
        <v>68088</v>
      </c>
      <c r="H16" s="129"/>
    </row>
    <row r="17" spans="1:8">
      <c r="A17" s="128">
        <v>1989</v>
      </c>
      <c r="B17" s="129">
        <v>9582</v>
      </c>
      <c r="C17" s="129">
        <v>27828</v>
      </c>
      <c r="D17" s="129">
        <v>35626</v>
      </c>
      <c r="E17" s="129">
        <v>14723</v>
      </c>
      <c r="F17" s="129">
        <v>45</v>
      </c>
      <c r="G17" s="129">
        <v>87804</v>
      </c>
      <c r="H17" s="129"/>
    </row>
    <row r="18" spans="1:8">
      <c r="A18" s="128">
        <v>1990</v>
      </c>
      <c r="B18" s="129">
        <v>13082</v>
      </c>
      <c r="C18" s="129">
        <v>29222</v>
      </c>
      <c r="D18" s="129">
        <v>43397</v>
      </c>
      <c r="E18" s="129">
        <v>126560</v>
      </c>
      <c r="F18" s="129">
        <v>3680</v>
      </c>
      <c r="G18" s="129">
        <v>215941</v>
      </c>
      <c r="H18" s="129"/>
    </row>
    <row r="19" spans="1:8">
      <c r="A19" s="128">
        <v>1991</v>
      </c>
      <c r="B19" s="129">
        <v>9069</v>
      </c>
      <c r="C19" s="129">
        <v>24844</v>
      </c>
      <c r="D19" s="129">
        <v>57298</v>
      </c>
      <c r="E19" s="129">
        <v>106812</v>
      </c>
      <c r="F19" s="129">
        <v>4296</v>
      </c>
      <c r="G19" s="129">
        <v>202319</v>
      </c>
      <c r="H19" s="129"/>
    </row>
    <row r="20" spans="1:8">
      <c r="A20" s="128">
        <v>1992</v>
      </c>
      <c r="B20" s="129">
        <v>13875</v>
      </c>
      <c r="C20" s="129">
        <v>42677</v>
      </c>
      <c r="D20" s="129">
        <v>31114</v>
      </c>
      <c r="E20" s="129">
        <v>85489</v>
      </c>
      <c r="F20" s="129">
        <v>5121</v>
      </c>
      <c r="G20" s="129">
        <v>178276</v>
      </c>
      <c r="H20" s="129"/>
    </row>
    <row r="21" spans="1:8">
      <c r="A21" s="128">
        <v>1993</v>
      </c>
      <c r="B21" s="129">
        <v>7712</v>
      </c>
      <c r="C21" s="129">
        <v>26952</v>
      </c>
      <c r="D21" s="129">
        <v>30149</v>
      </c>
      <c r="E21" s="129">
        <v>29931</v>
      </c>
      <c r="F21" s="129">
        <v>5743</v>
      </c>
      <c r="G21" s="129">
        <v>100487</v>
      </c>
      <c r="H21" s="129"/>
    </row>
    <row r="22" spans="1:8">
      <c r="A22" s="128">
        <v>1994</v>
      </c>
      <c r="B22" s="129">
        <v>16002</v>
      </c>
      <c r="C22" s="129">
        <v>21753</v>
      </c>
      <c r="D22" s="129">
        <v>38089</v>
      </c>
      <c r="E22" s="129">
        <v>33209</v>
      </c>
      <c r="F22" s="129">
        <v>1375</v>
      </c>
      <c r="G22" s="129">
        <v>110428</v>
      </c>
      <c r="H22" s="129">
        <v>73573</v>
      </c>
    </row>
    <row r="23" spans="1:8">
      <c r="A23" s="128">
        <v>1995</v>
      </c>
      <c r="B23" s="129">
        <v>6314</v>
      </c>
      <c r="C23" s="129">
        <v>26602</v>
      </c>
      <c r="D23" s="129">
        <v>50665</v>
      </c>
      <c r="E23" s="129">
        <v>50943</v>
      </c>
      <c r="F23" s="129">
        <v>7192</v>
      </c>
      <c r="G23" s="129">
        <v>141716</v>
      </c>
      <c r="H23" s="129">
        <v>85814</v>
      </c>
    </row>
    <row r="24" spans="1:8">
      <c r="A24" s="128">
        <v>1996</v>
      </c>
      <c r="B24" s="129">
        <v>10741</v>
      </c>
      <c r="C24" s="129">
        <v>30306</v>
      </c>
      <c r="D24" s="129">
        <v>56059</v>
      </c>
      <c r="E24" s="129">
        <v>106913</v>
      </c>
      <c r="F24" s="129">
        <v>3871</v>
      </c>
      <c r="G24" s="129">
        <v>207890</v>
      </c>
      <c r="H24" s="129">
        <v>151860</v>
      </c>
    </row>
    <row r="25" spans="1:8">
      <c r="A25" s="128">
        <v>1997</v>
      </c>
      <c r="B25" s="129">
        <v>9105</v>
      </c>
      <c r="C25" s="129">
        <v>25527</v>
      </c>
      <c r="D25" s="129">
        <v>47349</v>
      </c>
      <c r="E25" s="129">
        <v>43125</v>
      </c>
      <c r="F25" s="129">
        <v>9358</v>
      </c>
      <c r="G25" s="129">
        <v>134464</v>
      </c>
      <c r="H25" s="129">
        <v>104132</v>
      </c>
    </row>
    <row r="26" spans="1:8">
      <c r="A26" s="128">
        <v>1998</v>
      </c>
      <c r="B26" s="129">
        <v>13938</v>
      </c>
      <c r="C26" s="129">
        <v>38366</v>
      </c>
      <c r="D26" s="129">
        <v>80964</v>
      </c>
      <c r="E26" s="129">
        <v>166652</v>
      </c>
      <c r="F26" s="129">
        <v>19451</v>
      </c>
      <c r="G26" s="129">
        <v>319371</v>
      </c>
      <c r="H26" s="129">
        <v>240982</v>
      </c>
    </row>
    <row r="27" spans="1:8">
      <c r="A27" s="128">
        <v>1999</v>
      </c>
      <c r="B27" s="129">
        <v>41964</v>
      </c>
      <c r="C27" s="129">
        <v>59397</v>
      </c>
      <c r="D27" s="129">
        <v>65195</v>
      </c>
      <c r="E27" s="129">
        <v>135000</v>
      </c>
      <c r="F27" s="129">
        <v>26441</v>
      </c>
      <c r="G27" s="129">
        <v>327997</v>
      </c>
      <c r="H27" s="129">
        <v>277756</v>
      </c>
    </row>
    <row r="28" spans="1:8">
      <c r="A28" s="128">
        <v>2000</v>
      </c>
      <c r="B28" s="129">
        <v>38181</v>
      </c>
      <c r="C28" s="129">
        <v>32601</v>
      </c>
      <c r="D28" s="129">
        <v>48732</v>
      </c>
      <c r="E28" s="129">
        <v>89937</v>
      </c>
      <c r="F28" s="129">
        <v>3665</v>
      </c>
      <c r="G28" s="129">
        <v>213116</v>
      </c>
      <c r="H28" s="129">
        <v>192638</v>
      </c>
    </row>
    <row r="29" spans="1:8">
      <c r="A29" s="128">
        <v>2001</v>
      </c>
      <c r="B29" s="129">
        <v>12538</v>
      </c>
      <c r="C29" s="129">
        <v>43219</v>
      </c>
      <c r="D29" s="129">
        <v>46931</v>
      </c>
      <c r="E29" s="129">
        <v>91145</v>
      </c>
      <c r="F29" s="129">
        <v>4095</v>
      </c>
      <c r="G29" s="129">
        <v>197928</v>
      </c>
      <c r="H29" s="129">
        <v>185604</v>
      </c>
    </row>
    <row r="30" spans="1:8">
      <c r="A30" s="128">
        <v>2002</v>
      </c>
      <c r="B30" s="129">
        <v>15998</v>
      </c>
      <c r="C30" s="129">
        <v>40452</v>
      </c>
      <c r="D30" s="129">
        <v>104515</v>
      </c>
      <c r="E30" s="129">
        <v>128358</v>
      </c>
      <c r="F30" s="129">
        <v>45076</v>
      </c>
      <c r="G30" s="129">
        <v>334399</v>
      </c>
      <c r="H30" s="129">
        <v>304895</v>
      </c>
    </row>
    <row r="31" spans="1:8">
      <c r="A31" s="128">
        <v>2003</v>
      </c>
      <c r="B31" s="129">
        <v>20741</v>
      </c>
      <c r="C31" s="129">
        <v>60460</v>
      </c>
      <c r="D31" s="129">
        <v>123342</v>
      </c>
      <c r="E31" s="129">
        <v>170717</v>
      </c>
      <c r="F31" s="129">
        <v>32749</v>
      </c>
      <c r="G31" s="129">
        <v>408009</v>
      </c>
      <c r="H31" s="129">
        <v>393874</v>
      </c>
    </row>
    <row r="32" spans="1:8">
      <c r="A32" s="128">
        <v>2004</v>
      </c>
      <c r="B32" s="129">
        <v>21816</v>
      </c>
      <c r="C32" s="129">
        <v>43577</v>
      </c>
      <c r="D32" s="129">
        <v>145007</v>
      </c>
      <c r="E32" s="129">
        <v>168461</v>
      </c>
      <c r="F32" s="129">
        <v>23004</v>
      </c>
      <c r="G32" s="129">
        <v>401865</v>
      </c>
      <c r="H32" s="129">
        <v>407431</v>
      </c>
    </row>
    <row r="33" spans="1:8">
      <c r="A33" s="128">
        <v>2005</v>
      </c>
      <c r="B33" s="129">
        <v>11954</v>
      </c>
      <c r="C33" s="129">
        <v>36205</v>
      </c>
      <c r="D33" s="129">
        <v>105360</v>
      </c>
      <c r="E33" s="129">
        <v>79545</v>
      </c>
      <c r="F33" s="129">
        <v>4627</v>
      </c>
      <c r="G33" s="129">
        <v>237691</v>
      </c>
      <c r="H33" s="129">
        <v>211760</v>
      </c>
    </row>
    <row r="34" spans="1:8">
      <c r="A34" s="128">
        <v>2006</v>
      </c>
      <c r="B34" s="129">
        <v>10722</v>
      </c>
      <c r="C34" s="129">
        <v>55203</v>
      </c>
      <c r="D34" s="129">
        <v>114182</v>
      </c>
      <c r="E34" s="129">
        <v>99111</v>
      </c>
      <c r="F34" s="129">
        <v>24210</v>
      </c>
      <c r="G34" s="129">
        <v>303428</v>
      </c>
      <c r="H34" s="129">
        <v>270406</v>
      </c>
    </row>
    <row r="35" spans="1:8">
      <c r="A35" s="128">
        <v>2007</v>
      </c>
      <c r="B35" s="129">
        <v>19513</v>
      </c>
      <c r="C35" s="129">
        <v>50190</v>
      </c>
      <c r="D35" s="129">
        <v>87840</v>
      </c>
      <c r="E35" s="129">
        <v>74488</v>
      </c>
      <c r="F35" s="129">
        <v>10437</v>
      </c>
      <c r="G35" s="129">
        <v>242468</v>
      </c>
      <c r="H35" s="129">
        <v>221308</v>
      </c>
    </row>
    <row r="36" spans="1:8">
      <c r="A36" s="128">
        <v>2008</v>
      </c>
      <c r="B36" s="129">
        <v>9301</v>
      </c>
      <c r="C36" s="129">
        <v>65651</v>
      </c>
      <c r="D36" s="129">
        <v>78424</v>
      </c>
      <c r="E36" s="129">
        <v>48815</v>
      </c>
      <c r="F36" s="129">
        <v>6891</v>
      </c>
      <c r="G36" s="129">
        <v>209082</v>
      </c>
      <c r="H36" s="129">
        <v>180061</v>
      </c>
    </row>
    <row r="37" spans="1:8">
      <c r="A37" s="128">
        <v>2009</v>
      </c>
      <c r="B37" s="129">
        <v>18933</v>
      </c>
      <c r="C37" s="129">
        <v>64891</v>
      </c>
      <c r="D37" s="129">
        <v>95449</v>
      </c>
      <c r="E37" s="129">
        <v>39854</v>
      </c>
      <c r="F37" s="129">
        <v>21765</v>
      </c>
      <c r="G37" s="129">
        <v>240892</v>
      </c>
      <c r="H37" s="129">
        <v>222692</v>
      </c>
    </row>
    <row r="38" spans="1:8">
      <c r="A38" s="128">
        <v>2010</v>
      </c>
      <c r="B38" s="129">
        <v>16882</v>
      </c>
      <c r="C38" s="129">
        <v>62890</v>
      </c>
      <c r="D38" s="129">
        <v>76417</v>
      </c>
      <c r="E38" s="129">
        <v>56581</v>
      </c>
      <c r="F38" s="129">
        <v>34859</v>
      </c>
      <c r="G38" s="129">
        <v>247629</v>
      </c>
      <c r="H38" s="129">
        <v>234049</v>
      </c>
    </row>
    <row r="39" spans="1:8">
      <c r="A39" s="128">
        <v>2011</v>
      </c>
      <c r="B39" s="129">
        <v>8240</v>
      </c>
      <c r="C39" s="129">
        <v>53572</v>
      </c>
      <c r="D39" s="129">
        <v>55999</v>
      </c>
      <c r="E39" s="129">
        <v>32119</v>
      </c>
      <c r="F39" s="129">
        <v>10050</v>
      </c>
      <c r="G39" s="129">
        <v>159980</v>
      </c>
      <c r="H39" s="129">
        <v>139566</v>
      </c>
    </row>
    <row r="40" spans="1:8">
      <c r="A40" s="128">
        <v>2012</v>
      </c>
      <c r="B40" s="129">
        <v>13439</v>
      </c>
      <c r="C40" s="129">
        <v>53126</v>
      </c>
      <c r="D40" s="129">
        <v>63794</v>
      </c>
      <c r="E40" s="129">
        <v>9975</v>
      </c>
      <c r="F40" s="129">
        <v>14125</v>
      </c>
      <c r="G40" s="129">
        <v>154459</v>
      </c>
      <c r="H40" s="129">
        <v>141674</v>
      </c>
    </row>
    <row r="41" spans="1:8">
      <c r="A41" s="128">
        <v>2013</v>
      </c>
      <c r="B41" s="129">
        <v>22744</v>
      </c>
      <c r="C41" s="129">
        <v>63450</v>
      </c>
      <c r="D41" s="129">
        <v>50655</v>
      </c>
      <c r="E41" s="129">
        <v>14030</v>
      </c>
      <c r="F41" s="129">
        <v>5151</v>
      </c>
      <c r="G41" s="129">
        <v>156030</v>
      </c>
      <c r="H41" s="129">
        <v>135100</v>
      </c>
    </row>
    <row r="42" spans="1:8">
      <c r="A42" s="128">
        <v>2014</v>
      </c>
      <c r="B42" s="129">
        <v>27585</v>
      </c>
      <c r="C42" s="129">
        <v>61533</v>
      </c>
      <c r="D42" s="129">
        <v>39955</v>
      </c>
      <c r="E42" s="129">
        <v>7688</v>
      </c>
      <c r="F42" s="129">
        <v>7223</v>
      </c>
      <c r="G42" s="129">
        <v>143984</v>
      </c>
      <c r="H42" s="129">
        <v>120144</v>
      </c>
    </row>
    <row r="43" spans="1:8">
      <c r="A43" s="128">
        <v>2015</v>
      </c>
      <c r="B43" s="129">
        <v>8372</v>
      </c>
      <c r="C43" s="129">
        <v>40483</v>
      </c>
      <c r="D43" s="129">
        <v>11810</v>
      </c>
      <c r="E43" s="129">
        <v>5323</v>
      </c>
      <c r="F43" s="129">
        <v>521</v>
      </c>
      <c r="G43" s="129">
        <v>66509</v>
      </c>
      <c r="H43" s="129">
        <v>52962</v>
      </c>
    </row>
    <row r="44" spans="1:8">
      <c r="A44" s="128">
        <v>2016</v>
      </c>
      <c r="B44" s="129">
        <v>17853</v>
      </c>
      <c r="C44" s="129">
        <v>44215</v>
      </c>
      <c r="D44" s="129">
        <v>10579</v>
      </c>
      <c r="E44" s="129">
        <v>3140</v>
      </c>
      <c r="F44" s="129">
        <v>1908</v>
      </c>
      <c r="G44" s="129">
        <v>77695</v>
      </c>
      <c r="H44" s="129">
        <v>65153</v>
      </c>
    </row>
    <row r="45" spans="1:8">
      <c r="A45" s="128">
        <v>2017</v>
      </c>
      <c r="B45" s="129">
        <v>12380</v>
      </c>
      <c r="C45" s="129">
        <v>27933</v>
      </c>
      <c r="D45" s="129">
        <v>8933</v>
      </c>
      <c r="E45" s="129">
        <v>2344</v>
      </c>
      <c r="F45" s="129">
        <v>2691</v>
      </c>
      <c r="G45" s="129">
        <v>54281</v>
      </c>
      <c r="H45" s="129">
        <v>43731</v>
      </c>
    </row>
    <row r="46" spans="1:8">
      <c r="A46" s="128">
        <v>2018</v>
      </c>
      <c r="B46" s="129">
        <v>6488</v>
      </c>
      <c r="C46" s="129">
        <v>14537</v>
      </c>
      <c r="D46" s="129">
        <v>5340</v>
      </c>
      <c r="E46" s="129">
        <v>2018</v>
      </c>
      <c r="F46" s="129">
        <v>673</v>
      </c>
      <c r="G46" s="129">
        <v>29056</v>
      </c>
      <c r="H46" s="129">
        <v>22947</v>
      </c>
    </row>
    <row r="47" spans="1:8">
      <c r="A47" s="128">
        <v>2019</v>
      </c>
      <c r="B47" s="129">
        <v>6035</v>
      </c>
      <c r="C47" s="129">
        <v>28740</v>
      </c>
      <c r="D47" s="129">
        <v>7358</v>
      </c>
      <c r="E47" s="129">
        <v>1407</v>
      </c>
      <c r="F47" s="129">
        <v>797</v>
      </c>
      <c r="G47" s="129">
        <v>44337</v>
      </c>
      <c r="H47" s="129">
        <v>37731</v>
      </c>
    </row>
    <row r="48" spans="1:8">
      <c r="A48" s="128">
        <v>2020</v>
      </c>
      <c r="B48" s="129">
        <v>9059</v>
      </c>
      <c r="C48" s="129">
        <v>34625</v>
      </c>
      <c r="D48" s="129">
        <v>9956</v>
      </c>
      <c r="E48" s="129">
        <v>2264</v>
      </c>
      <c r="F48" s="129">
        <v>1102</v>
      </c>
      <c r="G48" s="129">
        <v>57006</v>
      </c>
      <c r="H48" s="129">
        <v>50065</v>
      </c>
    </row>
    <row r="49" spans="1:8">
      <c r="A49" s="128">
        <v>2021</v>
      </c>
      <c r="B49" s="129">
        <v>10548</v>
      </c>
      <c r="C49" s="129">
        <v>21865</v>
      </c>
      <c r="D49" s="129">
        <v>7148</v>
      </c>
      <c r="E49" s="129">
        <v>2610</v>
      </c>
      <c r="F49" s="129">
        <v>32</v>
      </c>
      <c r="G49" s="129">
        <v>42203</v>
      </c>
      <c r="H49" s="129">
        <v>35731</v>
      </c>
    </row>
    <row r="50" spans="1:8">
      <c r="A50" s="128">
        <v>2022</v>
      </c>
      <c r="B50" s="129">
        <v>9564</v>
      </c>
      <c r="C50" s="129">
        <v>24160</v>
      </c>
      <c r="D50" s="129">
        <v>4595</v>
      </c>
      <c r="E50" s="129">
        <v>1733</v>
      </c>
      <c r="F50" s="129">
        <v>155</v>
      </c>
      <c r="G50" s="129">
        <v>40207</v>
      </c>
      <c r="H50" s="129">
        <v>34084</v>
      </c>
    </row>
    <row r="51" spans="1:8">
      <c r="A51" s="126">
        <v>2023</v>
      </c>
      <c r="B51" s="130">
        <v>8831</v>
      </c>
      <c r="C51" s="130">
        <v>17317</v>
      </c>
      <c r="D51" s="130">
        <v>12560</v>
      </c>
      <c r="E51" s="130">
        <v>2391</v>
      </c>
      <c r="F51" s="130">
        <v>139</v>
      </c>
      <c r="G51" s="130">
        <v>41238</v>
      </c>
      <c r="H51" s="130">
        <v>38238</v>
      </c>
    </row>
  </sheetData>
  <mergeCells count="1">
    <mergeCell ref="A4:A5"/>
  </mergeCells>
  <phoneticPr fontId="5"/>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85FC8-F532-4108-939A-09334A98A4A2}">
  <sheetPr codeName="Sheet28"/>
  <dimension ref="B1:L49"/>
  <sheetViews>
    <sheetView showGridLines="0" topLeftCell="A26" zoomScale="90" zoomScaleNormal="90" workbookViewId="0">
      <selection activeCell="I40" sqref="I40"/>
    </sheetView>
  </sheetViews>
  <sheetFormatPr defaultColWidth="11.42578125" defaultRowHeight="13.5"/>
  <cols>
    <col min="1" max="1" width="11.42578125" style="54"/>
    <col min="2" max="2" width="5.85546875" style="54" customWidth="1"/>
    <col min="3" max="5" width="8" style="54" bestFit="1" customWidth="1"/>
    <col min="6" max="6" width="13.42578125" style="54" customWidth="1"/>
    <col min="7" max="7" width="9.28515625" style="54" bestFit="1" customWidth="1"/>
    <col min="8" max="8" width="6.7109375" style="54" bestFit="1" customWidth="1"/>
    <col min="9" max="9" width="7.7109375" style="54" bestFit="1" customWidth="1"/>
    <col min="10" max="16384" width="11.42578125" style="54"/>
  </cols>
  <sheetData>
    <row r="1" spans="2:12">
      <c r="B1" s="131" t="s">
        <v>694</v>
      </c>
    </row>
    <row r="2" spans="2:12">
      <c r="L2" s="132"/>
    </row>
    <row r="3" spans="2:12" ht="33" customHeight="1">
      <c r="B3" s="133" t="s">
        <v>122</v>
      </c>
      <c r="C3" s="134" t="s">
        <v>134</v>
      </c>
      <c r="D3" s="134" t="s">
        <v>135</v>
      </c>
      <c r="E3" s="134" t="s">
        <v>136</v>
      </c>
      <c r="F3" s="134" t="s">
        <v>137</v>
      </c>
      <c r="G3" s="134" t="s">
        <v>138</v>
      </c>
      <c r="H3" s="135" t="s">
        <v>139</v>
      </c>
      <c r="I3" s="135" t="s">
        <v>0</v>
      </c>
    </row>
    <row r="4" spans="2:12">
      <c r="B4" s="136">
        <v>1978</v>
      </c>
      <c r="C4" s="137">
        <v>233.5</v>
      </c>
      <c r="D4" s="137">
        <v>92.8</v>
      </c>
      <c r="E4" s="137">
        <v>279.39999999999998</v>
      </c>
      <c r="F4" s="137">
        <v>301.2</v>
      </c>
      <c r="G4" s="137">
        <v>18.399999999999999</v>
      </c>
      <c r="H4" s="137">
        <v>58</v>
      </c>
      <c r="I4" s="138">
        <v>0.61</v>
      </c>
    </row>
    <row r="5" spans="2:12">
      <c r="B5" s="136">
        <v>1979</v>
      </c>
      <c r="C5" s="137">
        <v>302.2</v>
      </c>
      <c r="D5" s="137">
        <v>144.1</v>
      </c>
      <c r="E5" s="137">
        <v>312.60000000000002</v>
      </c>
      <c r="F5" s="137">
        <v>216.9</v>
      </c>
      <c r="G5" s="137">
        <v>19</v>
      </c>
      <c r="H5" s="137">
        <v>58.1</v>
      </c>
      <c r="I5" s="138">
        <v>0.66</v>
      </c>
    </row>
    <row r="6" spans="2:12">
      <c r="B6" s="136">
        <v>1980</v>
      </c>
      <c r="C6" s="137">
        <v>201.9</v>
      </c>
      <c r="D6" s="137">
        <v>115.5</v>
      </c>
      <c r="E6" s="137">
        <v>152.9</v>
      </c>
      <c r="F6" s="137">
        <v>132.30000000000001</v>
      </c>
      <c r="G6" s="137">
        <v>32.700000000000003</v>
      </c>
      <c r="H6" s="137">
        <v>38.1</v>
      </c>
      <c r="I6" s="138">
        <v>1.26</v>
      </c>
    </row>
    <row r="7" spans="2:12">
      <c r="B7" s="136">
        <v>1981</v>
      </c>
      <c r="C7" s="137">
        <v>158</v>
      </c>
      <c r="D7" s="137">
        <v>54.6</v>
      </c>
      <c r="E7" s="137">
        <v>241.9</v>
      </c>
      <c r="F7" s="137">
        <v>442.7</v>
      </c>
      <c r="G7" s="137">
        <v>32</v>
      </c>
      <c r="H7" s="137">
        <v>34.4</v>
      </c>
      <c r="I7" s="138">
        <v>1.42</v>
      </c>
    </row>
    <row r="8" spans="2:12">
      <c r="B8" s="136">
        <v>1982</v>
      </c>
      <c r="C8" s="137">
        <v>151.69999999999999</v>
      </c>
      <c r="D8" s="137">
        <v>51.4</v>
      </c>
      <c r="E8" s="137">
        <v>285.10000000000002</v>
      </c>
      <c r="F8" s="137">
        <v>555.29999999999995</v>
      </c>
      <c r="G8" s="137">
        <v>31.3</v>
      </c>
      <c r="H8" s="137">
        <v>34.700000000000003</v>
      </c>
      <c r="I8" s="138">
        <v>1.36</v>
      </c>
    </row>
    <row r="9" spans="2:12">
      <c r="B9" s="136">
        <v>1983</v>
      </c>
      <c r="C9" s="137">
        <v>247.9</v>
      </c>
      <c r="D9" s="137">
        <v>61.7</v>
      </c>
      <c r="E9" s="137">
        <v>439.5</v>
      </c>
      <c r="F9" s="137">
        <v>712.7</v>
      </c>
      <c r="G9" s="137">
        <v>22.3</v>
      </c>
      <c r="H9" s="137">
        <v>48.4</v>
      </c>
      <c r="I9" s="138">
        <v>0.88</v>
      </c>
    </row>
    <row r="10" spans="2:12">
      <c r="B10" s="136">
        <v>1984</v>
      </c>
      <c r="C10" s="137">
        <v>220.9</v>
      </c>
      <c r="D10" s="137">
        <v>86.3</v>
      </c>
      <c r="E10" s="137">
        <v>405.3</v>
      </c>
      <c r="F10" s="137">
        <v>469.9</v>
      </c>
      <c r="G10" s="137">
        <v>40.799999999999997</v>
      </c>
      <c r="H10" s="137">
        <v>21.5</v>
      </c>
      <c r="I10" s="138">
        <v>2.54</v>
      </c>
    </row>
    <row r="11" spans="2:12">
      <c r="B11" s="136">
        <v>1985</v>
      </c>
      <c r="C11" s="137">
        <v>222.6</v>
      </c>
      <c r="D11" s="137">
        <v>57.5</v>
      </c>
      <c r="E11" s="137">
        <v>377.8</v>
      </c>
      <c r="F11" s="137">
        <v>656.6</v>
      </c>
      <c r="G11" s="137">
        <v>27.6</v>
      </c>
      <c r="H11" s="137">
        <v>39.700000000000003</v>
      </c>
      <c r="I11" s="138">
        <v>1.22</v>
      </c>
    </row>
    <row r="12" spans="2:12">
      <c r="B12" s="136">
        <v>1986</v>
      </c>
      <c r="C12" s="137">
        <v>310.3</v>
      </c>
      <c r="D12" s="137">
        <v>86.7</v>
      </c>
      <c r="E12" s="137">
        <v>461.5</v>
      </c>
      <c r="F12" s="137">
        <v>532</v>
      </c>
      <c r="G12" s="137">
        <v>21.3</v>
      </c>
      <c r="H12" s="137">
        <v>52</v>
      </c>
      <c r="I12" s="138">
        <v>0.74</v>
      </c>
    </row>
    <row r="13" spans="2:12">
      <c r="B13" s="136">
        <v>1987</v>
      </c>
      <c r="C13" s="137">
        <v>352.5</v>
      </c>
      <c r="D13" s="137">
        <v>136.9</v>
      </c>
      <c r="E13" s="137">
        <v>361.2</v>
      </c>
      <c r="F13" s="137">
        <v>263.8</v>
      </c>
      <c r="G13" s="137">
        <v>17.8</v>
      </c>
      <c r="H13" s="137">
        <v>62.7</v>
      </c>
      <c r="I13" s="138">
        <v>0.5</v>
      </c>
    </row>
    <row r="14" spans="2:12">
      <c r="B14" s="136">
        <v>1988</v>
      </c>
      <c r="C14" s="137">
        <v>460.4</v>
      </c>
      <c r="D14" s="137">
        <v>154.19999999999999</v>
      </c>
      <c r="E14" s="137">
        <v>869.7</v>
      </c>
      <c r="F14" s="137">
        <v>563.9</v>
      </c>
      <c r="G14" s="137">
        <v>14.8</v>
      </c>
      <c r="H14" s="137">
        <v>65.599999999999994</v>
      </c>
      <c r="I14" s="138">
        <v>0.44</v>
      </c>
    </row>
    <row r="15" spans="2:12">
      <c r="B15" s="136">
        <v>1989</v>
      </c>
      <c r="C15" s="137">
        <v>1144.0999999999999</v>
      </c>
      <c r="D15" s="137">
        <v>375.8</v>
      </c>
      <c r="E15" s="137">
        <v>1340.9</v>
      </c>
      <c r="F15" s="137">
        <v>356.8</v>
      </c>
      <c r="G15" s="137">
        <v>7.7</v>
      </c>
      <c r="H15" s="137">
        <v>80.3</v>
      </c>
      <c r="I15" s="138">
        <v>0.2</v>
      </c>
    </row>
    <row r="16" spans="2:12">
      <c r="B16" s="136">
        <v>1990</v>
      </c>
      <c r="C16" s="137">
        <v>1966.8</v>
      </c>
      <c r="D16" s="137">
        <v>835.8</v>
      </c>
      <c r="E16" s="137">
        <v>1197</v>
      </c>
      <c r="F16" s="137">
        <v>143.19999999999999</v>
      </c>
      <c r="G16" s="137">
        <v>11</v>
      </c>
      <c r="H16" s="137">
        <v>80.099999999999994</v>
      </c>
      <c r="I16" s="138">
        <v>0.18</v>
      </c>
    </row>
    <row r="17" spans="2:9">
      <c r="B17" s="136">
        <v>1991</v>
      </c>
      <c r="C17" s="137">
        <v>1433.5</v>
      </c>
      <c r="D17" s="137">
        <v>876</v>
      </c>
      <c r="E17" s="137">
        <v>819.5</v>
      </c>
      <c r="F17" s="137">
        <v>93.6</v>
      </c>
      <c r="G17" s="137">
        <v>14.1</v>
      </c>
      <c r="H17" s="137">
        <v>78</v>
      </c>
      <c r="I17" s="138">
        <v>0.23</v>
      </c>
    </row>
    <row r="18" spans="2:9">
      <c r="B18" s="136">
        <v>1992</v>
      </c>
      <c r="C18" s="137">
        <v>1282.7</v>
      </c>
      <c r="D18" s="137">
        <v>625</v>
      </c>
      <c r="E18" s="137">
        <v>995.9</v>
      </c>
      <c r="F18" s="137">
        <v>159.4</v>
      </c>
      <c r="G18" s="137">
        <v>13.9</v>
      </c>
      <c r="H18" s="137">
        <v>78</v>
      </c>
      <c r="I18" s="138">
        <v>0.2</v>
      </c>
    </row>
    <row r="19" spans="2:9">
      <c r="B19" s="136">
        <v>1993</v>
      </c>
      <c r="C19" s="137">
        <v>1065.2</v>
      </c>
      <c r="D19" s="137">
        <v>587.9</v>
      </c>
      <c r="E19" s="137">
        <v>900.9</v>
      </c>
      <c r="F19" s="137">
        <v>153.19999999999999</v>
      </c>
      <c r="G19" s="137">
        <v>9.4</v>
      </c>
      <c r="H19" s="137">
        <v>82</v>
      </c>
      <c r="I19" s="138">
        <v>0.2</v>
      </c>
    </row>
    <row r="20" spans="2:9">
      <c r="B20" s="136">
        <v>1994</v>
      </c>
      <c r="C20" s="137">
        <v>1184.3</v>
      </c>
      <c r="D20" s="137">
        <v>675.5</v>
      </c>
      <c r="E20" s="137">
        <v>888.1</v>
      </c>
      <c r="F20" s="137">
        <v>131.5</v>
      </c>
      <c r="G20" s="137">
        <v>9.3000000000000007</v>
      </c>
      <c r="H20" s="137">
        <v>84.2</v>
      </c>
      <c r="I20" s="138">
        <v>0.15</v>
      </c>
    </row>
    <row r="21" spans="2:9">
      <c r="B21" s="136">
        <v>1995</v>
      </c>
      <c r="C21" s="137">
        <v>1146.0999999999999</v>
      </c>
      <c r="D21" s="137">
        <v>717.8</v>
      </c>
      <c r="E21" s="137">
        <v>669.1</v>
      </c>
      <c r="F21" s="137">
        <v>93.2</v>
      </c>
      <c r="G21" s="137">
        <v>12.4</v>
      </c>
      <c r="H21" s="137">
        <v>80.7</v>
      </c>
      <c r="I21" s="138">
        <v>0.19</v>
      </c>
    </row>
    <row r="22" spans="2:9">
      <c r="B22" s="136">
        <v>1996</v>
      </c>
      <c r="C22" s="137">
        <v>1273.3</v>
      </c>
      <c r="D22" s="137">
        <v>555.70000000000005</v>
      </c>
      <c r="E22" s="137">
        <v>949.7</v>
      </c>
      <c r="F22" s="137">
        <v>170.9</v>
      </c>
      <c r="G22" s="137">
        <v>16.3</v>
      </c>
      <c r="H22" s="137">
        <v>72</v>
      </c>
      <c r="I22" s="138">
        <v>0.27</v>
      </c>
    </row>
    <row r="23" spans="2:9">
      <c r="B23" s="136">
        <v>1997</v>
      </c>
      <c r="C23" s="137">
        <v>1927</v>
      </c>
      <c r="D23" s="137">
        <v>627.79999999999995</v>
      </c>
      <c r="E23" s="137">
        <v>1417.1</v>
      </c>
      <c r="F23" s="137">
        <v>225.7</v>
      </c>
      <c r="G23" s="137">
        <v>7</v>
      </c>
      <c r="H23" s="137">
        <v>84.1</v>
      </c>
      <c r="I23" s="138">
        <v>0.13</v>
      </c>
    </row>
    <row r="24" spans="2:9">
      <c r="B24" s="136">
        <v>1998</v>
      </c>
      <c r="C24" s="137">
        <v>2680.2</v>
      </c>
      <c r="D24" s="137">
        <v>968.4</v>
      </c>
      <c r="E24" s="137">
        <v>1923.6</v>
      </c>
      <c r="F24" s="137">
        <v>198.6</v>
      </c>
      <c r="G24" s="137">
        <v>11.9</v>
      </c>
      <c r="H24" s="137">
        <v>77.7</v>
      </c>
      <c r="I24" s="138">
        <v>0.19</v>
      </c>
    </row>
    <row r="25" spans="2:9">
      <c r="B25" s="136">
        <v>1999</v>
      </c>
      <c r="C25" s="137">
        <v>2210.9</v>
      </c>
      <c r="D25" s="137">
        <v>1127.2</v>
      </c>
      <c r="E25" s="137">
        <v>1321.2</v>
      </c>
      <c r="F25" s="137">
        <v>117.2</v>
      </c>
      <c r="G25" s="137">
        <v>14.8</v>
      </c>
      <c r="H25" s="137">
        <v>74.599999999999994</v>
      </c>
      <c r="I25" s="138">
        <v>0.26</v>
      </c>
    </row>
    <row r="26" spans="2:9">
      <c r="B26" s="136">
        <v>2000</v>
      </c>
      <c r="C26" s="137">
        <v>2048</v>
      </c>
      <c r="D26" s="137">
        <v>1082.9000000000001</v>
      </c>
      <c r="E26" s="137">
        <v>1299.5999999999999</v>
      </c>
      <c r="F26" s="137">
        <v>120</v>
      </c>
      <c r="G26" s="137">
        <v>10.4</v>
      </c>
      <c r="H26" s="137">
        <v>84.6</v>
      </c>
      <c r="I26" s="138">
        <v>0.14000000000000001</v>
      </c>
    </row>
    <row r="27" spans="2:9">
      <c r="B27" s="136">
        <v>2001</v>
      </c>
      <c r="C27" s="137">
        <v>2455.3000000000002</v>
      </c>
      <c r="D27" s="137">
        <v>1006.3</v>
      </c>
      <c r="E27" s="137">
        <v>2010.1</v>
      </c>
      <c r="F27" s="137">
        <v>199.8</v>
      </c>
      <c r="G27" s="137">
        <v>8.1</v>
      </c>
      <c r="H27" s="137">
        <v>85.5</v>
      </c>
      <c r="I27" s="138">
        <v>0.14000000000000001</v>
      </c>
    </row>
    <row r="28" spans="2:9">
      <c r="B28" s="136">
        <v>2002</v>
      </c>
      <c r="C28" s="137">
        <v>2908.8</v>
      </c>
      <c r="D28" s="137">
        <v>1282.7</v>
      </c>
      <c r="E28" s="137">
        <v>1967.9</v>
      </c>
      <c r="F28" s="137">
        <v>153.4</v>
      </c>
      <c r="G28" s="137">
        <v>11.5</v>
      </c>
      <c r="H28" s="137">
        <v>78.900000000000006</v>
      </c>
      <c r="I28" s="138">
        <v>0.15</v>
      </c>
    </row>
    <row r="29" spans="2:9">
      <c r="B29" s="136">
        <v>2003</v>
      </c>
      <c r="C29" s="137">
        <v>2820.6</v>
      </c>
      <c r="D29" s="137">
        <v>1431.3</v>
      </c>
      <c r="E29" s="137">
        <v>1633.2</v>
      </c>
      <c r="F29" s="137">
        <v>114.1</v>
      </c>
      <c r="G29" s="137">
        <v>14.5</v>
      </c>
      <c r="H29" s="137">
        <v>78.7</v>
      </c>
      <c r="I29" s="138">
        <v>0.14000000000000001</v>
      </c>
    </row>
    <row r="30" spans="2:9">
      <c r="B30" s="136">
        <v>2004</v>
      </c>
      <c r="C30" s="137">
        <v>2238.1</v>
      </c>
      <c r="D30" s="137">
        <v>1186.5999999999999</v>
      </c>
      <c r="E30" s="137">
        <v>1013.7</v>
      </c>
      <c r="F30" s="137">
        <v>85.4</v>
      </c>
      <c r="G30" s="137">
        <v>18</v>
      </c>
      <c r="H30" s="137">
        <v>74.8</v>
      </c>
      <c r="I30" s="138">
        <v>0.17</v>
      </c>
    </row>
    <row r="31" spans="2:9">
      <c r="B31" s="136">
        <v>2005</v>
      </c>
      <c r="C31" s="137">
        <v>1696</v>
      </c>
      <c r="D31" s="137">
        <v>818</v>
      </c>
      <c r="E31" s="137">
        <v>1366.3</v>
      </c>
      <c r="F31" s="137">
        <v>167</v>
      </c>
      <c r="G31" s="137">
        <v>14</v>
      </c>
      <c r="H31" s="137">
        <v>79.599999999999994</v>
      </c>
      <c r="I31" s="138">
        <v>0.14000000000000001</v>
      </c>
    </row>
    <row r="32" spans="2:9">
      <c r="B32" s="136">
        <v>2006</v>
      </c>
      <c r="C32" s="137">
        <v>1664.2</v>
      </c>
      <c r="D32" s="137">
        <v>817.3</v>
      </c>
      <c r="E32" s="137">
        <v>971.2</v>
      </c>
      <c r="F32" s="137">
        <v>118.8</v>
      </c>
      <c r="G32" s="137">
        <v>18.2</v>
      </c>
      <c r="H32" s="137">
        <v>69.8</v>
      </c>
      <c r="I32" s="138">
        <v>0.3</v>
      </c>
    </row>
    <row r="33" spans="2:9">
      <c r="B33" s="136">
        <v>2007</v>
      </c>
      <c r="C33" s="137">
        <v>1299.8</v>
      </c>
      <c r="D33" s="137">
        <v>688.3</v>
      </c>
      <c r="E33" s="137">
        <v>1027.2</v>
      </c>
      <c r="F33" s="137">
        <v>149.19999999999999</v>
      </c>
      <c r="G33" s="137">
        <v>18.7</v>
      </c>
      <c r="H33" s="137">
        <v>73.8</v>
      </c>
      <c r="I33" s="138">
        <v>0.18</v>
      </c>
    </row>
    <row r="34" spans="2:9">
      <c r="B34" s="136">
        <v>2008</v>
      </c>
      <c r="C34" s="137">
        <v>1354.9</v>
      </c>
      <c r="D34" s="137">
        <v>649.4</v>
      </c>
      <c r="E34" s="137">
        <v>1422.6</v>
      </c>
      <c r="F34" s="137">
        <v>219.1</v>
      </c>
      <c r="G34" s="137">
        <v>15.4</v>
      </c>
      <c r="H34" s="137">
        <v>70.7</v>
      </c>
      <c r="I34" s="138">
        <v>0.36</v>
      </c>
    </row>
    <row r="35" spans="2:9">
      <c r="B35" s="136">
        <v>2009</v>
      </c>
      <c r="C35" s="137">
        <v>1543.8</v>
      </c>
      <c r="D35" s="137">
        <v>813.2</v>
      </c>
      <c r="E35" s="137">
        <v>916.9</v>
      </c>
      <c r="F35" s="137">
        <v>112.8</v>
      </c>
      <c r="G35" s="137">
        <v>15.6</v>
      </c>
      <c r="H35" s="137">
        <v>76.400000000000006</v>
      </c>
      <c r="I35" s="138">
        <v>0.19</v>
      </c>
    </row>
    <row r="36" spans="2:9">
      <c r="B36" s="136">
        <v>2010</v>
      </c>
      <c r="C36" s="137">
        <v>1143.2</v>
      </c>
      <c r="D36" s="137">
        <v>702.6</v>
      </c>
      <c r="E36" s="137">
        <v>713.9</v>
      </c>
      <c r="F36" s="137">
        <v>101.6</v>
      </c>
      <c r="G36" s="137">
        <v>21.7</v>
      </c>
      <c r="H36" s="137">
        <v>68.099999999999994</v>
      </c>
      <c r="I36" s="138">
        <v>0.37</v>
      </c>
    </row>
    <row r="37" spans="2:9">
      <c r="B37" s="136">
        <v>2011</v>
      </c>
      <c r="C37" s="137">
        <v>949.1</v>
      </c>
      <c r="D37" s="137">
        <v>460.1</v>
      </c>
      <c r="E37" s="137">
        <v>660.5</v>
      </c>
      <c r="F37" s="137">
        <v>143.6</v>
      </c>
      <c r="G37" s="137">
        <v>16.899999999999999</v>
      </c>
      <c r="H37" s="137">
        <v>71.7</v>
      </c>
      <c r="I37" s="138">
        <v>0.27</v>
      </c>
    </row>
    <row r="38" spans="2:9">
      <c r="B38" s="136">
        <v>2012</v>
      </c>
      <c r="C38" s="137">
        <v>645.4</v>
      </c>
      <c r="D38" s="137">
        <v>404.1</v>
      </c>
      <c r="E38" s="137">
        <v>504.9</v>
      </c>
      <c r="F38" s="137">
        <v>124.9</v>
      </c>
      <c r="G38" s="137">
        <v>23.9</v>
      </c>
      <c r="H38" s="137">
        <v>61.6</v>
      </c>
      <c r="I38" s="138">
        <v>0.52</v>
      </c>
    </row>
    <row r="39" spans="2:9">
      <c r="B39" s="136">
        <v>2013</v>
      </c>
      <c r="C39" s="137">
        <v>543.20000000000005</v>
      </c>
      <c r="D39" s="137">
        <v>284.7</v>
      </c>
      <c r="E39" s="137">
        <v>487.3</v>
      </c>
      <c r="F39" s="137">
        <v>171.2</v>
      </c>
      <c r="G39" s="137">
        <v>28.7</v>
      </c>
      <c r="H39" s="137">
        <v>49.5</v>
      </c>
      <c r="I39" s="138">
        <v>0.84</v>
      </c>
    </row>
    <row r="40" spans="2:9">
      <c r="B40" s="136">
        <v>2014</v>
      </c>
      <c r="C40" s="137">
        <v>322</v>
      </c>
      <c r="D40" s="137">
        <v>169.1</v>
      </c>
      <c r="E40" s="137">
        <v>344.3</v>
      </c>
      <c r="F40" s="137">
        <v>203.6</v>
      </c>
      <c r="G40" s="137">
        <v>44.7</v>
      </c>
      <c r="H40" s="137">
        <v>17.2</v>
      </c>
      <c r="I40" s="138">
        <v>2.5</v>
      </c>
    </row>
    <row r="41" spans="2:9">
      <c r="B41" s="136">
        <v>2015</v>
      </c>
      <c r="C41" s="137">
        <v>188.4</v>
      </c>
      <c r="D41" s="137">
        <v>54.8</v>
      </c>
      <c r="E41" s="137">
        <v>388.4</v>
      </c>
      <c r="F41" s="137">
        <v>708.7</v>
      </c>
      <c r="G41" s="137">
        <v>35.299999999999997</v>
      </c>
      <c r="H41" s="137">
        <v>28.7</v>
      </c>
      <c r="I41" s="138">
        <v>1.73</v>
      </c>
    </row>
    <row r="42" spans="2:9">
      <c r="B42" s="136">
        <v>2016</v>
      </c>
      <c r="C42" s="137">
        <v>192.5</v>
      </c>
      <c r="D42" s="137">
        <v>58.9</v>
      </c>
      <c r="E42" s="137">
        <v>303.60000000000002</v>
      </c>
      <c r="F42" s="137">
        <v>515</v>
      </c>
      <c r="G42" s="137">
        <v>40.4</v>
      </c>
      <c r="H42" s="137">
        <v>22.9</v>
      </c>
      <c r="I42" s="138">
        <v>2.2799999999999998</v>
      </c>
    </row>
    <row r="43" spans="2:9">
      <c r="B43" s="136">
        <v>2017</v>
      </c>
      <c r="C43" s="137">
        <v>125</v>
      </c>
      <c r="D43" s="137">
        <v>41.3</v>
      </c>
      <c r="E43" s="137">
        <v>205.6</v>
      </c>
      <c r="F43" s="137">
        <v>497.9</v>
      </c>
      <c r="G43" s="137">
        <v>43.4</v>
      </c>
      <c r="H43" s="137">
        <v>20.100000000000001</v>
      </c>
      <c r="I43" s="138">
        <v>2.4500000000000002</v>
      </c>
    </row>
    <row r="44" spans="2:9">
      <c r="B44" s="136">
        <v>2018</v>
      </c>
      <c r="C44" s="137">
        <v>92.9</v>
      </c>
      <c r="D44" s="137">
        <v>22.8</v>
      </c>
      <c r="E44" s="137">
        <v>165.6</v>
      </c>
      <c r="F44" s="137">
        <v>725.8</v>
      </c>
      <c r="G44" s="137">
        <v>31.3</v>
      </c>
      <c r="H44" s="137">
        <v>32.9</v>
      </c>
      <c r="I44" s="138">
        <v>1.73</v>
      </c>
    </row>
    <row r="45" spans="2:9">
      <c r="B45" s="136">
        <v>2019</v>
      </c>
      <c r="C45" s="137">
        <v>107.1</v>
      </c>
      <c r="D45" s="137">
        <v>26.5</v>
      </c>
      <c r="E45" s="137">
        <v>280.7</v>
      </c>
      <c r="F45" s="137">
        <v>1057.8</v>
      </c>
      <c r="G45" s="137">
        <v>41.4</v>
      </c>
      <c r="H45" s="137">
        <v>22.1</v>
      </c>
      <c r="I45" s="138">
        <v>2.23</v>
      </c>
    </row>
    <row r="46" spans="2:9">
      <c r="B46" s="136">
        <v>2020</v>
      </c>
      <c r="C46" s="137">
        <v>150.80000000000001</v>
      </c>
      <c r="D46" s="137">
        <v>37.1</v>
      </c>
      <c r="E46" s="137">
        <v>219.1</v>
      </c>
      <c r="F46" s="137">
        <v>590.1</v>
      </c>
      <c r="G46" s="137">
        <v>37.799999999999997</v>
      </c>
      <c r="H46" s="137">
        <v>26.2</v>
      </c>
      <c r="I46" s="138">
        <v>1.95</v>
      </c>
    </row>
    <row r="47" spans="2:9">
      <c r="B47" s="136">
        <v>2021</v>
      </c>
      <c r="C47" s="137">
        <v>204.7</v>
      </c>
      <c r="D47" s="137">
        <v>30.5</v>
      </c>
      <c r="E47" s="137">
        <v>443.2</v>
      </c>
      <c r="F47" s="137">
        <v>1452.2</v>
      </c>
      <c r="G47" s="137">
        <v>20.6</v>
      </c>
      <c r="H47" s="137">
        <v>42.1</v>
      </c>
      <c r="I47" s="138">
        <v>1.1100000000000001</v>
      </c>
    </row>
    <row r="48" spans="2:9">
      <c r="B48" s="136">
        <v>2022</v>
      </c>
      <c r="C48" s="137">
        <v>201.9</v>
      </c>
      <c r="D48" s="137">
        <v>86.7</v>
      </c>
      <c r="E48" s="137">
        <v>205.3</v>
      </c>
      <c r="F48" s="137">
        <v>236.7</v>
      </c>
      <c r="G48" s="137">
        <v>19.899999999999999</v>
      </c>
      <c r="H48" s="137">
        <v>52.3</v>
      </c>
      <c r="I48" s="138">
        <v>0.8</v>
      </c>
    </row>
    <row r="49" spans="2:9">
      <c r="B49" s="139">
        <v>2023</v>
      </c>
      <c r="C49" s="140">
        <v>262.39999999999998</v>
      </c>
      <c r="D49" s="140">
        <v>98.3</v>
      </c>
      <c r="E49" s="140">
        <v>300.2</v>
      </c>
      <c r="F49" s="140">
        <v>305.2</v>
      </c>
      <c r="G49" s="140">
        <v>15.7</v>
      </c>
      <c r="H49" s="140">
        <v>56.4</v>
      </c>
      <c r="I49" s="141">
        <v>0.63</v>
      </c>
    </row>
  </sheetData>
  <phoneticPr fontId="5"/>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B13B-B9B8-472E-BFFE-3FF8693A1695}">
  <sheetPr codeName="Sheet29"/>
  <dimension ref="B1:D50"/>
  <sheetViews>
    <sheetView showGridLines="0" zoomScale="90" zoomScaleNormal="90" workbookViewId="0">
      <selection activeCell="I40" sqref="I40"/>
    </sheetView>
  </sheetViews>
  <sheetFormatPr defaultColWidth="11.42578125" defaultRowHeight="13.5"/>
  <cols>
    <col min="1" max="1" width="11.42578125" style="6"/>
    <col min="2" max="2" width="5.7109375" style="6" customWidth="1"/>
    <col min="3" max="4" width="11.7109375" style="6" customWidth="1"/>
    <col min="5" max="16384" width="11.42578125" style="6"/>
  </cols>
  <sheetData>
    <row r="1" spans="2:4">
      <c r="B1" s="6" t="s">
        <v>140</v>
      </c>
    </row>
    <row r="3" spans="2:4" ht="63" customHeight="1">
      <c r="B3" s="42" t="s">
        <v>122</v>
      </c>
      <c r="C3" s="43" t="s">
        <v>141</v>
      </c>
      <c r="D3" s="83" t="s">
        <v>142</v>
      </c>
    </row>
    <row r="4" spans="2:4">
      <c r="B4" s="6">
        <v>1978</v>
      </c>
      <c r="C4" s="22"/>
      <c r="D4" s="9"/>
    </row>
    <row r="5" spans="2:4">
      <c r="B5" s="6">
        <v>1979</v>
      </c>
      <c r="C5" s="22"/>
      <c r="D5" s="9"/>
    </row>
    <row r="6" spans="2:4">
      <c r="B6" s="6">
        <v>1980</v>
      </c>
      <c r="C6" s="22"/>
      <c r="D6" s="9"/>
    </row>
    <row r="7" spans="2:4">
      <c r="B7" s="6">
        <v>1981</v>
      </c>
      <c r="C7" s="22"/>
      <c r="D7" s="9"/>
    </row>
    <row r="8" spans="2:4">
      <c r="B8" s="6">
        <v>1982</v>
      </c>
      <c r="C8" s="22">
        <v>0.36</v>
      </c>
      <c r="D8" s="9"/>
    </row>
    <row r="9" spans="2:4">
      <c r="B9" s="6">
        <v>1983</v>
      </c>
      <c r="C9" s="22">
        <v>0.27</v>
      </c>
      <c r="D9" s="9"/>
    </row>
    <row r="10" spans="2:4">
      <c r="B10" s="6">
        <v>1984</v>
      </c>
      <c r="C10" s="22">
        <v>0.17</v>
      </c>
      <c r="D10" s="9"/>
    </row>
    <row r="11" spans="2:4">
      <c r="B11" s="6">
        <v>1985</v>
      </c>
      <c r="C11" s="22">
        <v>0.26</v>
      </c>
      <c r="D11" s="9"/>
    </row>
    <row r="12" spans="2:4">
      <c r="B12" s="6">
        <v>1986</v>
      </c>
      <c r="C12" s="22">
        <v>0.21</v>
      </c>
      <c r="D12" s="9"/>
    </row>
    <row r="13" spans="2:4">
      <c r="B13" s="6">
        <v>1987</v>
      </c>
      <c r="C13" s="22">
        <v>0.27</v>
      </c>
      <c r="D13" s="9"/>
    </row>
    <row r="14" spans="2:4">
      <c r="B14" s="6">
        <v>1988</v>
      </c>
      <c r="C14" s="22">
        <v>0.24</v>
      </c>
      <c r="D14" s="9"/>
    </row>
    <row r="15" spans="2:4">
      <c r="B15" s="6">
        <v>1989</v>
      </c>
      <c r="C15" s="22">
        <v>0.21</v>
      </c>
      <c r="D15" s="9"/>
    </row>
    <row r="16" spans="2:4">
      <c r="B16" s="6">
        <v>1990</v>
      </c>
      <c r="C16" s="22">
        <v>0.46</v>
      </c>
      <c r="D16" s="9"/>
    </row>
    <row r="17" spans="2:4">
      <c r="B17" s="6">
        <v>1991</v>
      </c>
      <c r="C17" s="22">
        <v>1.88</v>
      </c>
      <c r="D17" s="9"/>
    </row>
    <row r="18" spans="2:4">
      <c r="B18" s="6">
        <v>1992</v>
      </c>
      <c r="C18" s="22">
        <v>1.92</v>
      </c>
      <c r="D18" s="9"/>
    </row>
    <row r="19" spans="2:4">
      <c r="B19" s="6">
        <v>1993</v>
      </c>
      <c r="C19" s="22">
        <v>0.64</v>
      </c>
      <c r="D19" s="9"/>
    </row>
    <row r="20" spans="2:4">
      <c r="B20" s="6">
        <v>1994</v>
      </c>
      <c r="C20" s="22">
        <v>0.76</v>
      </c>
      <c r="D20" s="9"/>
    </row>
    <row r="21" spans="2:4">
      <c r="B21" s="6">
        <v>1995</v>
      </c>
      <c r="C21" s="22">
        <v>0.77</v>
      </c>
      <c r="D21" s="9"/>
    </row>
    <row r="22" spans="2:4">
      <c r="B22" s="6">
        <v>1996</v>
      </c>
      <c r="C22" s="22">
        <v>0.61</v>
      </c>
      <c r="D22" s="9"/>
    </row>
    <row r="23" spans="2:4">
      <c r="B23" s="6">
        <v>1997</v>
      </c>
      <c r="C23" s="22">
        <v>1.01</v>
      </c>
      <c r="D23" s="9"/>
    </row>
    <row r="24" spans="2:4">
      <c r="B24" s="6">
        <v>1998</v>
      </c>
      <c r="C24" s="22">
        <v>1.3</v>
      </c>
      <c r="D24" s="9"/>
    </row>
    <row r="25" spans="2:4">
      <c r="B25" s="6">
        <v>1999</v>
      </c>
      <c r="C25" s="22">
        <v>4.42</v>
      </c>
      <c r="D25" s="9"/>
    </row>
    <row r="26" spans="2:4">
      <c r="B26" s="6">
        <v>2000</v>
      </c>
      <c r="C26" s="22">
        <v>3.11</v>
      </c>
      <c r="D26" s="9"/>
    </row>
    <row r="27" spans="2:4">
      <c r="B27" s="6">
        <v>2001</v>
      </c>
      <c r="C27" s="22">
        <v>0.71</v>
      </c>
      <c r="D27" s="9"/>
    </row>
    <row r="28" spans="2:4">
      <c r="B28" s="6">
        <v>2002</v>
      </c>
      <c r="C28" s="22">
        <v>1.1299999999999999</v>
      </c>
      <c r="D28" s="9">
        <v>341.8</v>
      </c>
    </row>
    <row r="29" spans="2:4">
      <c r="B29" s="6">
        <v>2003</v>
      </c>
      <c r="C29" s="22">
        <v>1.87</v>
      </c>
      <c r="D29" s="9">
        <v>142.19999999999999</v>
      </c>
    </row>
    <row r="30" spans="2:4">
      <c r="B30" s="6">
        <v>2004</v>
      </c>
      <c r="C30" s="22">
        <v>1.97</v>
      </c>
      <c r="D30" s="9">
        <v>140.30000000000001</v>
      </c>
    </row>
    <row r="31" spans="2:4">
      <c r="B31" s="6">
        <v>2005</v>
      </c>
      <c r="C31" s="22">
        <v>2.41</v>
      </c>
      <c r="D31" s="9">
        <v>131.6</v>
      </c>
    </row>
    <row r="32" spans="2:4">
      <c r="B32" s="6">
        <v>2006</v>
      </c>
      <c r="C32" s="22">
        <v>1.41</v>
      </c>
      <c r="D32" s="9">
        <v>18.7</v>
      </c>
    </row>
    <row r="33" spans="2:4">
      <c r="B33" s="6">
        <v>2007</v>
      </c>
      <c r="C33" s="22">
        <v>2.5299999999999998</v>
      </c>
      <c r="D33" s="9">
        <v>101.3</v>
      </c>
    </row>
    <row r="34" spans="2:4">
      <c r="B34" s="6">
        <v>2008</v>
      </c>
      <c r="C34" s="22">
        <v>0.83</v>
      </c>
      <c r="D34" s="9">
        <v>137.30000000000001</v>
      </c>
    </row>
    <row r="35" spans="2:4">
      <c r="B35" s="6">
        <v>2009</v>
      </c>
      <c r="C35" s="22">
        <v>1.43</v>
      </c>
      <c r="D35" s="9">
        <v>402.8</v>
      </c>
    </row>
    <row r="36" spans="2:4">
      <c r="B36" s="6">
        <v>2010</v>
      </c>
      <c r="C36" s="1">
        <v>0.75</v>
      </c>
      <c r="D36" s="2">
        <v>291.7</v>
      </c>
    </row>
    <row r="37" spans="2:4">
      <c r="B37" s="6">
        <v>2011</v>
      </c>
      <c r="C37" s="1">
        <v>0.89</v>
      </c>
      <c r="D37" s="2">
        <v>175.1</v>
      </c>
    </row>
    <row r="38" spans="2:4">
      <c r="B38" s="6">
        <v>2012</v>
      </c>
      <c r="C38" s="1">
        <v>0.97</v>
      </c>
      <c r="D38" s="2">
        <v>112.7</v>
      </c>
    </row>
    <row r="39" spans="2:4">
      <c r="B39" s="6">
        <v>2013</v>
      </c>
      <c r="C39" s="1">
        <v>0.74</v>
      </c>
      <c r="D39" s="2">
        <v>37.700000000000003</v>
      </c>
    </row>
    <row r="40" spans="2:4">
      <c r="B40" s="6">
        <v>2014</v>
      </c>
      <c r="C40" s="1">
        <v>0.77</v>
      </c>
      <c r="D40" s="2">
        <v>47.1</v>
      </c>
    </row>
    <row r="41" spans="2:4">
      <c r="B41" s="6">
        <v>2015</v>
      </c>
      <c r="C41" s="1">
        <v>0.56999999999999995</v>
      </c>
      <c r="D41" s="2">
        <v>9.6999999999999993</v>
      </c>
    </row>
    <row r="42" spans="2:4">
      <c r="B42" s="6">
        <v>2016</v>
      </c>
      <c r="C42" s="1">
        <v>0.61</v>
      </c>
      <c r="D42" s="2">
        <v>9.6999999999999993</v>
      </c>
    </row>
    <row r="43" spans="2:4">
      <c r="B43" s="6">
        <v>2017</v>
      </c>
      <c r="C43" s="1">
        <v>0.25</v>
      </c>
      <c r="D43" s="2">
        <v>3.9</v>
      </c>
    </row>
    <row r="44" spans="2:4">
      <c r="B44" s="6">
        <v>2018</v>
      </c>
      <c r="C44" s="1">
        <v>0.21</v>
      </c>
      <c r="D44" s="2">
        <v>2.2000000000000002</v>
      </c>
    </row>
    <row r="45" spans="2:4">
      <c r="B45" s="6">
        <v>2019</v>
      </c>
      <c r="C45" s="1">
        <v>0.28999999999999998</v>
      </c>
      <c r="D45" s="2">
        <v>4.7</v>
      </c>
    </row>
    <row r="46" spans="2:4">
      <c r="B46" s="6">
        <v>2020</v>
      </c>
      <c r="C46" s="1">
        <v>0.81</v>
      </c>
      <c r="D46" s="2">
        <v>10.1</v>
      </c>
    </row>
    <row r="47" spans="2:4">
      <c r="B47" s="6">
        <v>2021</v>
      </c>
      <c r="C47" s="1">
        <v>0.67</v>
      </c>
      <c r="D47" s="2">
        <v>32.799999999999997</v>
      </c>
    </row>
    <row r="48" spans="2:4">
      <c r="B48" s="6">
        <v>2022</v>
      </c>
      <c r="C48" s="1">
        <v>0.5</v>
      </c>
      <c r="D48" s="2">
        <v>3.7</v>
      </c>
    </row>
    <row r="49" spans="2:4">
      <c r="B49" s="7">
        <v>2023</v>
      </c>
      <c r="C49" s="3">
        <v>0.79</v>
      </c>
      <c r="D49" s="4">
        <v>12.8</v>
      </c>
    </row>
    <row r="50" spans="2:4">
      <c r="B50" s="6" t="s">
        <v>128</v>
      </c>
    </row>
  </sheetData>
  <phoneticPr fontId="5"/>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EC48-05F1-4190-831B-5A7B24CB75FB}">
  <sheetPr codeName="Sheet30"/>
  <dimension ref="B1:AA50"/>
  <sheetViews>
    <sheetView showGridLines="0" zoomScale="80" zoomScaleNormal="80" workbookViewId="0">
      <selection activeCell="I40" sqref="I40"/>
    </sheetView>
  </sheetViews>
  <sheetFormatPr defaultColWidth="11.42578125" defaultRowHeight="13.5"/>
  <cols>
    <col min="1" max="1" width="3" style="6" customWidth="1"/>
    <col min="2" max="2" width="5.7109375" style="6" customWidth="1"/>
    <col min="3" max="7" width="10.28515625" style="6" customWidth="1"/>
    <col min="8" max="8" width="3.85546875" style="6" customWidth="1"/>
    <col min="9" max="11" width="9.42578125" style="6" customWidth="1"/>
    <col min="12" max="12" width="9.42578125" style="31" customWidth="1"/>
    <col min="13" max="13" width="3.85546875" style="31" customWidth="1"/>
    <col min="14" max="14" width="13.28515625" style="6" customWidth="1"/>
    <col min="15" max="15" width="10.85546875" style="6" customWidth="1"/>
    <col min="16" max="17" width="10.28515625" style="6" customWidth="1"/>
    <col min="18" max="18" width="3.85546875" style="6" customWidth="1"/>
    <col min="19" max="22" width="9.5703125" style="6" customWidth="1"/>
    <col min="23" max="23" width="3.85546875" style="6" customWidth="1"/>
    <col min="24" max="26" width="10.140625" style="6" customWidth="1"/>
    <col min="27" max="27" width="9" style="6" customWidth="1"/>
    <col min="28" max="16384" width="11.42578125" style="6"/>
  </cols>
  <sheetData>
    <row r="1" spans="2:27">
      <c r="B1" s="6" t="s">
        <v>143</v>
      </c>
    </row>
    <row r="3" spans="2:27" s="148" customFormat="1" ht="15">
      <c r="B3" s="224" t="s">
        <v>122</v>
      </c>
      <c r="C3" s="226" t="s">
        <v>144</v>
      </c>
      <c r="D3" s="226"/>
      <c r="E3" s="226"/>
      <c r="F3" s="226"/>
      <c r="G3" s="226"/>
      <c r="H3" s="147"/>
      <c r="I3" s="227" t="s">
        <v>695</v>
      </c>
      <c r="J3" s="227"/>
      <c r="K3" s="227"/>
      <c r="L3" s="227"/>
      <c r="M3" s="146"/>
      <c r="N3" s="226" t="s">
        <v>145</v>
      </c>
      <c r="O3" s="226"/>
      <c r="P3" s="226"/>
      <c r="Q3" s="226"/>
      <c r="R3" s="147"/>
      <c r="S3" s="226" t="s">
        <v>654</v>
      </c>
      <c r="T3" s="226"/>
      <c r="U3" s="226"/>
      <c r="V3" s="226"/>
      <c r="W3" s="147"/>
      <c r="X3" s="226" t="s">
        <v>146</v>
      </c>
      <c r="Y3" s="226"/>
      <c r="Z3" s="226"/>
      <c r="AA3" s="226"/>
    </row>
    <row r="4" spans="2:27" s="148" customFormat="1" ht="15">
      <c r="B4" s="225"/>
      <c r="C4" s="149" t="s">
        <v>147</v>
      </c>
      <c r="D4" s="149" t="s">
        <v>148</v>
      </c>
      <c r="E4" s="149" t="s">
        <v>149</v>
      </c>
      <c r="F4" s="149" t="s">
        <v>150</v>
      </c>
      <c r="G4" s="149" t="s">
        <v>151</v>
      </c>
      <c r="H4" s="150"/>
      <c r="I4" s="149" t="s">
        <v>147</v>
      </c>
      <c r="J4" s="149" t="s">
        <v>148</v>
      </c>
      <c r="K4" s="149" t="s">
        <v>149</v>
      </c>
      <c r="L4" s="149" t="s">
        <v>150</v>
      </c>
      <c r="M4" s="150"/>
      <c r="N4" s="149" t="s">
        <v>147</v>
      </c>
      <c r="O4" s="149" t="s">
        <v>148</v>
      </c>
      <c r="P4" s="149" t="s">
        <v>149</v>
      </c>
      <c r="Q4" s="149" t="s">
        <v>150</v>
      </c>
      <c r="R4" s="150"/>
      <c r="S4" s="149" t="s">
        <v>147</v>
      </c>
      <c r="T4" s="149" t="s">
        <v>148</v>
      </c>
      <c r="U4" s="149" t="s">
        <v>149</v>
      </c>
      <c r="V4" s="149" t="s">
        <v>150</v>
      </c>
      <c r="W4" s="150"/>
      <c r="X4" s="149" t="s">
        <v>147</v>
      </c>
      <c r="Y4" s="149" t="s">
        <v>148</v>
      </c>
      <c r="Z4" s="149" t="s">
        <v>149</v>
      </c>
      <c r="AA4" s="149" t="s">
        <v>150</v>
      </c>
    </row>
    <row r="5" spans="2:27">
      <c r="B5" s="40">
        <v>1978</v>
      </c>
      <c r="C5" s="142">
        <v>3105.2</v>
      </c>
      <c r="D5" s="142">
        <v>2512.6</v>
      </c>
      <c r="E5" s="142">
        <v>288.3</v>
      </c>
      <c r="F5" s="142">
        <v>34.200000000000003</v>
      </c>
      <c r="G5" s="142">
        <v>5940.3</v>
      </c>
      <c r="H5" s="142"/>
      <c r="I5" s="142">
        <v>5</v>
      </c>
      <c r="J5" s="142">
        <v>8.4</v>
      </c>
      <c r="K5" s="142">
        <v>18.2</v>
      </c>
      <c r="L5" s="142">
        <v>25.5</v>
      </c>
      <c r="M5" s="142"/>
      <c r="N5" s="142">
        <v>27944.1</v>
      </c>
      <c r="O5" s="142">
        <v>8054.5</v>
      </c>
      <c r="P5" s="142">
        <v>1137.5</v>
      </c>
      <c r="Q5" s="142">
        <v>156.6</v>
      </c>
      <c r="R5" s="142"/>
      <c r="S5" s="143">
        <v>0.2</v>
      </c>
      <c r="T5" s="143">
        <v>0.72</v>
      </c>
      <c r="U5" s="143">
        <v>0.83</v>
      </c>
      <c r="V5" s="143">
        <v>0.83</v>
      </c>
      <c r="W5" s="143"/>
      <c r="X5" s="142">
        <v>140.80000000000001</v>
      </c>
      <c r="Y5" s="142">
        <v>68.099999999999994</v>
      </c>
      <c r="Z5" s="142">
        <v>20.7</v>
      </c>
      <c r="AA5" s="142">
        <v>4</v>
      </c>
    </row>
    <row r="6" spans="2:27">
      <c r="B6" s="40">
        <v>1979</v>
      </c>
      <c r="C6" s="142">
        <v>6060.4</v>
      </c>
      <c r="D6" s="142">
        <v>1538.7</v>
      </c>
      <c r="E6" s="142">
        <v>283.7</v>
      </c>
      <c r="F6" s="142">
        <v>17</v>
      </c>
      <c r="G6" s="142">
        <v>7899.8</v>
      </c>
      <c r="H6" s="142"/>
      <c r="I6" s="142">
        <v>5.0999999999999996</v>
      </c>
      <c r="J6" s="142">
        <v>13.5</v>
      </c>
      <c r="K6" s="142">
        <v>19.8</v>
      </c>
      <c r="L6" s="142">
        <v>23.9</v>
      </c>
      <c r="M6" s="142"/>
      <c r="N6" s="142">
        <v>31264.1</v>
      </c>
      <c r="O6" s="142">
        <v>8396.6</v>
      </c>
      <c r="P6" s="142">
        <v>1439.1</v>
      </c>
      <c r="Q6" s="142">
        <v>100.1</v>
      </c>
      <c r="R6" s="142"/>
      <c r="S6" s="143">
        <v>0.39</v>
      </c>
      <c r="T6" s="143">
        <v>0.36</v>
      </c>
      <c r="U6" s="143">
        <v>0.57999999999999996</v>
      </c>
      <c r="V6" s="143">
        <v>0.57999999999999996</v>
      </c>
      <c r="W6" s="143"/>
      <c r="X6" s="142">
        <v>158.1</v>
      </c>
      <c r="Y6" s="142">
        <v>113.2</v>
      </c>
      <c r="Z6" s="142">
        <v>28.5</v>
      </c>
      <c r="AA6" s="142">
        <v>2.4</v>
      </c>
    </row>
    <row r="7" spans="2:27">
      <c r="B7" s="40">
        <v>1980</v>
      </c>
      <c r="C7" s="142">
        <v>3713.1</v>
      </c>
      <c r="D7" s="142">
        <v>3622.8</v>
      </c>
      <c r="E7" s="142">
        <v>560</v>
      </c>
      <c r="F7" s="142">
        <v>36.5</v>
      </c>
      <c r="G7" s="142">
        <v>7932.5</v>
      </c>
      <c r="H7" s="142"/>
      <c r="I7" s="142">
        <v>5.6</v>
      </c>
      <c r="J7" s="142">
        <v>9.5</v>
      </c>
      <c r="K7" s="142">
        <v>17.399999999999999</v>
      </c>
      <c r="L7" s="142">
        <v>22.6</v>
      </c>
      <c r="M7" s="142"/>
      <c r="N7" s="142">
        <v>15287.7</v>
      </c>
      <c r="O7" s="142">
        <v>7825.6</v>
      </c>
      <c r="P7" s="142">
        <v>2155.6999999999998</v>
      </c>
      <c r="Q7" s="142">
        <v>163.1</v>
      </c>
      <c r="R7" s="142"/>
      <c r="S7" s="143">
        <v>0.51</v>
      </c>
      <c r="T7" s="143">
        <v>1.44</v>
      </c>
      <c r="U7" s="143">
        <v>0.86</v>
      </c>
      <c r="V7" s="143">
        <v>0.86</v>
      </c>
      <c r="W7" s="143"/>
      <c r="X7" s="142">
        <v>86.3</v>
      </c>
      <c r="Y7" s="142">
        <v>74.400000000000006</v>
      </c>
      <c r="Z7" s="142">
        <v>37.5</v>
      </c>
      <c r="AA7" s="142">
        <v>3.7</v>
      </c>
    </row>
    <row r="8" spans="2:27">
      <c r="B8" s="40">
        <v>1981</v>
      </c>
      <c r="C8" s="142">
        <v>6613.8</v>
      </c>
      <c r="D8" s="142">
        <v>1476.4</v>
      </c>
      <c r="E8" s="142">
        <v>252</v>
      </c>
      <c r="F8" s="142">
        <v>58.4</v>
      </c>
      <c r="G8" s="142">
        <v>8400.7000000000007</v>
      </c>
      <c r="H8" s="142"/>
      <c r="I8" s="142">
        <v>4.3</v>
      </c>
      <c r="J8" s="142">
        <v>10.4</v>
      </c>
      <c r="K8" s="142">
        <v>21.2</v>
      </c>
      <c r="L8" s="142">
        <v>27.6</v>
      </c>
      <c r="M8" s="142"/>
      <c r="N8" s="142">
        <v>24188.400000000001</v>
      </c>
      <c r="O8" s="142">
        <v>3371.9</v>
      </c>
      <c r="P8" s="142">
        <v>681.5</v>
      </c>
      <c r="Q8" s="142">
        <v>183.6</v>
      </c>
      <c r="R8" s="142"/>
      <c r="S8" s="143">
        <v>0.6</v>
      </c>
      <c r="T8" s="143">
        <v>1.28</v>
      </c>
      <c r="U8" s="143">
        <v>1.73</v>
      </c>
      <c r="V8" s="143">
        <v>1.73</v>
      </c>
      <c r="W8" s="143"/>
      <c r="X8" s="142">
        <v>103.4</v>
      </c>
      <c r="Y8" s="142">
        <v>35.1</v>
      </c>
      <c r="Z8" s="142">
        <v>14.4</v>
      </c>
      <c r="AA8" s="142">
        <v>5.0999999999999996</v>
      </c>
    </row>
    <row r="9" spans="2:27">
      <c r="B9" s="40">
        <v>1982</v>
      </c>
      <c r="C9" s="142">
        <v>8807.7000000000007</v>
      </c>
      <c r="D9" s="142">
        <v>1610.6</v>
      </c>
      <c r="E9" s="142">
        <v>95.5</v>
      </c>
      <c r="F9" s="142">
        <v>5.8</v>
      </c>
      <c r="G9" s="142">
        <v>10519.6</v>
      </c>
      <c r="H9" s="142"/>
      <c r="I9" s="142">
        <v>3.5</v>
      </c>
      <c r="J9" s="142">
        <v>9.1</v>
      </c>
      <c r="K9" s="142">
        <v>18.399999999999999</v>
      </c>
      <c r="L9" s="142">
        <v>24.9</v>
      </c>
      <c r="M9" s="142"/>
      <c r="N9" s="142">
        <v>28514.5</v>
      </c>
      <c r="O9" s="142">
        <v>4886.8999999999996</v>
      </c>
      <c r="P9" s="142">
        <v>344.9</v>
      </c>
      <c r="Q9" s="142">
        <v>24.4</v>
      </c>
      <c r="R9" s="142"/>
      <c r="S9" s="143">
        <v>0.71</v>
      </c>
      <c r="T9" s="143">
        <v>0.78</v>
      </c>
      <c r="U9" s="143">
        <v>0.96</v>
      </c>
      <c r="V9" s="143">
        <v>0.96</v>
      </c>
      <c r="W9" s="143"/>
      <c r="X9" s="142">
        <v>100.4</v>
      </c>
      <c r="Y9" s="142">
        <v>44.4</v>
      </c>
      <c r="Z9" s="142">
        <v>6.3</v>
      </c>
      <c r="AA9" s="142">
        <v>0.6</v>
      </c>
    </row>
    <row r="10" spans="2:27">
      <c r="B10" s="40">
        <v>1983</v>
      </c>
      <c r="C10" s="142">
        <v>7577</v>
      </c>
      <c r="D10" s="142">
        <v>2185.6</v>
      </c>
      <c r="E10" s="142">
        <v>166.4</v>
      </c>
      <c r="F10" s="142">
        <v>4.7</v>
      </c>
      <c r="G10" s="142">
        <v>9933.7000000000007</v>
      </c>
      <c r="H10" s="142"/>
      <c r="I10" s="142">
        <v>4.2</v>
      </c>
      <c r="J10" s="142">
        <v>9.3000000000000007</v>
      </c>
      <c r="K10" s="142">
        <v>16</v>
      </c>
      <c r="L10" s="142">
        <v>21</v>
      </c>
      <c r="M10" s="142"/>
      <c r="N10" s="142">
        <v>43953.4</v>
      </c>
      <c r="O10" s="142">
        <v>5147.7</v>
      </c>
      <c r="P10" s="142">
        <v>821</v>
      </c>
      <c r="Q10" s="142">
        <v>26.7</v>
      </c>
      <c r="R10" s="142"/>
      <c r="S10" s="143">
        <v>0.33</v>
      </c>
      <c r="T10" s="143">
        <v>1.2</v>
      </c>
      <c r="U10" s="143">
        <v>0.6</v>
      </c>
      <c r="V10" s="143">
        <v>0.6</v>
      </c>
      <c r="W10" s="143"/>
      <c r="X10" s="142">
        <v>186.2</v>
      </c>
      <c r="Y10" s="142">
        <v>48</v>
      </c>
      <c r="Z10" s="142">
        <v>13.1</v>
      </c>
      <c r="AA10" s="142">
        <v>0.6</v>
      </c>
    </row>
    <row r="11" spans="2:27">
      <c r="B11" s="40">
        <v>1984</v>
      </c>
      <c r="C11" s="142">
        <v>13149.4</v>
      </c>
      <c r="D11" s="142">
        <v>6474.5</v>
      </c>
      <c r="E11" s="142">
        <v>237.6</v>
      </c>
      <c r="F11" s="142">
        <v>32.799999999999997</v>
      </c>
      <c r="G11" s="142">
        <v>19894.3</v>
      </c>
      <c r="H11" s="142"/>
      <c r="I11" s="142">
        <v>3.3</v>
      </c>
      <c r="J11" s="142">
        <v>6.4</v>
      </c>
      <c r="K11" s="142">
        <v>18</v>
      </c>
      <c r="L11" s="142">
        <v>25.9</v>
      </c>
      <c r="M11" s="142"/>
      <c r="N11" s="142">
        <v>40531.9</v>
      </c>
      <c r="O11" s="142">
        <v>11573.9</v>
      </c>
      <c r="P11" s="142">
        <v>568.1</v>
      </c>
      <c r="Q11" s="142">
        <v>91</v>
      </c>
      <c r="R11" s="142"/>
      <c r="S11" s="143">
        <v>0.77</v>
      </c>
      <c r="T11" s="143">
        <v>2.56</v>
      </c>
      <c r="U11" s="143">
        <v>2.67</v>
      </c>
      <c r="V11" s="143">
        <v>2.67</v>
      </c>
      <c r="W11" s="143"/>
      <c r="X11" s="142">
        <v>134.6</v>
      </c>
      <c r="Y11" s="142">
        <v>73.7</v>
      </c>
      <c r="Z11" s="142">
        <v>10.199999999999999</v>
      </c>
      <c r="AA11" s="142">
        <v>2.4</v>
      </c>
    </row>
    <row r="12" spans="2:27">
      <c r="B12" s="40">
        <v>1985</v>
      </c>
      <c r="C12" s="142">
        <v>7905.9</v>
      </c>
      <c r="D12" s="142">
        <v>3336.6</v>
      </c>
      <c r="E12" s="142">
        <v>110.2</v>
      </c>
      <c r="F12" s="142">
        <v>2.2999999999999998</v>
      </c>
      <c r="G12" s="142">
        <v>11355</v>
      </c>
      <c r="H12" s="142"/>
      <c r="I12" s="142">
        <v>4.4000000000000004</v>
      </c>
      <c r="J12" s="142">
        <v>7.5</v>
      </c>
      <c r="K12" s="142">
        <v>15.3</v>
      </c>
      <c r="L12" s="142">
        <v>17.8</v>
      </c>
      <c r="M12" s="142"/>
      <c r="N12" s="142">
        <v>37782.400000000001</v>
      </c>
      <c r="O12" s="142">
        <v>6935.3</v>
      </c>
      <c r="P12" s="142">
        <v>330.8</v>
      </c>
      <c r="Q12" s="142">
        <v>7.9</v>
      </c>
      <c r="R12" s="142"/>
      <c r="S12" s="143">
        <v>0.42</v>
      </c>
      <c r="T12" s="143">
        <v>1.58</v>
      </c>
      <c r="U12" s="143">
        <v>1.35</v>
      </c>
      <c r="V12" s="143">
        <v>1.35</v>
      </c>
      <c r="W12" s="143"/>
      <c r="X12" s="142">
        <v>165</v>
      </c>
      <c r="Y12" s="142">
        <v>52.3</v>
      </c>
      <c r="Z12" s="142">
        <v>5.0999999999999996</v>
      </c>
      <c r="AA12" s="142">
        <v>0.1</v>
      </c>
    </row>
    <row r="13" spans="2:27">
      <c r="B13" s="40">
        <v>1986</v>
      </c>
      <c r="C13" s="142">
        <v>6433.4</v>
      </c>
      <c r="D13" s="142">
        <v>3701.7</v>
      </c>
      <c r="E13" s="142">
        <v>188.3</v>
      </c>
      <c r="F13" s="142">
        <v>5.3</v>
      </c>
      <c r="G13" s="142">
        <v>10328.700000000001</v>
      </c>
      <c r="H13" s="142"/>
      <c r="I13" s="142">
        <v>4.8</v>
      </c>
      <c r="J13" s="142">
        <v>8.6999999999999993</v>
      </c>
      <c r="K13" s="142">
        <v>12.5</v>
      </c>
      <c r="L13" s="142">
        <v>27.8</v>
      </c>
      <c r="M13" s="142"/>
      <c r="N13" s="142">
        <v>46150.7</v>
      </c>
      <c r="O13" s="142">
        <v>9104.2000000000007</v>
      </c>
      <c r="P13" s="142">
        <v>527.6</v>
      </c>
      <c r="Q13" s="142">
        <v>17.3</v>
      </c>
      <c r="R13" s="142"/>
      <c r="S13" s="143">
        <v>0.26</v>
      </c>
      <c r="T13" s="143">
        <v>1.1100000000000001</v>
      </c>
      <c r="U13" s="143">
        <v>1.58</v>
      </c>
      <c r="V13" s="143">
        <v>1.58</v>
      </c>
      <c r="W13" s="143"/>
      <c r="X13" s="142">
        <v>223.6</v>
      </c>
      <c r="Y13" s="142">
        <v>79.7</v>
      </c>
      <c r="Z13" s="142">
        <v>6.6</v>
      </c>
      <c r="AA13" s="142">
        <v>0.5</v>
      </c>
    </row>
    <row r="14" spans="2:27">
      <c r="B14" s="40">
        <v>1987</v>
      </c>
      <c r="C14" s="142">
        <v>3799.8</v>
      </c>
      <c r="D14" s="142">
        <v>4000.7</v>
      </c>
      <c r="E14" s="142">
        <v>214.1</v>
      </c>
      <c r="F14" s="142">
        <v>3.7</v>
      </c>
      <c r="G14" s="142">
        <v>8018.2</v>
      </c>
      <c r="H14" s="142"/>
      <c r="I14" s="142">
        <v>6</v>
      </c>
      <c r="J14" s="142">
        <v>9.1999999999999993</v>
      </c>
      <c r="K14" s="142">
        <v>14.3</v>
      </c>
      <c r="L14" s="142">
        <v>23.5</v>
      </c>
      <c r="M14" s="142"/>
      <c r="N14" s="142">
        <v>36116.400000000001</v>
      </c>
      <c r="O14" s="142">
        <v>13075.8</v>
      </c>
      <c r="P14" s="142">
        <v>1104.0999999999999</v>
      </c>
      <c r="Q14" s="142">
        <v>21.9</v>
      </c>
      <c r="R14" s="142"/>
      <c r="S14" s="143">
        <v>0.19</v>
      </c>
      <c r="T14" s="143">
        <v>0.7</v>
      </c>
      <c r="U14" s="143">
        <v>0.56000000000000005</v>
      </c>
      <c r="V14" s="143">
        <v>0.56000000000000005</v>
      </c>
      <c r="W14" s="143"/>
      <c r="X14" s="142">
        <v>215.6</v>
      </c>
      <c r="Y14" s="142">
        <v>120.6</v>
      </c>
      <c r="Z14" s="142">
        <v>15.8</v>
      </c>
      <c r="AA14" s="142">
        <v>0.5</v>
      </c>
    </row>
    <row r="15" spans="2:27">
      <c r="B15" s="40">
        <v>1988</v>
      </c>
      <c r="C15" s="142">
        <v>7903.6</v>
      </c>
      <c r="D15" s="142">
        <v>3384</v>
      </c>
      <c r="E15" s="142">
        <v>316.89999999999998</v>
      </c>
      <c r="F15" s="142">
        <v>14.5</v>
      </c>
      <c r="G15" s="142">
        <v>11619</v>
      </c>
      <c r="H15" s="142"/>
      <c r="I15" s="142">
        <v>3.5</v>
      </c>
      <c r="J15" s="142">
        <v>10.3</v>
      </c>
      <c r="K15" s="142">
        <v>16.100000000000001</v>
      </c>
      <c r="L15" s="142">
        <v>21.8</v>
      </c>
      <c r="M15" s="142"/>
      <c r="N15" s="142">
        <v>86971.8</v>
      </c>
      <c r="O15" s="142">
        <v>10981.8</v>
      </c>
      <c r="P15" s="142">
        <v>2383.8000000000002</v>
      </c>
      <c r="Q15" s="142">
        <v>126.7</v>
      </c>
      <c r="R15" s="142"/>
      <c r="S15" s="143">
        <v>0.16</v>
      </c>
      <c r="T15" s="143">
        <v>0.71</v>
      </c>
      <c r="U15" s="143">
        <v>0.35</v>
      </c>
      <c r="V15" s="143">
        <v>0.35</v>
      </c>
      <c r="W15" s="143"/>
      <c r="X15" s="142">
        <v>306.10000000000002</v>
      </c>
      <c r="Y15" s="142">
        <v>113.1</v>
      </c>
      <c r="Z15" s="142">
        <v>38.4</v>
      </c>
      <c r="AA15" s="142">
        <v>2.8</v>
      </c>
    </row>
    <row r="16" spans="2:27">
      <c r="B16" s="40">
        <v>1989</v>
      </c>
      <c r="C16" s="142">
        <v>6191.5</v>
      </c>
      <c r="D16" s="142">
        <v>3493.4</v>
      </c>
      <c r="E16" s="142">
        <v>428.7</v>
      </c>
      <c r="F16" s="142">
        <v>62.9</v>
      </c>
      <c r="G16" s="142">
        <v>10176.5</v>
      </c>
      <c r="H16" s="142"/>
      <c r="I16" s="142">
        <v>5.7</v>
      </c>
      <c r="J16" s="142">
        <v>12</v>
      </c>
      <c r="K16" s="142">
        <v>20.3</v>
      </c>
      <c r="L16" s="142">
        <v>28.1</v>
      </c>
      <c r="M16" s="142"/>
      <c r="N16" s="142">
        <v>134088.1</v>
      </c>
      <c r="O16" s="142">
        <v>27201.4</v>
      </c>
      <c r="P16" s="142">
        <v>1987.4</v>
      </c>
      <c r="Q16" s="142">
        <v>338.9</v>
      </c>
      <c r="R16" s="142"/>
      <c r="S16" s="143">
        <v>0.08</v>
      </c>
      <c r="T16" s="143">
        <v>0.24</v>
      </c>
      <c r="U16" s="143">
        <v>0.65</v>
      </c>
      <c r="V16" s="143">
        <v>0.65</v>
      </c>
      <c r="W16" s="143"/>
      <c r="X16" s="142">
        <v>768.3</v>
      </c>
      <c r="Y16" s="142">
        <v>326</v>
      </c>
      <c r="Z16" s="142">
        <v>40.299999999999997</v>
      </c>
      <c r="AA16" s="142">
        <v>9.5</v>
      </c>
    </row>
    <row r="17" spans="2:27">
      <c r="B17" s="40">
        <v>1990</v>
      </c>
      <c r="C17" s="142">
        <v>5282.6</v>
      </c>
      <c r="D17" s="142">
        <v>8673.2000000000007</v>
      </c>
      <c r="E17" s="142">
        <v>1889.1</v>
      </c>
      <c r="F17" s="142">
        <v>43</v>
      </c>
      <c r="G17" s="142">
        <v>15887.9</v>
      </c>
      <c r="H17" s="142"/>
      <c r="I17" s="142">
        <v>9.4</v>
      </c>
      <c r="J17" s="142">
        <v>15.2</v>
      </c>
      <c r="K17" s="142">
        <v>17.7</v>
      </c>
      <c r="L17" s="142">
        <v>22.5</v>
      </c>
      <c r="M17" s="142"/>
      <c r="N17" s="142">
        <v>119695.3</v>
      </c>
      <c r="O17" s="142">
        <v>45572.9</v>
      </c>
      <c r="P17" s="142">
        <v>7888</v>
      </c>
      <c r="Q17" s="142">
        <v>208.7</v>
      </c>
      <c r="R17" s="142"/>
      <c r="S17" s="143">
        <v>0.08</v>
      </c>
      <c r="T17" s="143">
        <v>0.38</v>
      </c>
      <c r="U17" s="143">
        <v>0.76</v>
      </c>
      <c r="V17" s="143">
        <v>0.76</v>
      </c>
      <c r="W17" s="143"/>
      <c r="X17" s="142">
        <v>1131</v>
      </c>
      <c r="Y17" s="142">
        <v>691.2</v>
      </c>
      <c r="Z17" s="142">
        <v>139.9</v>
      </c>
      <c r="AA17" s="142">
        <v>4.7</v>
      </c>
    </row>
    <row r="18" spans="2:27">
      <c r="B18" s="40">
        <v>1991</v>
      </c>
      <c r="C18" s="142">
        <v>4969.5</v>
      </c>
      <c r="D18" s="142">
        <v>7101.2</v>
      </c>
      <c r="E18" s="142">
        <v>2779.9</v>
      </c>
      <c r="F18" s="142">
        <v>154.69999999999999</v>
      </c>
      <c r="G18" s="142">
        <v>15005.3</v>
      </c>
      <c r="H18" s="142"/>
      <c r="I18" s="142">
        <v>6.8</v>
      </c>
      <c r="J18" s="142">
        <v>15.4</v>
      </c>
      <c r="K18" s="142">
        <v>20</v>
      </c>
      <c r="L18" s="142">
        <v>23</v>
      </c>
      <c r="M18" s="142"/>
      <c r="N18" s="142">
        <v>81951.100000000006</v>
      </c>
      <c r="O18" s="142">
        <v>40829.4</v>
      </c>
      <c r="P18" s="142">
        <v>11504.8</v>
      </c>
      <c r="Q18" s="142">
        <v>743.7</v>
      </c>
      <c r="R18" s="142"/>
      <c r="S18" s="143">
        <v>0.11</v>
      </c>
      <c r="T18" s="143">
        <v>0.34</v>
      </c>
      <c r="U18" s="143">
        <v>0.77</v>
      </c>
      <c r="V18" s="143">
        <v>0.77</v>
      </c>
      <c r="W18" s="143"/>
      <c r="X18" s="142">
        <v>557.6</v>
      </c>
      <c r="Y18" s="142">
        <v>628.9</v>
      </c>
      <c r="Z18" s="142">
        <v>230</v>
      </c>
      <c r="AA18" s="142">
        <v>17.100000000000001</v>
      </c>
    </row>
    <row r="19" spans="2:27">
      <c r="B19" s="40">
        <v>1992</v>
      </c>
      <c r="C19" s="142">
        <v>4488.2</v>
      </c>
      <c r="D19" s="142">
        <v>5146.3999999999996</v>
      </c>
      <c r="E19" s="142">
        <v>3426.6</v>
      </c>
      <c r="F19" s="142">
        <v>295.60000000000002</v>
      </c>
      <c r="G19" s="142">
        <v>13356.8</v>
      </c>
      <c r="H19" s="142"/>
      <c r="I19" s="142">
        <v>6.6</v>
      </c>
      <c r="J19" s="142">
        <v>14.2</v>
      </c>
      <c r="K19" s="142">
        <v>20.100000000000001</v>
      </c>
      <c r="L19" s="142">
        <v>22.5</v>
      </c>
      <c r="M19" s="142"/>
      <c r="N19" s="142">
        <v>99594.3</v>
      </c>
      <c r="O19" s="142">
        <v>27134</v>
      </c>
      <c r="P19" s="142">
        <v>10713.2</v>
      </c>
      <c r="Q19" s="142">
        <v>1073.7</v>
      </c>
      <c r="R19" s="142"/>
      <c r="S19" s="143">
        <v>0.08</v>
      </c>
      <c r="T19" s="143">
        <v>0.37</v>
      </c>
      <c r="U19" s="143">
        <v>1.24</v>
      </c>
      <c r="V19" s="143">
        <v>1.24</v>
      </c>
      <c r="W19" s="143"/>
      <c r="X19" s="142">
        <v>657.8</v>
      </c>
      <c r="Y19" s="142">
        <v>385.5</v>
      </c>
      <c r="Z19" s="142">
        <v>215.3</v>
      </c>
      <c r="AA19" s="142">
        <v>24.2</v>
      </c>
    </row>
    <row r="20" spans="2:27">
      <c r="B20" s="40">
        <v>1993</v>
      </c>
      <c r="C20" s="142">
        <v>5091.7</v>
      </c>
      <c r="D20" s="142">
        <v>3683.9</v>
      </c>
      <c r="E20" s="142">
        <v>1227.8</v>
      </c>
      <c r="F20" s="142">
        <v>96</v>
      </c>
      <c r="G20" s="142">
        <v>10099.299999999999</v>
      </c>
      <c r="H20" s="142"/>
      <c r="I20" s="142">
        <v>5.3</v>
      </c>
      <c r="J20" s="142">
        <v>13.1</v>
      </c>
      <c r="K20" s="142">
        <v>18.7</v>
      </c>
      <c r="L20" s="142">
        <v>22.6</v>
      </c>
      <c r="M20" s="142"/>
      <c r="N20" s="142">
        <v>90090.6</v>
      </c>
      <c r="O20" s="142">
        <v>33916.400000000001</v>
      </c>
      <c r="P20" s="142">
        <v>6860.6</v>
      </c>
      <c r="Q20" s="142">
        <v>623.29999999999995</v>
      </c>
      <c r="R20" s="142"/>
      <c r="S20" s="143">
        <v>0.1</v>
      </c>
      <c r="T20" s="143">
        <v>0.2</v>
      </c>
      <c r="U20" s="143">
        <v>0.51</v>
      </c>
      <c r="V20" s="143">
        <v>0.51</v>
      </c>
      <c r="W20" s="143"/>
      <c r="X20" s="142">
        <v>477.3</v>
      </c>
      <c r="Y20" s="142">
        <v>445.6</v>
      </c>
      <c r="Z20" s="142">
        <v>128.19999999999999</v>
      </c>
      <c r="AA20" s="142">
        <v>14.1</v>
      </c>
    </row>
    <row r="21" spans="2:27">
      <c r="B21" s="40">
        <v>1994</v>
      </c>
      <c r="C21" s="142">
        <v>3360.9</v>
      </c>
      <c r="D21" s="142">
        <v>4080.9</v>
      </c>
      <c r="E21" s="142">
        <v>1383.7</v>
      </c>
      <c r="F21" s="142">
        <v>96.9</v>
      </c>
      <c r="G21" s="142">
        <v>8922.4</v>
      </c>
      <c r="H21" s="142"/>
      <c r="I21" s="142">
        <v>5.7</v>
      </c>
      <c r="J21" s="142">
        <v>15.1</v>
      </c>
      <c r="K21" s="142">
        <v>19.600000000000001</v>
      </c>
      <c r="L21" s="142">
        <v>24.9</v>
      </c>
      <c r="M21" s="142"/>
      <c r="N21" s="142">
        <v>88806.3</v>
      </c>
      <c r="O21" s="142">
        <v>30054.2</v>
      </c>
      <c r="P21" s="142">
        <v>10242.799999999999</v>
      </c>
      <c r="Q21" s="142">
        <v>833.5</v>
      </c>
      <c r="R21" s="142"/>
      <c r="S21" s="143">
        <v>0.06</v>
      </c>
      <c r="T21" s="143">
        <v>0.25</v>
      </c>
      <c r="U21" s="143">
        <v>0.36</v>
      </c>
      <c r="V21" s="143">
        <v>0.36</v>
      </c>
      <c r="W21" s="143"/>
      <c r="X21" s="142">
        <v>508.8</v>
      </c>
      <c r="Y21" s="142">
        <v>453.8</v>
      </c>
      <c r="Z21" s="142">
        <v>200.9</v>
      </c>
      <c r="AA21" s="142">
        <v>20.8</v>
      </c>
    </row>
    <row r="22" spans="2:27">
      <c r="B22" s="40">
        <v>1995</v>
      </c>
      <c r="C22" s="142">
        <v>3246.4</v>
      </c>
      <c r="D22" s="142">
        <v>4521.8999999999996</v>
      </c>
      <c r="E22" s="142">
        <v>1874.7</v>
      </c>
      <c r="F22" s="142">
        <v>272</v>
      </c>
      <c r="G22" s="142">
        <v>9915</v>
      </c>
      <c r="H22" s="142"/>
      <c r="I22" s="142">
        <v>6.4</v>
      </c>
      <c r="J22" s="142">
        <v>16</v>
      </c>
      <c r="K22" s="142">
        <v>22</v>
      </c>
      <c r="L22" s="142">
        <v>27.2</v>
      </c>
      <c r="M22" s="142"/>
      <c r="N22" s="142">
        <v>66906.600000000006</v>
      </c>
      <c r="O22" s="142">
        <v>30631.5</v>
      </c>
      <c r="P22" s="142">
        <v>8581.1</v>
      </c>
      <c r="Q22" s="142">
        <v>1446.3</v>
      </c>
      <c r="R22" s="142"/>
      <c r="S22" s="143">
        <v>0.08</v>
      </c>
      <c r="T22" s="143">
        <v>0.28000000000000003</v>
      </c>
      <c r="U22" s="143">
        <v>0.67</v>
      </c>
      <c r="V22" s="143">
        <v>0.67</v>
      </c>
      <c r="W22" s="143"/>
      <c r="X22" s="142">
        <v>428.4</v>
      </c>
      <c r="Y22" s="142">
        <v>489.6</v>
      </c>
      <c r="Z22" s="142">
        <v>188.8</v>
      </c>
      <c r="AA22" s="142">
        <v>39.4</v>
      </c>
    </row>
    <row r="23" spans="2:27">
      <c r="B23" s="40">
        <v>1996</v>
      </c>
      <c r="C23" s="142">
        <v>5542.8</v>
      </c>
      <c r="D23" s="142">
        <v>6348.1</v>
      </c>
      <c r="E23" s="142">
        <v>2873</v>
      </c>
      <c r="F23" s="142">
        <v>258.2</v>
      </c>
      <c r="G23" s="142">
        <v>15022</v>
      </c>
      <c r="H23" s="142"/>
      <c r="I23" s="142">
        <v>7.6</v>
      </c>
      <c r="J23" s="142">
        <v>15.8</v>
      </c>
      <c r="K23" s="142">
        <v>20.7</v>
      </c>
      <c r="L23" s="142">
        <v>24.8</v>
      </c>
      <c r="M23" s="142"/>
      <c r="N23" s="142">
        <v>94966.6</v>
      </c>
      <c r="O23" s="142">
        <v>22644.5</v>
      </c>
      <c r="P23" s="142">
        <v>8526</v>
      </c>
      <c r="Q23" s="142">
        <v>890.1</v>
      </c>
      <c r="R23" s="142"/>
      <c r="S23" s="143">
        <v>0.1</v>
      </c>
      <c r="T23" s="143">
        <v>0.62</v>
      </c>
      <c r="U23" s="143">
        <v>1.39</v>
      </c>
      <c r="V23" s="143">
        <v>1.39</v>
      </c>
      <c r="W23" s="143"/>
      <c r="X23" s="142">
        <v>717.6</v>
      </c>
      <c r="Y23" s="142">
        <v>356.9</v>
      </c>
      <c r="Z23" s="142">
        <v>176.8</v>
      </c>
      <c r="AA23" s="142">
        <v>22.1</v>
      </c>
    </row>
    <row r="24" spans="2:27">
      <c r="B24" s="40">
        <v>1997</v>
      </c>
      <c r="C24" s="142">
        <v>4476.7</v>
      </c>
      <c r="D24" s="142">
        <v>3520.1</v>
      </c>
      <c r="E24" s="142">
        <v>1478.9</v>
      </c>
      <c r="F24" s="142">
        <v>122.3</v>
      </c>
      <c r="G24" s="142">
        <v>9598</v>
      </c>
      <c r="H24" s="142"/>
      <c r="I24" s="142">
        <v>9.1999999999999993</v>
      </c>
      <c r="J24" s="142">
        <v>16.399999999999999</v>
      </c>
      <c r="K24" s="142">
        <v>22</v>
      </c>
      <c r="L24" s="142">
        <v>25.4</v>
      </c>
      <c r="M24" s="142"/>
      <c r="N24" s="142">
        <v>141706.79999999999</v>
      </c>
      <c r="O24" s="142">
        <v>31574.400000000001</v>
      </c>
      <c r="P24" s="142">
        <v>4480.2</v>
      </c>
      <c r="Q24" s="142">
        <v>430.5</v>
      </c>
      <c r="R24" s="142"/>
      <c r="S24" s="143">
        <v>0.05</v>
      </c>
      <c r="T24" s="143">
        <v>0.2</v>
      </c>
      <c r="U24" s="143">
        <v>1.33</v>
      </c>
      <c r="V24" s="143">
        <v>1.33</v>
      </c>
      <c r="W24" s="143"/>
      <c r="X24" s="142">
        <v>1299.2</v>
      </c>
      <c r="Y24" s="142">
        <v>518.29999999999995</v>
      </c>
      <c r="Z24" s="142">
        <v>98.6</v>
      </c>
      <c r="AA24" s="142">
        <v>10.9</v>
      </c>
    </row>
    <row r="25" spans="2:27">
      <c r="B25" s="40">
        <v>1998</v>
      </c>
      <c r="C25" s="142">
        <v>8787.4</v>
      </c>
      <c r="D25" s="142">
        <v>11740.1</v>
      </c>
      <c r="E25" s="142">
        <v>2860.6</v>
      </c>
      <c r="F25" s="142">
        <v>62.3</v>
      </c>
      <c r="G25" s="142">
        <v>23450.5</v>
      </c>
      <c r="H25" s="142"/>
      <c r="I25" s="142">
        <v>8.9</v>
      </c>
      <c r="J25" s="142">
        <v>16</v>
      </c>
      <c r="K25" s="142">
        <v>18.100000000000001</v>
      </c>
      <c r="L25" s="142">
        <v>21.5</v>
      </c>
      <c r="M25" s="142"/>
      <c r="N25" s="142">
        <v>192364.1</v>
      </c>
      <c r="O25" s="142">
        <v>49415.8</v>
      </c>
      <c r="P25" s="142">
        <v>9480.5</v>
      </c>
      <c r="Q25" s="142">
        <v>240</v>
      </c>
      <c r="R25" s="142"/>
      <c r="S25" s="143">
        <v>0.08</v>
      </c>
      <c r="T25" s="143">
        <v>0.5</v>
      </c>
      <c r="U25" s="143">
        <v>1.1100000000000001</v>
      </c>
      <c r="V25" s="143">
        <v>1.1100000000000001</v>
      </c>
      <c r="W25" s="143"/>
      <c r="X25" s="142">
        <v>1711.8</v>
      </c>
      <c r="Y25" s="142">
        <v>792</v>
      </c>
      <c r="Z25" s="142">
        <v>171.3</v>
      </c>
      <c r="AA25" s="142">
        <v>5.2</v>
      </c>
    </row>
    <row r="26" spans="2:27">
      <c r="B26" s="40">
        <v>1999</v>
      </c>
      <c r="C26" s="142">
        <v>7652.1</v>
      </c>
      <c r="D26" s="142">
        <v>14207.3</v>
      </c>
      <c r="E26" s="142">
        <v>3425.6</v>
      </c>
      <c r="F26" s="142">
        <v>167.6</v>
      </c>
      <c r="G26" s="142">
        <v>25452.6</v>
      </c>
      <c r="H26" s="142"/>
      <c r="I26" s="142">
        <v>8.1999999999999993</v>
      </c>
      <c r="J26" s="142">
        <v>13.7</v>
      </c>
      <c r="K26" s="142">
        <v>19.3</v>
      </c>
      <c r="L26" s="142">
        <v>23.8</v>
      </c>
      <c r="M26" s="142"/>
      <c r="N26" s="142">
        <v>132124.79999999999</v>
      </c>
      <c r="O26" s="142">
        <v>65437</v>
      </c>
      <c r="P26" s="142">
        <v>11058.3</v>
      </c>
      <c r="Q26" s="142">
        <v>628.70000000000005</v>
      </c>
      <c r="R26" s="142"/>
      <c r="S26" s="143">
        <v>0.1</v>
      </c>
      <c r="T26" s="143">
        <v>0.44</v>
      </c>
      <c r="U26" s="143">
        <v>1.17</v>
      </c>
      <c r="V26" s="143">
        <v>1.17</v>
      </c>
      <c r="W26" s="143"/>
      <c r="X26" s="142">
        <v>1083.7</v>
      </c>
      <c r="Y26" s="142">
        <v>899</v>
      </c>
      <c r="Z26" s="142">
        <v>213.2</v>
      </c>
      <c r="AA26" s="142">
        <v>15</v>
      </c>
    </row>
    <row r="27" spans="2:27">
      <c r="B27" s="40">
        <v>2000</v>
      </c>
      <c r="C27" s="142">
        <v>3950.7</v>
      </c>
      <c r="D27" s="142">
        <v>6535.6</v>
      </c>
      <c r="E27" s="142">
        <v>3425.8</v>
      </c>
      <c r="F27" s="142">
        <v>132.30000000000001</v>
      </c>
      <c r="G27" s="142">
        <v>14044.4</v>
      </c>
      <c r="H27" s="142"/>
      <c r="I27" s="142">
        <v>7.4</v>
      </c>
      <c r="J27" s="142">
        <v>17.399999999999999</v>
      </c>
      <c r="K27" s="142">
        <v>19.600000000000001</v>
      </c>
      <c r="L27" s="142">
        <v>24.2</v>
      </c>
      <c r="M27" s="142"/>
      <c r="N27" s="142">
        <v>129961.4</v>
      </c>
      <c r="O27" s="142">
        <v>43964.7</v>
      </c>
      <c r="P27" s="142">
        <v>15455.8</v>
      </c>
      <c r="Q27" s="142">
        <v>693.4</v>
      </c>
      <c r="R27" s="142"/>
      <c r="S27" s="143">
        <v>0.05</v>
      </c>
      <c r="T27" s="143">
        <v>0.28000000000000003</v>
      </c>
      <c r="U27" s="143">
        <v>0.68</v>
      </c>
      <c r="V27" s="143">
        <v>0.68</v>
      </c>
      <c r="W27" s="143"/>
      <c r="X27" s="142">
        <v>965.1</v>
      </c>
      <c r="Y27" s="142">
        <v>763.5</v>
      </c>
      <c r="Z27" s="142">
        <v>302.7</v>
      </c>
      <c r="AA27" s="142">
        <v>16.8</v>
      </c>
    </row>
    <row r="28" spans="2:27">
      <c r="B28" s="40">
        <v>2001</v>
      </c>
      <c r="C28" s="142">
        <v>2519.1999999999998</v>
      </c>
      <c r="D28" s="142">
        <v>6804.1</v>
      </c>
      <c r="E28" s="142">
        <v>3052.6</v>
      </c>
      <c r="F28" s="142">
        <v>340.2</v>
      </c>
      <c r="G28" s="142">
        <v>12716.2</v>
      </c>
      <c r="H28" s="142"/>
      <c r="I28" s="142">
        <v>7.2</v>
      </c>
      <c r="J28" s="142">
        <v>15.5</v>
      </c>
      <c r="K28" s="142">
        <v>21.6</v>
      </c>
      <c r="L28" s="142">
        <v>25.3</v>
      </c>
      <c r="M28" s="142"/>
      <c r="N28" s="142">
        <v>201010.5</v>
      </c>
      <c r="O28" s="142">
        <v>45413.9</v>
      </c>
      <c r="P28" s="142">
        <v>12209.7</v>
      </c>
      <c r="Q28" s="142">
        <v>1581.2</v>
      </c>
      <c r="R28" s="142"/>
      <c r="S28" s="143">
        <v>0.02</v>
      </c>
      <c r="T28" s="143">
        <v>0.28000000000000003</v>
      </c>
      <c r="U28" s="143">
        <v>0.81</v>
      </c>
      <c r="V28" s="143">
        <v>0.81</v>
      </c>
      <c r="W28" s="143"/>
      <c r="X28" s="142">
        <v>1449</v>
      </c>
      <c r="Y28" s="142">
        <v>702.9</v>
      </c>
      <c r="Z28" s="142">
        <v>263.39999999999998</v>
      </c>
      <c r="AA28" s="142">
        <v>39.9</v>
      </c>
    </row>
    <row r="29" spans="2:27">
      <c r="B29" s="40">
        <v>2002</v>
      </c>
      <c r="C29" s="142">
        <v>5546</v>
      </c>
      <c r="D29" s="142">
        <v>15920.1</v>
      </c>
      <c r="E29" s="142">
        <v>3112.1</v>
      </c>
      <c r="F29" s="142">
        <v>232.8</v>
      </c>
      <c r="G29" s="142">
        <v>24811.1</v>
      </c>
      <c r="H29" s="142"/>
      <c r="I29" s="142">
        <v>8.3000000000000007</v>
      </c>
      <c r="J29" s="142">
        <v>13.9</v>
      </c>
      <c r="K29" s="142">
        <v>19.600000000000001</v>
      </c>
      <c r="L29" s="142">
        <v>25.7</v>
      </c>
      <c r="M29" s="142"/>
      <c r="N29" s="142">
        <v>196793.60000000001</v>
      </c>
      <c r="O29" s="142">
        <v>72419.600000000006</v>
      </c>
      <c r="P29" s="142">
        <v>12579.9</v>
      </c>
      <c r="Q29" s="142">
        <v>1093.5</v>
      </c>
      <c r="R29" s="142"/>
      <c r="S29" s="143">
        <v>0.05</v>
      </c>
      <c r="T29" s="143">
        <v>0.45</v>
      </c>
      <c r="U29" s="143">
        <v>0.8</v>
      </c>
      <c r="V29" s="143">
        <v>0.8</v>
      </c>
      <c r="W29" s="143"/>
      <c r="X29" s="142">
        <v>1626.1</v>
      </c>
      <c r="Y29" s="142">
        <v>1007.9</v>
      </c>
      <c r="Z29" s="142">
        <v>246.6</v>
      </c>
      <c r="AA29" s="142">
        <v>28.1</v>
      </c>
    </row>
    <row r="30" spans="2:27">
      <c r="B30" s="40">
        <v>2003</v>
      </c>
      <c r="C30" s="142">
        <v>5186.8</v>
      </c>
      <c r="D30" s="142">
        <v>15932.9</v>
      </c>
      <c r="E30" s="142">
        <v>5603.3</v>
      </c>
      <c r="F30" s="142">
        <v>324.10000000000002</v>
      </c>
      <c r="G30" s="142">
        <v>27047.1</v>
      </c>
      <c r="H30" s="142"/>
      <c r="I30" s="142">
        <v>8.5</v>
      </c>
      <c r="J30" s="142">
        <v>15.6</v>
      </c>
      <c r="K30" s="142">
        <v>19.100000000000001</v>
      </c>
      <c r="L30" s="142">
        <v>23.9</v>
      </c>
      <c r="M30" s="142"/>
      <c r="N30" s="142">
        <v>163324.6</v>
      </c>
      <c r="O30" s="142">
        <v>69032.5</v>
      </c>
      <c r="P30" s="142">
        <v>16985.7</v>
      </c>
      <c r="Q30" s="142">
        <v>1141.5</v>
      </c>
      <c r="R30" s="142"/>
      <c r="S30" s="143">
        <v>0.05</v>
      </c>
      <c r="T30" s="143">
        <v>0.48</v>
      </c>
      <c r="U30" s="143">
        <v>1.32</v>
      </c>
      <c r="V30" s="143">
        <v>1.32</v>
      </c>
      <c r="W30" s="143"/>
      <c r="X30" s="142">
        <v>1389.2</v>
      </c>
      <c r="Y30" s="142">
        <v>1080.3</v>
      </c>
      <c r="Z30" s="142">
        <v>323.8</v>
      </c>
      <c r="AA30" s="142">
        <v>27.2</v>
      </c>
    </row>
    <row r="31" spans="2:27">
      <c r="B31" s="40">
        <v>2004</v>
      </c>
      <c r="C31" s="142">
        <v>3674.2</v>
      </c>
      <c r="D31" s="142">
        <v>16955.5</v>
      </c>
      <c r="E31" s="142">
        <v>5243</v>
      </c>
      <c r="F31" s="142">
        <v>261.5</v>
      </c>
      <c r="G31" s="142">
        <v>26134.2</v>
      </c>
      <c r="H31" s="142"/>
      <c r="I31" s="142">
        <v>10.4</v>
      </c>
      <c r="J31" s="142">
        <v>15.2</v>
      </c>
      <c r="K31" s="142">
        <v>19</v>
      </c>
      <c r="L31" s="142">
        <v>22.6</v>
      </c>
      <c r="M31" s="142"/>
      <c r="N31" s="142">
        <v>101369.3</v>
      </c>
      <c r="O31" s="142">
        <v>56937.8</v>
      </c>
      <c r="P31" s="142">
        <v>15731.9</v>
      </c>
      <c r="Q31" s="142">
        <v>911.6</v>
      </c>
      <c r="R31" s="142"/>
      <c r="S31" s="143">
        <v>0.06</v>
      </c>
      <c r="T31" s="143">
        <v>0.68</v>
      </c>
      <c r="U31" s="143">
        <v>1.35</v>
      </c>
      <c r="V31" s="143">
        <v>1.35</v>
      </c>
      <c r="W31" s="143"/>
      <c r="X31" s="142">
        <v>1051.5</v>
      </c>
      <c r="Y31" s="142">
        <v>866.6</v>
      </c>
      <c r="Z31" s="142">
        <v>299.39999999999998</v>
      </c>
      <c r="AA31" s="142">
        <v>20.6</v>
      </c>
    </row>
    <row r="32" spans="2:27">
      <c r="B32" s="40">
        <v>2005</v>
      </c>
      <c r="C32" s="142">
        <v>4050.8</v>
      </c>
      <c r="D32" s="142">
        <v>7534.5</v>
      </c>
      <c r="E32" s="142">
        <v>3965.4</v>
      </c>
      <c r="F32" s="142">
        <v>262.60000000000002</v>
      </c>
      <c r="G32" s="142">
        <v>15813.4</v>
      </c>
      <c r="H32" s="142"/>
      <c r="I32" s="142">
        <v>6.4</v>
      </c>
      <c r="J32" s="142">
        <v>16.600000000000001</v>
      </c>
      <c r="K32" s="142">
        <v>20.2</v>
      </c>
      <c r="L32" s="142">
        <v>23.7</v>
      </c>
      <c r="M32" s="142"/>
      <c r="N32" s="142">
        <v>136626.20000000001</v>
      </c>
      <c r="O32" s="142">
        <v>35063.199999999997</v>
      </c>
      <c r="P32" s="142">
        <v>10662.2</v>
      </c>
      <c r="Q32" s="142">
        <v>820.4</v>
      </c>
      <c r="R32" s="142"/>
      <c r="S32" s="143">
        <v>0.05</v>
      </c>
      <c r="T32" s="143">
        <v>0.44</v>
      </c>
      <c r="U32" s="143">
        <v>1.76</v>
      </c>
      <c r="V32" s="143">
        <v>1.76</v>
      </c>
      <c r="W32" s="143"/>
      <c r="X32" s="142">
        <v>878.1</v>
      </c>
      <c r="Y32" s="142">
        <v>583</v>
      </c>
      <c r="Z32" s="142">
        <v>215.5</v>
      </c>
      <c r="AA32" s="142">
        <v>19.5</v>
      </c>
    </row>
    <row r="33" spans="2:27">
      <c r="B33" s="40">
        <v>2006</v>
      </c>
      <c r="C33" s="142">
        <v>6026.8</v>
      </c>
      <c r="D33" s="142">
        <v>14556.2</v>
      </c>
      <c r="E33" s="142">
        <v>2657.1</v>
      </c>
      <c r="F33" s="142">
        <v>101.8</v>
      </c>
      <c r="G33" s="142">
        <v>23341.9</v>
      </c>
      <c r="H33" s="142"/>
      <c r="I33" s="142">
        <v>8.6999999999999993</v>
      </c>
      <c r="J33" s="142">
        <v>13.6</v>
      </c>
      <c r="K33" s="142">
        <v>18.7</v>
      </c>
      <c r="L33" s="142">
        <v>23.4</v>
      </c>
      <c r="M33" s="142"/>
      <c r="N33" s="142">
        <v>97120.8</v>
      </c>
      <c r="O33" s="142">
        <v>47805</v>
      </c>
      <c r="P33" s="142">
        <v>8329.1</v>
      </c>
      <c r="Q33" s="142">
        <v>370.9</v>
      </c>
      <c r="R33" s="142"/>
      <c r="S33" s="143">
        <v>0.11</v>
      </c>
      <c r="T33" s="143">
        <v>0.7</v>
      </c>
      <c r="U33" s="143">
        <v>1.24</v>
      </c>
      <c r="V33" s="143">
        <v>1.24</v>
      </c>
      <c r="W33" s="143"/>
      <c r="X33" s="142">
        <v>846.9</v>
      </c>
      <c r="Y33" s="142">
        <v>652.5</v>
      </c>
      <c r="Z33" s="142">
        <v>156.1</v>
      </c>
      <c r="AA33" s="142">
        <v>8.6999999999999993</v>
      </c>
    </row>
    <row r="34" spans="2:27">
      <c r="B34" s="40">
        <v>2007</v>
      </c>
      <c r="C34" s="142">
        <v>4040.2</v>
      </c>
      <c r="D34" s="142">
        <v>10151.200000000001</v>
      </c>
      <c r="E34" s="142">
        <v>2823.8</v>
      </c>
      <c r="F34" s="142">
        <v>135.30000000000001</v>
      </c>
      <c r="G34" s="142">
        <v>17150.599999999999</v>
      </c>
      <c r="H34" s="142"/>
      <c r="I34" s="142">
        <v>6</v>
      </c>
      <c r="J34" s="142">
        <v>15.8</v>
      </c>
      <c r="K34" s="142">
        <v>19.5</v>
      </c>
      <c r="L34" s="142">
        <v>22.8</v>
      </c>
      <c r="M34" s="142"/>
      <c r="N34" s="142">
        <v>102716.3</v>
      </c>
      <c r="O34" s="142">
        <v>32073.3</v>
      </c>
      <c r="P34" s="142">
        <v>8757.7000000000007</v>
      </c>
      <c r="Q34" s="142">
        <v>487.7</v>
      </c>
      <c r="R34" s="142"/>
      <c r="S34" s="143">
        <v>7.0000000000000007E-2</v>
      </c>
      <c r="T34" s="143">
        <v>0.74</v>
      </c>
      <c r="U34" s="143">
        <v>1.26</v>
      </c>
      <c r="V34" s="143">
        <v>1.26</v>
      </c>
      <c r="W34" s="143"/>
      <c r="X34" s="142">
        <v>611.5</v>
      </c>
      <c r="Y34" s="142">
        <v>506.5</v>
      </c>
      <c r="Z34" s="142">
        <v>170.6</v>
      </c>
      <c r="AA34" s="142">
        <v>11.1</v>
      </c>
    </row>
    <row r="35" spans="2:27">
      <c r="B35" s="40">
        <v>2008</v>
      </c>
      <c r="C35" s="142">
        <v>13629</v>
      </c>
      <c r="D35" s="142">
        <v>6703.6</v>
      </c>
      <c r="E35" s="142">
        <v>1886.8</v>
      </c>
      <c r="F35" s="142">
        <v>143.69999999999999</v>
      </c>
      <c r="G35" s="142">
        <v>22363.1</v>
      </c>
      <c r="H35" s="142"/>
      <c r="I35" s="142">
        <v>5</v>
      </c>
      <c r="J35" s="142">
        <v>14.7</v>
      </c>
      <c r="K35" s="142">
        <v>21</v>
      </c>
      <c r="L35" s="142">
        <v>24</v>
      </c>
      <c r="M35" s="142"/>
      <c r="N35" s="142">
        <v>142260.29999999999</v>
      </c>
      <c r="O35" s="142">
        <v>35336.699999999997</v>
      </c>
      <c r="P35" s="142">
        <v>5642.1</v>
      </c>
      <c r="Q35" s="142">
        <v>499.3</v>
      </c>
      <c r="R35" s="142"/>
      <c r="S35" s="143">
        <v>0.17</v>
      </c>
      <c r="T35" s="143">
        <v>0.38</v>
      </c>
      <c r="U35" s="143">
        <v>1.36</v>
      </c>
      <c r="V35" s="143">
        <v>1.36</v>
      </c>
      <c r="W35" s="143"/>
      <c r="X35" s="142">
        <v>705.5</v>
      </c>
      <c r="Y35" s="142">
        <v>519.1</v>
      </c>
      <c r="Z35" s="142">
        <v>118.3</v>
      </c>
      <c r="AA35" s="142">
        <v>12</v>
      </c>
    </row>
    <row r="36" spans="2:27">
      <c r="B36" s="40">
        <v>2009</v>
      </c>
      <c r="C36" s="142">
        <v>3754</v>
      </c>
      <c r="D36" s="142">
        <v>11432.9</v>
      </c>
      <c r="E36" s="142">
        <v>2330.4</v>
      </c>
      <c r="F36" s="142">
        <v>65.400000000000006</v>
      </c>
      <c r="G36" s="142">
        <v>17582.8</v>
      </c>
      <c r="H36" s="142"/>
      <c r="I36" s="142">
        <v>8</v>
      </c>
      <c r="J36" s="142">
        <v>14.5</v>
      </c>
      <c r="K36" s="142">
        <v>18.600000000000001</v>
      </c>
      <c r="L36" s="142">
        <v>21.9</v>
      </c>
      <c r="M36" s="142"/>
      <c r="N36" s="142">
        <v>91686.2</v>
      </c>
      <c r="O36" s="142">
        <v>44068.3</v>
      </c>
      <c r="P36" s="142">
        <v>8933.7000000000007</v>
      </c>
      <c r="Q36" s="142">
        <v>291.3</v>
      </c>
      <c r="R36" s="142"/>
      <c r="S36" s="143">
        <v>7.0000000000000007E-2</v>
      </c>
      <c r="T36" s="143">
        <v>0.56000000000000005</v>
      </c>
      <c r="U36" s="143">
        <v>0.87</v>
      </c>
      <c r="V36" s="143">
        <v>0.87</v>
      </c>
      <c r="W36" s="143"/>
      <c r="X36" s="142">
        <v>730.6</v>
      </c>
      <c r="Y36" s="142">
        <v>640.9</v>
      </c>
      <c r="Z36" s="142">
        <v>165.8</v>
      </c>
      <c r="AA36" s="142">
        <v>6.4</v>
      </c>
    </row>
    <row r="37" spans="2:27">
      <c r="B37" s="40">
        <v>2010</v>
      </c>
      <c r="C37" s="142">
        <v>6130.7</v>
      </c>
      <c r="D37" s="142">
        <v>9186.7000000000007</v>
      </c>
      <c r="E37" s="142">
        <v>2948.9</v>
      </c>
      <c r="F37" s="142">
        <v>207</v>
      </c>
      <c r="G37" s="142">
        <v>18473.2</v>
      </c>
      <c r="H37" s="142"/>
      <c r="I37" s="142">
        <v>6.2</v>
      </c>
      <c r="J37" s="142">
        <v>15.7</v>
      </c>
      <c r="K37" s="142">
        <v>20.6</v>
      </c>
      <c r="L37" s="142">
        <v>24.5</v>
      </c>
      <c r="M37" s="142"/>
      <c r="N37" s="142">
        <v>71385.600000000006</v>
      </c>
      <c r="O37" s="142">
        <v>31452.5</v>
      </c>
      <c r="P37" s="142">
        <v>9277.4</v>
      </c>
      <c r="Q37" s="142">
        <v>756.6</v>
      </c>
      <c r="R37" s="142"/>
      <c r="S37" s="143">
        <v>0.15</v>
      </c>
      <c r="T37" s="143">
        <v>0.66</v>
      </c>
      <c r="U37" s="143">
        <v>1.23</v>
      </c>
      <c r="V37" s="143">
        <v>1.23</v>
      </c>
      <c r="W37" s="143"/>
      <c r="X37" s="142">
        <v>440.6</v>
      </c>
      <c r="Y37" s="142">
        <v>492.9</v>
      </c>
      <c r="Z37" s="142">
        <v>191.1</v>
      </c>
      <c r="AA37" s="142">
        <v>18.600000000000001</v>
      </c>
    </row>
    <row r="38" spans="2:27">
      <c r="B38" s="40">
        <v>2011</v>
      </c>
      <c r="C38" s="142">
        <v>3756.5</v>
      </c>
      <c r="D38" s="142">
        <v>6382</v>
      </c>
      <c r="E38" s="142">
        <v>1809.3</v>
      </c>
      <c r="F38" s="142">
        <v>142.30000000000001</v>
      </c>
      <c r="G38" s="142">
        <v>12090.1</v>
      </c>
      <c r="H38" s="142"/>
      <c r="I38" s="142">
        <v>7.4</v>
      </c>
      <c r="J38" s="142">
        <v>14.5</v>
      </c>
      <c r="K38" s="142">
        <v>20.100000000000001</v>
      </c>
      <c r="L38" s="142">
        <v>24.3</v>
      </c>
      <c r="M38" s="142"/>
      <c r="N38" s="142">
        <v>66052.7</v>
      </c>
      <c r="O38" s="142">
        <v>22542.9</v>
      </c>
      <c r="P38" s="142">
        <v>5998.7</v>
      </c>
      <c r="Q38" s="142">
        <v>548.1</v>
      </c>
      <c r="R38" s="142"/>
      <c r="S38" s="143">
        <v>0.1</v>
      </c>
      <c r="T38" s="143">
        <v>0.63</v>
      </c>
      <c r="U38" s="143">
        <v>1.1100000000000001</v>
      </c>
      <c r="V38" s="143">
        <v>1.1100000000000001</v>
      </c>
      <c r="W38" s="143"/>
      <c r="X38" s="142">
        <v>489</v>
      </c>
      <c r="Y38" s="142">
        <v>326.10000000000002</v>
      </c>
      <c r="Z38" s="142">
        <v>120.7</v>
      </c>
      <c r="AA38" s="142">
        <v>13.3</v>
      </c>
    </row>
    <row r="39" spans="2:27">
      <c r="B39" s="40">
        <v>2012</v>
      </c>
      <c r="C39" s="142">
        <v>6143.4</v>
      </c>
      <c r="D39" s="142">
        <v>6937</v>
      </c>
      <c r="E39" s="142">
        <v>1310.5999999999999</v>
      </c>
      <c r="F39" s="142">
        <v>101.6</v>
      </c>
      <c r="G39" s="142">
        <v>14492.5</v>
      </c>
      <c r="H39" s="142"/>
      <c r="I39" s="142">
        <v>4.8</v>
      </c>
      <c r="J39" s="142">
        <v>14</v>
      </c>
      <c r="K39" s="142">
        <v>19.399999999999999</v>
      </c>
      <c r="L39" s="142">
        <v>25.2</v>
      </c>
      <c r="M39" s="142"/>
      <c r="N39" s="142">
        <v>50489</v>
      </c>
      <c r="O39" s="142">
        <v>22021</v>
      </c>
      <c r="P39" s="142">
        <v>4422.2</v>
      </c>
      <c r="Q39" s="142">
        <v>398.1</v>
      </c>
      <c r="R39" s="142"/>
      <c r="S39" s="143">
        <v>0.22</v>
      </c>
      <c r="T39" s="143">
        <v>0.73</v>
      </c>
      <c r="U39" s="143">
        <v>1.08</v>
      </c>
      <c r="V39" s="143">
        <v>1.08</v>
      </c>
      <c r="W39" s="143"/>
      <c r="X39" s="142">
        <v>241.3</v>
      </c>
      <c r="Y39" s="142">
        <v>308.39999999999998</v>
      </c>
      <c r="Z39" s="142">
        <v>85.7</v>
      </c>
      <c r="AA39" s="142">
        <v>10</v>
      </c>
    </row>
    <row r="40" spans="2:27">
      <c r="B40" s="40">
        <v>2013</v>
      </c>
      <c r="C40" s="142">
        <v>8591.2000000000007</v>
      </c>
      <c r="D40" s="142">
        <v>6125.1</v>
      </c>
      <c r="E40" s="142">
        <v>1313.4</v>
      </c>
      <c r="F40" s="142">
        <v>88.2</v>
      </c>
      <c r="G40" s="142">
        <v>16117.9</v>
      </c>
      <c r="H40" s="142"/>
      <c r="I40" s="142">
        <v>5.3</v>
      </c>
      <c r="J40" s="142">
        <v>13.2</v>
      </c>
      <c r="K40" s="142">
        <v>20.8</v>
      </c>
      <c r="L40" s="142">
        <v>24.1</v>
      </c>
      <c r="M40" s="142"/>
      <c r="N40" s="142">
        <v>48727.5</v>
      </c>
      <c r="O40" s="142">
        <v>14847.7</v>
      </c>
      <c r="P40" s="142">
        <v>3893.6</v>
      </c>
      <c r="Q40" s="142">
        <v>303.89999999999998</v>
      </c>
      <c r="R40" s="142"/>
      <c r="S40" s="143">
        <v>0.34</v>
      </c>
      <c r="T40" s="143">
        <v>1.1399999999999999</v>
      </c>
      <c r="U40" s="143">
        <v>1.39</v>
      </c>
      <c r="V40" s="143">
        <v>1.39</v>
      </c>
      <c r="W40" s="143"/>
      <c r="X40" s="142">
        <v>258.5</v>
      </c>
      <c r="Y40" s="142">
        <v>196.4</v>
      </c>
      <c r="Z40" s="142">
        <v>80.900000000000006</v>
      </c>
      <c r="AA40" s="142">
        <v>7.3</v>
      </c>
    </row>
    <row r="41" spans="2:27">
      <c r="B41" s="40">
        <v>2014</v>
      </c>
      <c r="C41" s="142">
        <v>14727.6</v>
      </c>
      <c r="D41" s="142">
        <v>6537.3</v>
      </c>
      <c r="E41" s="142">
        <v>544.1</v>
      </c>
      <c r="F41" s="142">
        <v>52.5</v>
      </c>
      <c r="G41" s="142">
        <v>21861.599999999999</v>
      </c>
      <c r="H41" s="142"/>
      <c r="I41" s="142">
        <v>4.4000000000000004</v>
      </c>
      <c r="J41" s="142">
        <v>10.1</v>
      </c>
      <c r="K41" s="142">
        <v>20.100000000000001</v>
      </c>
      <c r="L41" s="142">
        <v>25.7</v>
      </c>
      <c r="M41" s="142"/>
      <c r="N41" s="142">
        <v>34428.1</v>
      </c>
      <c r="O41" s="142">
        <v>12715.1</v>
      </c>
      <c r="P41" s="142">
        <v>1747.1</v>
      </c>
      <c r="Q41" s="142">
        <v>195.9</v>
      </c>
      <c r="R41" s="142"/>
      <c r="S41" s="143">
        <v>1.22</v>
      </c>
      <c r="T41" s="143">
        <v>1.88</v>
      </c>
      <c r="U41" s="143">
        <v>1.18</v>
      </c>
      <c r="V41" s="143">
        <v>1.18</v>
      </c>
      <c r="W41" s="143"/>
      <c r="X41" s="142">
        <v>152.9</v>
      </c>
      <c r="Y41" s="142">
        <v>128.9</v>
      </c>
      <c r="Z41" s="142">
        <v>35.1</v>
      </c>
      <c r="AA41" s="142">
        <v>5</v>
      </c>
    </row>
    <row r="42" spans="2:27">
      <c r="B42" s="40">
        <v>2015</v>
      </c>
      <c r="C42" s="142">
        <v>12275.3</v>
      </c>
      <c r="D42" s="142">
        <v>1745.2</v>
      </c>
      <c r="E42" s="142">
        <v>286.2</v>
      </c>
      <c r="F42" s="142">
        <v>37.4</v>
      </c>
      <c r="G42" s="142">
        <v>14344.2</v>
      </c>
      <c r="H42" s="142"/>
      <c r="I42" s="142">
        <v>3.4</v>
      </c>
      <c r="J42" s="142">
        <v>9.9</v>
      </c>
      <c r="K42" s="142">
        <v>21</v>
      </c>
      <c r="L42" s="142">
        <v>26.3</v>
      </c>
      <c r="M42" s="142"/>
      <c r="N42" s="142">
        <v>38841.800000000003</v>
      </c>
      <c r="O42" s="142">
        <v>3732.6</v>
      </c>
      <c r="P42" s="142">
        <v>712.5</v>
      </c>
      <c r="Q42" s="142">
        <v>108.2</v>
      </c>
      <c r="R42" s="142"/>
      <c r="S42" s="143">
        <v>0.74</v>
      </c>
      <c r="T42" s="143">
        <v>1.47</v>
      </c>
      <c r="U42" s="143">
        <v>2.2400000000000002</v>
      </c>
      <c r="V42" s="143">
        <v>2.2400000000000002</v>
      </c>
      <c r="W42" s="143"/>
      <c r="X42" s="142">
        <v>133.6</v>
      </c>
      <c r="Y42" s="142">
        <v>37</v>
      </c>
      <c r="Z42" s="142">
        <v>15</v>
      </c>
      <c r="AA42" s="142">
        <v>2.8</v>
      </c>
    </row>
    <row r="43" spans="2:27">
      <c r="B43" s="40">
        <v>2016</v>
      </c>
      <c r="C43" s="142">
        <v>10471.6</v>
      </c>
      <c r="D43" s="142">
        <v>3777.3</v>
      </c>
      <c r="E43" s="142">
        <v>124.4</v>
      </c>
      <c r="F43" s="142">
        <v>5.2</v>
      </c>
      <c r="G43" s="142">
        <v>14378.4</v>
      </c>
      <c r="H43" s="142"/>
      <c r="I43" s="142">
        <v>4.4000000000000004</v>
      </c>
      <c r="J43" s="142">
        <v>7.8</v>
      </c>
      <c r="K43" s="142">
        <v>17.100000000000001</v>
      </c>
      <c r="L43" s="142">
        <v>22.3</v>
      </c>
      <c r="M43" s="142"/>
      <c r="N43" s="142">
        <v>30361.3</v>
      </c>
      <c r="O43" s="142">
        <v>6843.7</v>
      </c>
      <c r="P43" s="142">
        <v>314.7</v>
      </c>
      <c r="Q43" s="142">
        <v>15.2</v>
      </c>
      <c r="R43" s="142"/>
      <c r="S43" s="143">
        <v>0.84</v>
      </c>
      <c r="T43" s="143">
        <v>2.41</v>
      </c>
      <c r="U43" s="143">
        <v>2.12</v>
      </c>
      <c r="V43" s="143">
        <v>2.12</v>
      </c>
      <c r="W43" s="143"/>
      <c r="X43" s="142">
        <v>133.6</v>
      </c>
      <c r="Y43" s="142">
        <v>53.2</v>
      </c>
      <c r="Z43" s="142">
        <v>5.4</v>
      </c>
      <c r="AA43" s="142">
        <v>0.3</v>
      </c>
    </row>
    <row r="44" spans="2:27">
      <c r="B44" s="40">
        <v>2017</v>
      </c>
      <c r="C44" s="142">
        <v>7921.9</v>
      </c>
      <c r="D44" s="142">
        <v>2628.9</v>
      </c>
      <c r="E44" s="142">
        <v>93.9</v>
      </c>
      <c r="F44" s="142">
        <v>2.7</v>
      </c>
      <c r="G44" s="142">
        <v>10647.5</v>
      </c>
      <c r="H44" s="142"/>
      <c r="I44" s="142">
        <v>4.0999999999999996</v>
      </c>
      <c r="J44" s="142">
        <v>7.8</v>
      </c>
      <c r="K44" s="142">
        <v>15.5</v>
      </c>
      <c r="L44" s="142">
        <v>22.5</v>
      </c>
      <c r="M44" s="142"/>
      <c r="N44" s="142">
        <v>20556.5</v>
      </c>
      <c r="O44" s="142">
        <v>4817.8999999999996</v>
      </c>
      <c r="P44" s="142">
        <v>226.6</v>
      </c>
      <c r="Q44" s="142">
        <v>7.6</v>
      </c>
      <c r="R44" s="142"/>
      <c r="S44" s="143">
        <v>1.01</v>
      </c>
      <c r="T44" s="143">
        <v>2.2999999999999998</v>
      </c>
      <c r="U44" s="143">
        <v>2.5499999999999998</v>
      </c>
      <c r="V44" s="143">
        <v>2.5499999999999998</v>
      </c>
      <c r="W44" s="143"/>
      <c r="X44" s="142">
        <v>83.7</v>
      </c>
      <c r="Y44" s="142">
        <v>37.6</v>
      </c>
      <c r="Z44" s="142">
        <v>3.5</v>
      </c>
      <c r="AA44" s="142">
        <v>0.2</v>
      </c>
    </row>
    <row r="45" spans="2:27">
      <c r="B45" s="40">
        <v>2018</v>
      </c>
      <c r="C45" s="142">
        <v>3903.8</v>
      </c>
      <c r="D45" s="142">
        <v>1561.4</v>
      </c>
      <c r="E45" s="142">
        <v>76.5</v>
      </c>
      <c r="F45" s="142">
        <v>1.3</v>
      </c>
      <c r="G45" s="142">
        <v>5542.9</v>
      </c>
      <c r="H45" s="142"/>
      <c r="I45" s="142">
        <v>4.2</v>
      </c>
      <c r="J45" s="142">
        <v>7.3</v>
      </c>
      <c r="K45" s="142">
        <v>15</v>
      </c>
      <c r="L45" s="142">
        <v>19.100000000000001</v>
      </c>
      <c r="M45" s="142"/>
      <c r="N45" s="142">
        <v>16555.3</v>
      </c>
      <c r="O45" s="142">
        <v>2757.4</v>
      </c>
      <c r="P45" s="142">
        <v>177.9</v>
      </c>
      <c r="Q45" s="142">
        <v>3.6</v>
      </c>
      <c r="R45" s="142"/>
      <c r="S45" s="143">
        <v>0.49</v>
      </c>
      <c r="T45" s="143">
        <v>2.71</v>
      </c>
      <c r="U45" s="143">
        <v>3.14</v>
      </c>
      <c r="V45" s="143">
        <v>3.14</v>
      </c>
      <c r="W45" s="143"/>
      <c r="X45" s="142">
        <v>70.099999999999994</v>
      </c>
      <c r="Y45" s="142">
        <v>20.100000000000001</v>
      </c>
      <c r="Z45" s="142">
        <v>2.7</v>
      </c>
      <c r="AA45" s="142">
        <v>0.1</v>
      </c>
    </row>
    <row r="46" spans="2:27">
      <c r="B46" s="40">
        <v>2019</v>
      </c>
      <c r="C46" s="142">
        <v>10510.7</v>
      </c>
      <c r="D46" s="142">
        <v>2013</v>
      </c>
      <c r="E46" s="142">
        <v>23.9</v>
      </c>
      <c r="F46" s="142">
        <v>0.5</v>
      </c>
      <c r="G46" s="142">
        <v>12548.1</v>
      </c>
      <c r="H46" s="142"/>
      <c r="I46" s="142">
        <v>2.9</v>
      </c>
      <c r="J46" s="142">
        <v>6.9</v>
      </c>
      <c r="K46" s="142">
        <v>12.9</v>
      </c>
      <c r="L46" s="142">
        <v>16.8</v>
      </c>
      <c r="M46" s="142"/>
      <c r="N46" s="142">
        <v>28069.8</v>
      </c>
      <c r="O46" s="142">
        <v>3722.6</v>
      </c>
      <c r="P46" s="142">
        <v>67.400000000000006</v>
      </c>
      <c r="Q46" s="142">
        <v>1.6</v>
      </c>
      <c r="R46" s="142"/>
      <c r="S46" s="143">
        <v>0.96</v>
      </c>
      <c r="T46" s="143">
        <v>2.2200000000000002</v>
      </c>
      <c r="U46" s="143">
        <v>1.56</v>
      </c>
      <c r="V46" s="143">
        <v>1.56</v>
      </c>
      <c r="W46" s="143"/>
      <c r="X46" s="142">
        <v>80.5</v>
      </c>
      <c r="Y46" s="142">
        <v>25.6</v>
      </c>
      <c r="Z46" s="142">
        <v>0.9</v>
      </c>
      <c r="AA46" s="142">
        <v>0</v>
      </c>
    </row>
    <row r="47" spans="2:27">
      <c r="B47" s="40">
        <v>2020</v>
      </c>
      <c r="C47" s="142">
        <v>7278.2</v>
      </c>
      <c r="D47" s="142">
        <v>2087.9</v>
      </c>
      <c r="E47" s="142">
        <v>57.3</v>
      </c>
      <c r="F47" s="142">
        <v>1</v>
      </c>
      <c r="G47" s="142">
        <v>9424.4</v>
      </c>
      <c r="H47" s="142"/>
      <c r="I47" s="142">
        <v>5.2</v>
      </c>
      <c r="J47" s="142">
        <v>8.6999999999999993</v>
      </c>
      <c r="K47" s="142">
        <v>17.399999999999999</v>
      </c>
      <c r="L47" s="142">
        <v>19.3</v>
      </c>
      <c r="M47" s="142"/>
      <c r="N47" s="142">
        <v>21909.9</v>
      </c>
      <c r="O47" s="142">
        <v>3951.3</v>
      </c>
      <c r="P47" s="142">
        <v>148.5</v>
      </c>
      <c r="Q47" s="142">
        <v>2.9</v>
      </c>
      <c r="R47" s="142"/>
      <c r="S47" s="143">
        <v>0.79</v>
      </c>
      <c r="T47" s="143">
        <v>2.0499999999999998</v>
      </c>
      <c r="U47" s="143">
        <v>1.96</v>
      </c>
      <c r="V47" s="143">
        <v>1.96</v>
      </c>
      <c r="W47" s="143"/>
      <c r="X47" s="142">
        <v>113.7</v>
      </c>
      <c r="Y47" s="142">
        <v>34.5</v>
      </c>
      <c r="Z47" s="142">
        <v>2.6</v>
      </c>
      <c r="AA47" s="142">
        <v>0.1</v>
      </c>
    </row>
    <row r="48" spans="2:27">
      <c r="B48" s="40">
        <v>2021</v>
      </c>
      <c r="C48" s="142">
        <v>7402.2</v>
      </c>
      <c r="D48" s="142">
        <v>1623.9</v>
      </c>
      <c r="E48" s="142">
        <v>59</v>
      </c>
      <c r="F48" s="142">
        <v>1.1000000000000001</v>
      </c>
      <c r="G48" s="142">
        <v>9086.2000000000007</v>
      </c>
      <c r="H48" s="142"/>
      <c r="I48" s="142">
        <v>3.9</v>
      </c>
      <c r="J48" s="142">
        <v>7.4</v>
      </c>
      <c r="K48" s="142">
        <v>19.399999999999999</v>
      </c>
      <c r="L48" s="142">
        <v>22.1</v>
      </c>
      <c r="M48" s="142"/>
      <c r="N48" s="142">
        <v>44322</v>
      </c>
      <c r="O48" s="142">
        <v>3645.8</v>
      </c>
      <c r="P48" s="142">
        <v>187.2</v>
      </c>
      <c r="Q48" s="142">
        <v>4.2</v>
      </c>
      <c r="R48" s="142"/>
      <c r="S48" s="143">
        <v>0.32</v>
      </c>
      <c r="T48" s="143">
        <v>1.33</v>
      </c>
      <c r="U48" s="143">
        <v>1.21</v>
      </c>
      <c r="V48" s="143">
        <v>1.21</v>
      </c>
      <c r="W48" s="143"/>
      <c r="X48" s="142">
        <v>174.2</v>
      </c>
      <c r="Y48" s="142">
        <v>26.8</v>
      </c>
      <c r="Z48" s="142">
        <v>3.6</v>
      </c>
      <c r="AA48" s="142">
        <v>0.1</v>
      </c>
    </row>
    <row r="49" spans="2:27">
      <c r="B49" s="40">
        <v>2022</v>
      </c>
      <c r="C49" s="142">
        <v>4681.6000000000004</v>
      </c>
      <c r="D49" s="142">
        <v>1957.2</v>
      </c>
      <c r="E49" s="142">
        <v>34.299999999999997</v>
      </c>
      <c r="F49" s="142">
        <v>0.9</v>
      </c>
      <c r="G49" s="142">
        <v>6674</v>
      </c>
      <c r="H49" s="142"/>
      <c r="I49" s="142">
        <v>5.6</v>
      </c>
      <c r="J49" s="142">
        <v>6.8</v>
      </c>
      <c r="K49" s="142">
        <v>16.399999999999999</v>
      </c>
      <c r="L49" s="142">
        <v>22.2</v>
      </c>
      <c r="M49" s="142"/>
      <c r="N49" s="142">
        <v>20531.900000000001</v>
      </c>
      <c r="O49" s="142">
        <v>11815.5</v>
      </c>
      <c r="P49" s="142">
        <v>356.3</v>
      </c>
      <c r="Q49" s="142">
        <v>11.3</v>
      </c>
      <c r="R49" s="142"/>
      <c r="S49" s="143">
        <v>0.47</v>
      </c>
      <c r="T49" s="143">
        <v>0.32</v>
      </c>
      <c r="U49" s="143">
        <v>0.24</v>
      </c>
      <c r="V49" s="143">
        <v>0.24</v>
      </c>
      <c r="W49" s="143"/>
      <c r="X49" s="142">
        <v>115.2</v>
      </c>
      <c r="Y49" s="142">
        <v>80.599999999999994</v>
      </c>
      <c r="Z49" s="142">
        <v>5.8</v>
      </c>
      <c r="AA49" s="142">
        <v>0.3</v>
      </c>
    </row>
    <row r="50" spans="2:27">
      <c r="B50" s="41">
        <v>2023</v>
      </c>
      <c r="C50" s="144">
        <v>3749</v>
      </c>
      <c r="D50" s="144">
        <v>1964.9</v>
      </c>
      <c r="E50" s="144">
        <v>77</v>
      </c>
      <c r="F50" s="144">
        <v>1.2</v>
      </c>
      <c r="G50" s="144">
        <v>5792.1</v>
      </c>
      <c r="H50" s="144"/>
      <c r="I50" s="144">
        <v>5.5</v>
      </c>
      <c r="J50" s="144">
        <v>9.9</v>
      </c>
      <c r="K50" s="144">
        <v>16</v>
      </c>
      <c r="L50" s="144">
        <v>17.7</v>
      </c>
      <c r="M50" s="144"/>
      <c r="N50" s="144">
        <v>30017.9</v>
      </c>
      <c r="O50" s="144">
        <v>4713.7</v>
      </c>
      <c r="P50" s="144">
        <v>3159.6</v>
      </c>
      <c r="Q50" s="144">
        <v>56.5</v>
      </c>
      <c r="R50" s="144"/>
      <c r="S50" s="145">
        <v>0.23</v>
      </c>
      <c r="T50" s="145">
        <v>1.1599999999999999</v>
      </c>
      <c r="U50" s="145">
        <v>0.06</v>
      </c>
      <c r="V50" s="145">
        <v>0.06</v>
      </c>
      <c r="W50" s="145"/>
      <c r="X50" s="144">
        <v>164</v>
      </c>
      <c r="Y50" s="144">
        <v>46.8</v>
      </c>
      <c r="Z50" s="144">
        <v>50.6</v>
      </c>
      <c r="AA50" s="144">
        <v>1</v>
      </c>
    </row>
  </sheetData>
  <mergeCells count="6">
    <mergeCell ref="B3:B4"/>
    <mergeCell ref="N3:Q3"/>
    <mergeCell ref="S3:V3"/>
    <mergeCell ref="X3:AA3"/>
    <mergeCell ref="I3:L3"/>
    <mergeCell ref="C3:G3"/>
  </mergeCells>
  <phoneticPr fontId="5"/>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E10A-E16B-4966-A39C-3F5FB96E29AA}">
  <sheetPr codeName="Sheet31"/>
  <dimension ref="C1:V59"/>
  <sheetViews>
    <sheetView showGridLines="0" topLeftCell="A17" zoomScale="85" zoomScaleNormal="85" workbookViewId="0">
      <selection activeCell="I40" sqref="I40"/>
    </sheetView>
  </sheetViews>
  <sheetFormatPr defaultColWidth="11.42578125" defaultRowHeight="13.5"/>
  <cols>
    <col min="1" max="1" width="2.28515625" style="6" customWidth="1"/>
    <col min="2" max="2" width="5.5703125" style="6" customWidth="1"/>
    <col min="3" max="3" width="21.28515625" style="6" bestFit="1" customWidth="1"/>
    <col min="4" max="4" width="24.140625" style="54" customWidth="1"/>
    <col min="5" max="5" width="8.85546875" style="6" bestFit="1" customWidth="1"/>
    <col min="6" max="6" width="9.28515625" style="6" bestFit="1" customWidth="1"/>
    <col min="7" max="7" width="10" style="6" bestFit="1" customWidth="1"/>
    <col min="8" max="8" width="7.42578125" style="6" bestFit="1" customWidth="1"/>
    <col min="9" max="9" width="9.28515625" style="6" bestFit="1" customWidth="1"/>
    <col min="10" max="10" width="8.85546875" style="6" bestFit="1" customWidth="1"/>
    <col min="11" max="11" width="11.42578125" style="6"/>
    <col min="12" max="12" width="6.7109375" style="6" customWidth="1"/>
    <col min="13" max="13" width="20" style="6" customWidth="1"/>
    <col min="14" max="14" width="24.140625" style="54" customWidth="1"/>
    <col min="15" max="15" width="8.85546875" style="6" bestFit="1" customWidth="1"/>
    <col min="16" max="16" width="9.28515625" style="6" bestFit="1" customWidth="1"/>
    <col min="17" max="18" width="7.42578125" style="6" bestFit="1" customWidth="1"/>
    <col min="19" max="19" width="9.28515625" style="6" bestFit="1" customWidth="1"/>
    <col min="20" max="20" width="8.85546875" style="6" bestFit="1" customWidth="1"/>
    <col min="21" max="16384" width="11.42578125" style="6"/>
  </cols>
  <sheetData>
    <row r="1" spans="3:22" ht="14.25" customHeight="1">
      <c r="C1" s="6" t="s">
        <v>152</v>
      </c>
    </row>
    <row r="3" spans="3:22">
      <c r="C3" s="228" t="s">
        <v>153</v>
      </c>
      <c r="D3" s="230" t="s">
        <v>696</v>
      </c>
      <c r="E3" s="30" t="s">
        <v>154</v>
      </c>
      <c r="F3" s="30"/>
      <c r="G3" s="30"/>
      <c r="H3" s="30"/>
      <c r="I3" s="30"/>
      <c r="J3" s="30" t="s">
        <v>154</v>
      </c>
      <c r="M3" s="228" t="s">
        <v>153</v>
      </c>
      <c r="N3" s="230" t="s">
        <v>696</v>
      </c>
      <c r="O3" s="30" t="s">
        <v>154</v>
      </c>
      <c r="P3" s="30"/>
      <c r="Q3" s="30"/>
      <c r="R3" s="30"/>
      <c r="S3" s="30"/>
      <c r="T3" s="30" t="s">
        <v>154</v>
      </c>
    </row>
    <row r="4" spans="3:22" ht="32.1" customHeight="1">
      <c r="C4" s="229"/>
      <c r="D4" s="231"/>
      <c r="E4" s="19" t="s">
        <v>155</v>
      </c>
      <c r="F4" s="19" t="s">
        <v>156</v>
      </c>
      <c r="G4" s="19" t="s">
        <v>125</v>
      </c>
      <c r="H4" s="19" t="s">
        <v>121</v>
      </c>
      <c r="I4" s="19" t="s">
        <v>157</v>
      </c>
      <c r="J4" s="39" t="s">
        <v>158</v>
      </c>
      <c r="M4" s="229"/>
      <c r="N4" s="231"/>
      <c r="O4" s="19" t="s">
        <v>155</v>
      </c>
      <c r="P4" s="19" t="s">
        <v>156</v>
      </c>
      <c r="Q4" s="19" t="s">
        <v>125</v>
      </c>
      <c r="R4" s="19" t="s">
        <v>121</v>
      </c>
      <c r="S4" s="19" t="s">
        <v>157</v>
      </c>
      <c r="T4" s="39" t="s">
        <v>158</v>
      </c>
      <c r="V4" s="87"/>
    </row>
    <row r="5" spans="3:22">
      <c r="C5" s="6" t="s">
        <v>159</v>
      </c>
      <c r="D5" s="89">
        <v>0.5</v>
      </c>
      <c r="E5" s="47" t="s">
        <v>1</v>
      </c>
      <c r="F5" s="47" t="s">
        <v>1</v>
      </c>
      <c r="G5" s="53">
        <v>3170000000000</v>
      </c>
      <c r="H5" s="47" t="s">
        <v>1</v>
      </c>
      <c r="I5" s="47">
        <v>6.8179999999999996</v>
      </c>
      <c r="J5" s="47" t="s">
        <v>1</v>
      </c>
      <c r="M5" s="50" t="s">
        <v>160</v>
      </c>
      <c r="N5" s="89">
        <v>0.2</v>
      </c>
      <c r="O5" s="47">
        <v>3.7999999999999999E-2</v>
      </c>
      <c r="P5" s="47">
        <v>1.2E-2</v>
      </c>
      <c r="Q5" s="47">
        <v>1.2999999999999999E-2</v>
      </c>
      <c r="R5" s="47">
        <v>0.16800000000000001</v>
      </c>
      <c r="S5" s="47">
        <v>-9.9000000000000005E-2</v>
      </c>
      <c r="T5" s="47">
        <v>0.33</v>
      </c>
    </row>
    <row r="6" spans="3:22">
      <c r="C6" s="6" t="s">
        <v>161</v>
      </c>
      <c r="D6" s="89">
        <v>0.5</v>
      </c>
      <c r="E6" s="47" t="s">
        <v>1</v>
      </c>
      <c r="F6" s="47" t="s">
        <v>1</v>
      </c>
      <c r="G6" s="53">
        <v>227000</v>
      </c>
      <c r="H6" s="47" t="s">
        <v>1</v>
      </c>
      <c r="I6" s="47">
        <v>-1.7999999999999999E-2</v>
      </c>
      <c r="J6" s="47" t="s">
        <v>1</v>
      </c>
      <c r="M6" s="50" t="s">
        <v>162</v>
      </c>
      <c r="N6" s="89">
        <v>0.2</v>
      </c>
      <c r="O6" s="47">
        <v>3.6999999999999998E-2</v>
      </c>
      <c r="P6" s="47">
        <v>0.01</v>
      </c>
      <c r="Q6" s="47">
        <v>1.2E-2</v>
      </c>
      <c r="R6" s="47">
        <v>0.16300000000000001</v>
      </c>
      <c r="S6" s="47">
        <v>-9.7000000000000003E-2</v>
      </c>
      <c r="T6" s="47">
        <v>0.32</v>
      </c>
    </row>
    <row r="7" spans="3:22">
      <c r="C7" s="6" t="s">
        <v>163</v>
      </c>
      <c r="D7" s="89">
        <v>0.5</v>
      </c>
      <c r="E7" s="47" t="s">
        <v>1</v>
      </c>
      <c r="F7" s="47" t="s">
        <v>1</v>
      </c>
      <c r="G7" s="47">
        <v>1683.9880000000001</v>
      </c>
      <c r="H7" s="47" t="s">
        <v>1</v>
      </c>
      <c r="I7" s="47">
        <v>-7.0999999999999994E-2</v>
      </c>
      <c r="J7" s="47" t="s">
        <v>1</v>
      </c>
      <c r="M7" s="50" t="s">
        <v>164</v>
      </c>
      <c r="N7" s="89">
        <v>0.2</v>
      </c>
      <c r="O7" s="47">
        <v>3.5000000000000003E-2</v>
      </c>
      <c r="P7" s="47">
        <v>8.9999999999999993E-3</v>
      </c>
      <c r="Q7" s="47">
        <v>1.2E-2</v>
      </c>
      <c r="R7" s="47">
        <v>0.156</v>
      </c>
      <c r="S7" s="47">
        <v>-9.4E-2</v>
      </c>
      <c r="T7" s="47">
        <v>0.30599999999999999</v>
      </c>
      <c r="V7" s="90"/>
    </row>
    <row r="8" spans="3:22">
      <c r="C8" s="6" t="s">
        <v>165</v>
      </c>
      <c r="D8" s="89">
        <v>0.5</v>
      </c>
      <c r="E8" s="47" t="s">
        <v>1</v>
      </c>
      <c r="F8" s="47" t="s">
        <v>1</v>
      </c>
      <c r="G8" s="47">
        <v>200.04</v>
      </c>
      <c r="H8" s="47" t="s">
        <v>1</v>
      </c>
      <c r="I8" s="47">
        <v>-9.4E-2</v>
      </c>
      <c r="J8" s="47" t="s">
        <v>1</v>
      </c>
      <c r="M8" s="50" t="s">
        <v>166</v>
      </c>
      <c r="N8" s="89">
        <v>0.2</v>
      </c>
      <c r="O8" s="47">
        <v>3.3000000000000002E-2</v>
      </c>
      <c r="P8" s="47">
        <v>7.0000000000000001E-3</v>
      </c>
      <c r="Q8" s="47">
        <v>1.0999999999999999E-2</v>
      </c>
      <c r="R8" s="47">
        <v>0.14799999999999999</v>
      </c>
      <c r="S8" s="47">
        <v>-0.09</v>
      </c>
      <c r="T8" s="47">
        <v>0.28899999999999998</v>
      </c>
    </row>
    <row r="9" spans="3:22">
      <c r="C9" s="50" t="s">
        <v>167</v>
      </c>
      <c r="D9" s="89">
        <v>0.5</v>
      </c>
      <c r="E9" s="47">
        <v>4.1000000000000002E-2</v>
      </c>
      <c r="F9" s="47">
        <v>2.1999999999999999E-2</v>
      </c>
      <c r="G9" s="47">
        <v>1.7000000000000001E-2</v>
      </c>
      <c r="H9" s="47">
        <v>0.151</v>
      </c>
      <c r="I9" s="47">
        <v>0.04</v>
      </c>
      <c r="J9" s="47">
        <v>0.27</v>
      </c>
      <c r="M9" s="50" t="s">
        <v>168</v>
      </c>
      <c r="N9" s="89">
        <v>0.2</v>
      </c>
      <c r="O9" s="47">
        <v>3.2000000000000001E-2</v>
      </c>
      <c r="P9" s="47">
        <v>5.0000000000000001E-3</v>
      </c>
      <c r="Q9" s="47">
        <v>0.01</v>
      </c>
      <c r="R9" s="47">
        <v>0.14299999999999999</v>
      </c>
      <c r="S9" s="47">
        <v>-8.5999999999999993E-2</v>
      </c>
      <c r="T9" s="47">
        <v>0.27500000000000002</v>
      </c>
    </row>
    <row r="10" spans="3:22">
      <c r="C10" s="6" t="s">
        <v>169</v>
      </c>
      <c r="D10" s="89">
        <v>0.5</v>
      </c>
      <c r="E10" s="47" t="s">
        <v>1</v>
      </c>
      <c r="F10" s="47" t="s">
        <v>1</v>
      </c>
      <c r="G10" s="47" t="s">
        <v>1</v>
      </c>
      <c r="H10" s="47">
        <v>0.13800000000000001</v>
      </c>
      <c r="I10" s="47">
        <v>-1.6E-2</v>
      </c>
      <c r="J10" s="47" t="s">
        <v>1</v>
      </c>
      <c r="M10" s="50" t="s">
        <v>170</v>
      </c>
      <c r="N10" s="89">
        <v>0.2</v>
      </c>
      <c r="O10" s="47">
        <v>3.1E-2</v>
      </c>
      <c r="P10" s="47">
        <v>4.0000000000000001E-3</v>
      </c>
      <c r="Q10" s="47">
        <v>8.9999999999999993E-3</v>
      </c>
      <c r="R10" s="47">
        <v>0.14000000000000001</v>
      </c>
      <c r="S10" s="47">
        <v>-8.3000000000000004E-2</v>
      </c>
      <c r="T10" s="47">
        <v>0.26700000000000002</v>
      </c>
    </row>
    <row r="11" spans="3:22">
      <c r="C11" s="50" t="s">
        <v>171</v>
      </c>
      <c r="D11" s="89">
        <v>0.5</v>
      </c>
      <c r="E11" s="47">
        <v>3.6999999999999998E-2</v>
      </c>
      <c r="F11" s="47">
        <v>0.02</v>
      </c>
      <c r="G11" s="47">
        <v>1.4999999999999999E-2</v>
      </c>
      <c r="H11" s="47">
        <v>0.13800000000000001</v>
      </c>
      <c r="I11" s="47">
        <v>0.124</v>
      </c>
      <c r="J11" s="47">
        <v>0.33400000000000002</v>
      </c>
      <c r="M11" s="50" t="s">
        <v>172</v>
      </c>
      <c r="N11" s="89">
        <v>0.2</v>
      </c>
      <c r="O11" s="47">
        <v>0.03</v>
      </c>
      <c r="P11" s="47">
        <v>3.0000000000000001E-3</v>
      </c>
      <c r="Q11" s="47">
        <v>8.9999999999999993E-3</v>
      </c>
      <c r="R11" s="47">
        <v>0.13900000000000001</v>
      </c>
      <c r="S11" s="47">
        <v>-8.1000000000000003E-2</v>
      </c>
      <c r="T11" s="47">
        <v>0.26100000000000001</v>
      </c>
    </row>
    <row r="12" spans="3:22">
      <c r="C12" s="50" t="s">
        <v>173</v>
      </c>
      <c r="D12" s="89">
        <v>0.5</v>
      </c>
      <c r="E12" s="47">
        <v>3.6999999999999998E-2</v>
      </c>
      <c r="F12" s="47">
        <v>0.02</v>
      </c>
      <c r="G12" s="47">
        <v>1.4999999999999999E-2</v>
      </c>
      <c r="H12" s="47">
        <v>0.13800000000000001</v>
      </c>
      <c r="I12" s="47">
        <v>0.12</v>
      </c>
      <c r="J12" s="47">
        <v>0.33</v>
      </c>
      <c r="M12" s="50" t="s">
        <v>174</v>
      </c>
      <c r="N12" s="89">
        <v>0.2</v>
      </c>
      <c r="O12" s="47">
        <v>2.9000000000000001E-2</v>
      </c>
      <c r="P12" s="47">
        <v>2E-3</v>
      </c>
      <c r="Q12" s="47">
        <v>8.0000000000000002E-3</v>
      </c>
      <c r="R12" s="47">
        <v>0.14000000000000001</v>
      </c>
      <c r="S12" s="47">
        <v>-7.9000000000000001E-2</v>
      </c>
      <c r="T12" s="47">
        <v>0.25800000000000001</v>
      </c>
    </row>
    <row r="13" spans="3:22">
      <c r="C13" s="50" t="s">
        <v>175</v>
      </c>
      <c r="D13" s="89">
        <v>0.5</v>
      </c>
      <c r="E13" s="47">
        <v>3.6999999999999998E-2</v>
      </c>
      <c r="F13" s="47">
        <v>0.02</v>
      </c>
      <c r="G13" s="47">
        <v>1.6E-2</v>
      </c>
      <c r="H13" s="47">
        <v>0.13800000000000001</v>
      </c>
      <c r="I13" s="47">
        <v>0.11600000000000001</v>
      </c>
      <c r="J13" s="47">
        <v>0.32700000000000001</v>
      </c>
      <c r="M13" s="50" t="s">
        <v>176</v>
      </c>
      <c r="N13" s="89">
        <v>0.2</v>
      </c>
      <c r="O13" s="47">
        <v>2.9000000000000001E-2</v>
      </c>
      <c r="P13" s="47">
        <v>1E-3</v>
      </c>
      <c r="Q13" s="47">
        <v>7.0000000000000001E-3</v>
      </c>
      <c r="R13" s="47">
        <v>0.14099999999999999</v>
      </c>
      <c r="S13" s="47">
        <v>-7.8E-2</v>
      </c>
      <c r="T13" s="47">
        <v>0.25600000000000001</v>
      </c>
    </row>
    <row r="14" spans="3:22">
      <c r="C14" s="6" t="s">
        <v>177</v>
      </c>
      <c r="D14" s="89">
        <v>0.5</v>
      </c>
      <c r="E14" s="47">
        <v>3.1E-2</v>
      </c>
      <c r="F14" s="47">
        <v>2.3E-2</v>
      </c>
      <c r="G14" s="47">
        <v>1.7999999999999999E-2</v>
      </c>
      <c r="H14" s="47">
        <v>0.13800000000000001</v>
      </c>
      <c r="I14" s="47">
        <v>0.21099999999999999</v>
      </c>
      <c r="J14" s="47">
        <v>0.42</v>
      </c>
      <c r="M14" s="50" t="s">
        <v>178</v>
      </c>
      <c r="N14" s="89">
        <v>0.2</v>
      </c>
      <c r="O14" s="47">
        <v>2.9000000000000001E-2</v>
      </c>
      <c r="P14" s="47">
        <v>0</v>
      </c>
      <c r="Q14" s="47">
        <v>7.0000000000000001E-3</v>
      </c>
      <c r="R14" s="47">
        <v>0.14399999999999999</v>
      </c>
      <c r="S14" s="47">
        <v>-7.6999999999999999E-2</v>
      </c>
      <c r="T14" s="47">
        <v>0.25600000000000001</v>
      </c>
    </row>
    <row r="15" spans="3:22">
      <c r="C15" s="6" t="s">
        <v>179</v>
      </c>
      <c r="D15" s="89">
        <v>0.5</v>
      </c>
      <c r="E15" s="47" t="s">
        <v>1</v>
      </c>
      <c r="F15" s="47" t="s">
        <v>1</v>
      </c>
      <c r="G15" s="47">
        <v>109.282</v>
      </c>
      <c r="H15" s="47" t="s">
        <v>1</v>
      </c>
      <c r="I15" s="47">
        <v>-3.4000000000000002E-2</v>
      </c>
      <c r="J15" s="47" t="s">
        <v>1</v>
      </c>
      <c r="M15" s="50" t="s">
        <v>180</v>
      </c>
      <c r="N15" s="89">
        <v>0.2</v>
      </c>
      <c r="O15" s="47">
        <v>2.8000000000000001E-2</v>
      </c>
      <c r="P15" s="47">
        <v>-1E-3</v>
      </c>
      <c r="Q15" s="47">
        <v>6.0000000000000001E-3</v>
      </c>
      <c r="R15" s="47">
        <v>0.14699999999999999</v>
      </c>
      <c r="S15" s="47">
        <v>-7.5999999999999998E-2</v>
      </c>
      <c r="T15" s="47">
        <v>0.25800000000000001</v>
      </c>
    </row>
    <row r="16" spans="3:22">
      <c r="C16" s="50" t="s">
        <v>181</v>
      </c>
      <c r="D16" s="89">
        <v>0.5</v>
      </c>
      <c r="E16" s="47">
        <v>3.6999999999999998E-2</v>
      </c>
      <c r="F16" s="47">
        <v>2.1000000000000001E-2</v>
      </c>
      <c r="G16" s="47">
        <v>1.6E-2</v>
      </c>
      <c r="H16" s="47">
        <v>0.13700000000000001</v>
      </c>
      <c r="I16" s="47">
        <v>0.109</v>
      </c>
      <c r="J16" s="47">
        <v>0.31900000000000001</v>
      </c>
      <c r="M16" s="50" t="s">
        <v>182</v>
      </c>
      <c r="N16" s="89">
        <v>0.2</v>
      </c>
      <c r="O16" s="47">
        <v>2.8000000000000001E-2</v>
      </c>
      <c r="P16" s="47">
        <v>-1E-3</v>
      </c>
      <c r="Q16" s="47">
        <v>5.0000000000000001E-3</v>
      </c>
      <c r="R16" s="47">
        <v>0.151</v>
      </c>
      <c r="S16" s="47">
        <v>-7.4999999999999997E-2</v>
      </c>
      <c r="T16" s="47">
        <v>0.26100000000000001</v>
      </c>
    </row>
    <row r="17" spans="3:20">
      <c r="C17" s="50" t="s">
        <v>183</v>
      </c>
      <c r="D17" s="89">
        <v>0.5</v>
      </c>
      <c r="E17" s="47">
        <v>3.6999999999999998E-2</v>
      </c>
      <c r="F17" s="47">
        <v>2.1000000000000001E-2</v>
      </c>
      <c r="G17" s="47">
        <v>1.6E-2</v>
      </c>
      <c r="H17" s="47">
        <v>0.13600000000000001</v>
      </c>
      <c r="I17" s="47">
        <v>0.107</v>
      </c>
      <c r="J17" s="47">
        <v>0.317</v>
      </c>
      <c r="M17" s="54" t="s">
        <v>184</v>
      </c>
      <c r="N17" s="89">
        <v>0.2</v>
      </c>
      <c r="O17" s="47">
        <v>4.2000000000000003E-2</v>
      </c>
      <c r="P17" s="47">
        <v>5.0000000000000001E-3</v>
      </c>
      <c r="Q17" s="47">
        <v>8.0000000000000002E-3</v>
      </c>
      <c r="R17" s="47">
        <v>0.20200000000000001</v>
      </c>
      <c r="S17" s="47">
        <v>-0.253</v>
      </c>
      <c r="T17" s="47">
        <v>0.51</v>
      </c>
    </row>
    <row r="18" spans="3:20">
      <c r="C18" s="50" t="s">
        <v>185</v>
      </c>
      <c r="D18" s="89">
        <v>0.5</v>
      </c>
      <c r="E18" s="47">
        <v>3.6999999999999998E-2</v>
      </c>
      <c r="F18" s="47">
        <v>0.02</v>
      </c>
      <c r="G18" s="47">
        <v>1.6E-2</v>
      </c>
      <c r="H18" s="47">
        <v>0.13600000000000001</v>
      </c>
      <c r="I18" s="47">
        <v>0.106</v>
      </c>
      <c r="J18" s="47">
        <v>0.315</v>
      </c>
      <c r="M18" s="54" t="s">
        <v>186</v>
      </c>
      <c r="N18" s="89">
        <v>0.2</v>
      </c>
      <c r="O18" s="47">
        <v>4.3999999999999997E-2</v>
      </c>
      <c r="P18" s="47">
        <v>5.0000000000000001E-3</v>
      </c>
      <c r="Q18" s="47">
        <v>8.0000000000000002E-3</v>
      </c>
      <c r="R18" s="47">
        <v>0.214</v>
      </c>
      <c r="S18" s="47">
        <v>-0.25600000000000001</v>
      </c>
      <c r="T18" s="47">
        <v>0.52600000000000002</v>
      </c>
    </row>
    <row r="19" spans="3:20">
      <c r="C19" s="6" t="s">
        <v>187</v>
      </c>
      <c r="D19" s="89">
        <v>0.5</v>
      </c>
      <c r="E19" s="47" t="s">
        <v>1</v>
      </c>
      <c r="F19" s="47" t="s">
        <v>1</v>
      </c>
      <c r="G19" s="47">
        <v>786.79700000000003</v>
      </c>
      <c r="H19" s="47" t="s">
        <v>1</v>
      </c>
      <c r="I19" s="47">
        <v>-4.1000000000000002E-2</v>
      </c>
      <c r="J19" s="47" t="s">
        <v>1</v>
      </c>
      <c r="M19" s="54" t="s">
        <v>188</v>
      </c>
      <c r="N19" s="89">
        <v>0.2</v>
      </c>
      <c r="O19" s="47">
        <v>4.5999999999999999E-2</v>
      </c>
      <c r="P19" s="47">
        <v>4.0000000000000001E-3</v>
      </c>
      <c r="Q19" s="47">
        <v>7.0000000000000001E-3</v>
      </c>
      <c r="R19" s="47">
        <v>0.224</v>
      </c>
      <c r="S19" s="47">
        <v>-0.25700000000000001</v>
      </c>
      <c r="T19" s="47">
        <v>0.53800000000000003</v>
      </c>
    </row>
    <row r="20" spans="3:20">
      <c r="C20" s="6" t="s">
        <v>189</v>
      </c>
      <c r="D20" s="89">
        <v>0.5</v>
      </c>
      <c r="E20" s="47" t="s">
        <v>1</v>
      </c>
      <c r="F20" s="47" t="s">
        <v>1</v>
      </c>
      <c r="G20" s="47" t="s">
        <v>1</v>
      </c>
      <c r="H20" s="47">
        <v>0.13500000000000001</v>
      </c>
      <c r="I20" s="47">
        <v>-4.2000000000000003E-2</v>
      </c>
      <c r="J20" s="47" t="s">
        <v>1</v>
      </c>
      <c r="M20" s="54" t="s">
        <v>190</v>
      </c>
      <c r="N20" s="89">
        <v>0.2</v>
      </c>
      <c r="O20" s="47">
        <v>4.7E-2</v>
      </c>
      <c r="P20" s="47">
        <v>4.0000000000000001E-3</v>
      </c>
      <c r="Q20" s="47">
        <v>7.0000000000000001E-3</v>
      </c>
      <c r="R20" s="47">
        <v>0.23400000000000001</v>
      </c>
      <c r="S20" s="47">
        <v>-0.25700000000000001</v>
      </c>
      <c r="T20" s="47">
        <v>0.54900000000000004</v>
      </c>
    </row>
    <row r="21" spans="3:20">
      <c r="C21" s="50" t="s">
        <v>191</v>
      </c>
      <c r="D21" s="89">
        <v>0.5</v>
      </c>
      <c r="E21" s="47">
        <v>3.6999999999999998E-2</v>
      </c>
      <c r="F21" s="47">
        <v>0.02</v>
      </c>
      <c r="G21" s="47">
        <v>1.6E-2</v>
      </c>
      <c r="H21" s="47">
        <v>0.13400000000000001</v>
      </c>
      <c r="I21" s="47">
        <v>0.10199999999999999</v>
      </c>
      <c r="J21" s="47">
        <v>0.309</v>
      </c>
      <c r="M21" s="54" t="s">
        <v>192</v>
      </c>
      <c r="N21" s="89">
        <v>0.2</v>
      </c>
      <c r="O21" s="47">
        <v>4.8000000000000001E-2</v>
      </c>
      <c r="P21" s="47">
        <v>4.0000000000000001E-3</v>
      </c>
      <c r="Q21" s="47">
        <v>6.0000000000000001E-3</v>
      </c>
      <c r="R21" s="47">
        <v>0.245</v>
      </c>
      <c r="S21" s="47">
        <v>-0.25800000000000001</v>
      </c>
      <c r="T21" s="47">
        <v>0.56100000000000005</v>
      </c>
    </row>
    <row r="22" spans="3:20">
      <c r="C22" s="50" t="s">
        <v>193</v>
      </c>
      <c r="D22" s="89">
        <v>0.5</v>
      </c>
      <c r="E22" s="47">
        <v>3.6999999999999998E-2</v>
      </c>
      <c r="F22" s="47">
        <v>0.02</v>
      </c>
      <c r="G22" s="47">
        <v>1.6E-2</v>
      </c>
      <c r="H22" s="47">
        <v>0.13300000000000001</v>
      </c>
      <c r="I22" s="47">
        <v>0.10199999999999999</v>
      </c>
      <c r="J22" s="47">
        <v>0.307</v>
      </c>
      <c r="M22" s="54" t="s">
        <v>194</v>
      </c>
      <c r="N22" s="89">
        <v>0.2</v>
      </c>
      <c r="O22" s="47">
        <v>0.05</v>
      </c>
      <c r="P22" s="47">
        <v>3.0000000000000001E-3</v>
      </c>
      <c r="Q22" s="47">
        <v>6.0000000000000001E-3</v>
      </c>
      <c r="R22" s="47">
        <v>0.25600000000000001</v>
      </c>
      <c r="S22" s="47">
        <v>-0.25800000000000001</v>
      </c>
      <c r="T22" s="47">
        <v>0.57299999999999995</v>
      </c>
    </row>
    <row r="23" spans="3:20">
      <c r="C23" s="50" t="s">
        <v>195</v>
      </c>
      <c r="D23" s="89">
        <v>0.5</v>
      </c>
      <c r="E23" s="47">
        <v>3.6999999999999998E-2</v>
      </c>
      <c r="F23" s="47">
        <v>0.02</v>
      </c>
      <c r="G23" s="47">
        <v>1.6E-2</v>
      </c>
      <c r="H23" s="47">
        <v>0.13200000000000001</v>
      </c>
      <c r="I23" s="47">
        <v>0.10100000000000001</v>
      </c>
      <c r="J23" s="47">
        <v>0.30499999999999999</v>
      </c>
      <c r="M23" s="54" t="s">
        <v>196</v>
      </c>
      <c r="N23" s="89">
        <v>0.2</v>
      </c>
      <c r="O23" s="47">
        <v>5.0999999999999997E-2</v>
      </c>
      <c r="P23" s="47">
        <v>3.0000000000000001E-3</v>
      </c>
      <c r="Q23" s="47">
        <v>5.0000000000000001E-3</v>
      </c>
      <c r="R23" s="47">
        <v>0.26800000000000002</v>
      </c>
      <c r="S23" s="47">
        <v>-0.25800000000000001</v>
      </c>
      <c r="T23" s="47">
        <v>0.58499999999999996</v>
      </c>
    </row>
    <row r="24" spans="3:20">
      <c r="C24" s="6" t="s">
        <v>197</v>
      </c>
      <c r="D24" s="89">
        <v>0.5</v>
      </c>
      <c r="E24" s="47" t="s">
        <v>1</v>
      </c>
      <c r="F24" s="47" t="s">
        <v>1</v>
      </c>
      <c r="G24" s="47" t="s">
        <v>1</v>
      </c>
      <c r="H24" s="47">
        <v>0.13100000000000001</v>
      </c>
      <c r="I24" s="47">
        <v>-4.4999999999999998E-2</v>
      </c>
      <c r="J24" s="47" t="s">
        <v>1</v>
      </c>
      <c r="M24" s="54" t="s">
        <v>198</v>
      </c>
      <c r="N24" s="89">
        <v>0.2</v>
      </c>
      <c r="O24" s="47">
        <v>5.1999999999999998E-2</v>
      </c>
      <c r="P24" s="47">
        <v>2E-3</v>
      </c>
      <c r="Q24" s="47">
        <v>4.0000000000000001E-3</v>
      </c>
      <c r="R24" s="47">
        <v>0.28100000000000003</v>
      </c>
      <c r="S24" s="47">
        <v>-0.25800000000000001</v>
      </c>
      <c r="T24" s="47">
        <v>0.59799999999999998</v>
      </c>
    </row>
    <row r="25" spans="3:20">
      <c r="C25" s="6" t="s">
        <v>199</v>
      </c>
      <c r="D25" s="89">
        <v>0.5</v>
      </c>
      <c r="E25" s="47" t="s">
        <v>1</v>
      </c>
      <c r="F25" s="47" t="s">
        <v>1</v>
      </c>
      <c r="G25" s="53">
        <v>41400000000</v>
      </c>
      <c r="H25" s="47" t="s">
        <v>1</v>
      </c>
      <c r="I25" s="47">
        <v>-4.5999999999999999E-2</v>
      </c>
      <c r="J25" s="47" t="s">
        <v>1</v>
      </c>
      <c r="M25" s="54" t="s">
        <v>200</v>
      </c>
      <c r="N25" s="89">
        <v>0.2</v>
      </c>
      <c r="O25" s="47">
        <v>5.3999999999999999E-2</v>
      </c>
      <c r="P25" s="47">
        <v>1E-3</v>
      </c>
      <c r="Q25" s="47">
        <v>4.0000000000000001E-3</v>
      </c>
      <c r="R25" s="47">
        <v>0.29499999999999998</v>
      </c>
      <c r="S25" s="47">
        <v>-0.25800000000000001</v>
      </c>
      <c r="T25" s="47">
        <v>0.61099999999999999</v>
      </c>
    </row>
    <row r="26" spans="3:20">
      <c r="C26" s="6" t="s">
        <v>201</v>
      </c>
      <c r="D26" s="89">
        <v>0.5</v>
      </c>
      <c r="E26" s="47" t="s">
        <v>1</v>
      </c>
      <c r="F26" s="47" t="s">
        <v>1</v>
      </c>
      <c r="G26" s="47">
        <v>42.863999999999997</v>
      </c>
      <c r="H26" s="47" t="s">
        <v>1</v>
      </c>
      <c r="I26" s="47">
        <v>-4.5999999999999999E-2</v>
      </c>
      <c r="J26" s="47" t="s">
        <v>1</v>
      </c>
      <c r="M26" s="54" t="s">
        <v>202</v>
      </c>
      <c r="N26" s="89">
        <v>0.2</v>
      </c>
      <c r="O26" s="47">
        <v>5.5E-2</v>
      </c>
      <c r="P26" s="47">
        <v>0</v>
      </c>
      <c r="Q26" s="47">
        <v>3.0000000000000001E-3</v>
      </c>
      <c r="R26" s="47">
        <v>0.309</v>
      </c>
      <c r="S26" s="47">
        <v>-0.25800000000000001</v>
      </c>
      <c r="T26" s="47">
        <v>0.626</v>
      </c>
    </row>
    <row r="27" spans="3:20">
      <c r="C27" s="6" t="s">
        <v>203</v>
      </c>
      <c r="D27" s="89">
        <v>0.5</v>
      </c>
      <c r="E27" s="47" t="s">
        <v>1</v>
      </c>
      <c r="F27" s="47" t="s">
        <v>1</v>
      </c>
      <c r="G27" s="47">
        <v>152.78399999999999</v>
      </c>
      <c r="H27" s="47" t="s">
        <v>1</v>
      </c>
      <c r="I27" s="47">
        <v>-4.7E-2</v>
      </c>
      <c r="J27" s="47" t="s">
        <v>1</v>
      </c>
      <c r="M27" s="54" t="s">
        <v>204</v>
      </c>
      <c r="N27" s="89">
        <v>0.2</v>
      </c>
      <c r="O27" s="47">
        <v>5.7000000000000002E-2</v>
      </c>
      <c r="P27" s="47">
        <v>0</v>
      </c>
      <c r="Q27" s="47">
        <v>2E-3</v>
      </c>
      <c r="R27" s="47">
        <v>0.32600000000000001</v>
      </c>
      <c r="S27" s="47">
        <v>-0.25800000000000001</v>
      </c>
      <c r="T27" s="47">
        <v>0.64200000000000002</v>
      </c>
    </row>
    <row r="28" spans="3:20">
      <c r="C28" s="50" t="s">
        <v>205</v>
      </c>
      <c r="D28" s="89">
        <v>0.5</v>
      </c>
      <c r="E28" s="47">
        <v>3.5999999999999997E-2</v>
      </c>
      <c r="F28" s="47">
        <v>1.9E-2</v>
      </c>
      <c r="G28" s="47">
        <v>1.6E-2</v>
      </c>
      <c r="H28" s="47">
        <v>0.126</v>
      </c>
      <c r="I28" s="47">
        <v>9.8000000000000004E-2</v>
      </c>
      <c r="J28" s="47">
        <v>0.29499999999999998</v>
      </c>
      <c r="M28" s="54" t="s">
        <v>206</v>
      </c>
      <c r="N28" s="89">
        <v>0.2</v>
      </c>
      <c r="O28" s="47">
        <v>5.8000000000000003E-2</v>
      </c>
      <c r="P28" s="47">
        <v>-2E-3</v>
      </c>
      <c r="Q28" s="47">
        <v>1E-3</v>
      </c>
      <c r="R28" s="47">
        <v>0.34300000000000003</v>
      </c>
      <c r="S28" s="47">
        <v>-0.25700000000000001</v>
      </c>
      <c r="T28" s="47">
        <v>0.66100000000000003</v>
      </c>
    </row>
    <row r="29" spans="3:20">
      <c r="C29" s="50" t="s">
        <v>207</v>
      </c>
      <c r="D29" s="89">
        <v>0.5</v>
      </c>
      <c r="E29" s="47">
        <v>3.5000000000000003E-2</v>
      </c>
      <c r="F29" s="47">
        <v>1.9E-2</v>
      </c>
      <c r="G29" s="47">
        <v>1.6E-2</v>
      </c>
      <c r="H29" s="47">
        <v>0.125</v>
      </c>
      <c r="I29" s="47">
        <v>9.8000000000000004E-2</v>
      </c>
      <c r="J29" s="47">
        <v>0.29299999999999998</v>
      </c>
      <c r="M29" s="54" t="s">
        <v>208</v>
      </c>
      <c r="N29" s="89">
        <v>0.2</v>
      </c>
      <c r="O29" s="47">
        <v>8.5999999999999993E-2</v>
      </c>
      <c r="P29" s="47">
        <v>1.2999999999999999E-2</v>
      </c>
      <c r="Q29" s="47">
        <v>8.9999999999999993E-3</v>
      </c>
      <c r="R29" s="47">
        <v>0.44</v>
      </c>
      <c r="S29" s="47">
        <v>-0.41199999999999998</v>
      </c>
      <c r="T29" s="47">
        <v>0.95899999999999996</v>
      </c>
    </row>
    <row r="30" spans="3:20">
      <c r="C30" s="50" t="s">
        <v>209</v>
      </c>
      <c r="D30" s="89">
        <v>0.5</v>
      </c>
      <c r="E30" s="47">
        <v>3.5000000000000003E-2</v>
      </c>
      <c r="F30" s="47">
        <v>1.9E-2</v>
      </c>
      <c r="G30" s="47">
        <v>1.6E-2</v>
      </c>
      <c r="H30" s="47">
        <v>0.124</v>
      </c>
      <c r="I30" s="47">
        <v>9.8000000000000004E-2</v>
      </c>
      <c r="J30" s="47">
        <v>0.29099999999999998</v>
      </c>
      <c r="M30" s="54" t="s">
        <v>210</v>
      </c>
      <c r="N30" s="89">
        <v>0.2</v>
      </c>
      <c r="O30" s="47">
        <v>9.1999999999999998E-2</v>
      </c>
      <c r="P30" s="47">
        <v>1.2999999999999999E-2</v>
      </c>
      <c r="Q30" s="47">
        <v>8.0000000000000002E-3</v>
      </c>
      <c r="R30" s="47">
        <v>0.47199999999999998</v>
      </c>
      <c r="S30" s="47">
        <v>-0.41299999999999998</v>
      </c>
      <c r="T30" s="47">
        <v>0.999</v>
      </c>
    </row>
    <row r="31" spans="3:20">
      <c r="C31" s="50" t="s">
        <v>211</v>
      </c>
      <c r="D31" s="89">
        <v>0.2</v>
      </c>
      <c r="E31" s="47">
        <v>3.5000000000000003E-2</v>
      </c>
      <c r="F31" s="47">
        <v>1.7999999999999999E-2</v>
      </c>
      <c r="G31" s="47">
        <v>1.6E-2</v>
      </c>
      <c r="H31" s="47">
        <v>0.122</v>
      </c>
      <c r="I31" s="47">
        <v>9.7000000000000003E-2</v>
      </c>
      <c r="J31" s="47">
        <v>0.28899999999999998</v>
      </c>
      <c r="M31" s="54" t="s">
        <v>212</v>
      </c>
      <c r="N31" s="89">
        <v>0.2</v>
      </c>
      <c r="O31" s="47">
        <v>9.6000000000000002E-2</v>
      </c>
      <c r="P31" s="47">
        <v>1.2999999999999999E-2</v>
      </c>
      <c r="Q31" s="47">
        <v>8.0000000000000002E-3</v>
      </c>
      <c r="R31" s="47">
        <v>0.505</v>
      </c>
      <c r="S31" s="47">
        <v>-0.41299999999999998</v>
      </c>
      <c r="T31" s="47">
        <v>1.0349999999999999</v>
      </c>
    </row>
    <row r="32" spans="3:20">
      <c r="C32" s="50" t="s">
        <v>213</v>
      </c>
      <c r="D32" s="89">
        <v>0.2</v>
      </c>
      <c r="E32" s="47">
        <v>3.5000000000000003E-2</v>
      </c>
      <c r="F32" s="47">
        <v>1.7999999999999999E-2</v>
      </c>
      <c r="G32" s="47">
        <v>1.6E-2</v>
      </c>
      <c r="H32" s="47">
        <v>0.121</v>
      </c>
      <c r="I32" s="47">
        <v>9.7000000000000003E-2</v>
      </c>
      <c r="J32" s="47">
        <v>0.28599999999999998</v>
      </c>
      <c r="M32" s="54" t="s">
        <v>214</v>
      </c>
      <c r="N32" s="89">
        <v>0.2</v>
      </c>
      <c r="O32" s="47">
        <v>0.10100000000000001</v>
      </c>
      <c r="P32" s="47">
        <v>1.2999999999999999E-2</v>
      </c>
      <c r="Q32" s="47">
        <v>7.0000000000000001E-3</v>
      </c>
      <c r="R32" s="47">
        <v>0.54</v>
      </c>
      <c r="S32" s="47">
        <v>-0.41199999999999998</v>
      </c>
      <c r="T32" s="47">
        <v>1.073</v>
      </c>
    </row>
    <row r="33" spans="3:20">
      <c r="C33" s="50" t="s">
        <v>215</v>
      </c>
      <c r="D33" s="89">
        <v>0.2</v>
      </c>
      <c r="E33" s="47">
        <v>3.4000000000000002E-2</v>
      </c>
      <c r="F33" s="47">
        <v>1.7999999999999999E-2</v>
      </c>
      <c r="G33" s="47">
        <v>1.6E-2</v>
      </c>
      <c r="H33" s="47">
        <v>0.11899999999999999</v>
      </c>
      <c r="I33" s="47">
        <v>9.7000000000000003E-2</v>
      </c>
      <c r="J33" s="47">
        <v>0.28399999999999997</v>
      </c>
      <c r="M33" s="54" t="s">
        <v>216</v>
      </c>
      <c r="N33" s="89">
        <v>0.2</v>
      </c>
      <c r="O33" s="47">
        <v>0.106</v>
      </c>
      <c r="P33" s="47">
        <v>1.2E-2</v>
      </c>
      <c r="Q33" s="47">
        <v>6.0000000000000001E-3</v>
      </c>
      <c r="R33" s="47">
        <v>0.57899999999999996</v>
      </c>
      <c r="S33" s="47">
        <v>-0.40899999999999997</v>
      </c>
      <c r="T33" s="47">
        <v>1.111</v>
      </c>
    </row>
    <row r="34" spans="3:20">
      <c r="C34" s="50" t="s">
        <v>217</v>
      </c>
      <c r="D34" s="89">
        <v>0.2</v>
      </c>
      <c r="E34" s="47">
        <v>3.4000000000000002E-2</v>
      </c>
      <c r="F34" s="47">
        <v>1.7999999999999999E-2</v>
      </c>
      <c r="G34" s="47">
        <v>1.4999999999999999E-2</v>
      </c>
      <c r="H34" s="47">
        <v>0.11700000000000001</v>
      </c>
      <c r="I34" s="47">
        <v>9.7000000000000003E-2</v>
      </c>
      <c r="J34" s="47">
        <v>0.28100000000000003</v>
      </c>
      <c r="M34" s="54" t="s">
        <v>218</v>
      </c>
      <c r="N34" s="89">
        <v>0.2</v>
      </c>
      <c r="O34" s="47">
        <v>0.111</v>
      </c>
      <c r="P34" s="47">
        <v>0.01</v>
      </c>
      <c r="Q34" s="47">
        <v>4.0000000000000001E-3</v>
      </c>
      <c r="R34" s="47">
        <v>0.621</v>
      </c>
      <c r="S34" s="47">
        <v>-0.40200000000000002</v>
      </c>
      <c r="T34" s="47">
        <v>1.149</v>
      </c>
    </row>
    <row r="35" spans="3:20">
      <c r="C35" s="50" t="s">
        <v>219</v>
      </c>
      <c r="D35" s="89">
        <v>0.2</v>
      </c>
      <c r="E35" s="47">
        <v>3.3000000000000002E-2</v>
      </c>
      <c r="F35" s="47">
        <v>1.7000000000000001E-2</v>
      </c>
      <c r="G35" s="47">
        <v>1.4999999999999999E-2</v>
      </c>
      <c r="H35" s="47">
        <v>0.115</v>
      </c>
      <c r="I35" s="47">
        <v>9.7000000000000003E-2</v>
      </c>
      <c r="J35" s="47">
        <v>0.27800000000000002</v>
      </c>
      <c r="M35" s="54" t="s">
        <v>220</v>
      </c>
      <c r="N35" s="89">
        <v>0.2</v>
      </c>
      <c r="O35" s="47">
        <v>0.11700000000000001</v>
      </c>
      <c r="P35" s="47">
        <v>8.0000000000000002E-3</v>
      </c>
      <c r="Q35" s="47">
        <v>2E-3</v>
      </c>
      <c r="R35" s="47">
        <v>0.67</v>
      </c>
      <c r="S35" s="47">
        <v>-0.39100000000000001</v>
      </c>
      <c r="T35" s="47">
        <v>1.1879999999999999</v>
      </c>
    </row>
    <row r="36" spans="3:20">
      <c r="C36" s="50" t="s">
        <v>221</v>
      </c>
      <c r="D36" s="89">
        <v>0.2</v>
      </c>
      <c r="E36" s="47">
        <v>3.3000000000000002E-2</v>
      </c>
      <c r="F36" s="47">
        <v>1.7000000000000001E-2</v>
      </c>
      <c r="G36" s="47">
        <v>1.4999999999999999E-2</v>
      </c>
      <c r="H36" s="47">
        <v>0.113</v>
      </c>
      <c r="I36" s="47">
        <v>9.7000000000000003E-2</v>
      </c>
      <c r="J36" s="47">
        <v>0.27600000000000002</v>
      </c>
      <c r="M36" s="54" t="s">
        <v>222</v>
      </c>
      <c r="N36" s="89">
        <v>0.2</v>
      </c>
      <c r="O36" s="47">
        <v>0.124</v>
      </c>
      <c r="P36" s="47">
        <v>7.0000000000000001E-3</v>
      </c>
      <c r="Q36" s="47">
        <v>0</v>
      </c>
      <c r="R36" s="47">
        <v>0.72899999999999998</v>
      </c>
      <c r="S36" s="47">
        <v>-0.379</v>
      </c>
      <c r="T36" s="47">
        <v>1.2390000000000001</v>
      </c>
    </row>
    <row r="37" spans="3:20">
      <c r="C37" s="50" t="s">
        <v>223</v>
      </c>
      <c r="D37" s="89">
        <v>0.2</v>
      </c>
      <c r="E37" s="47">
        <v>3.2000000000000001E-2</v>
      </c>
      <c r="F37" s="47">
        <v>1.6E-2</v>
      </c>
      <c r="G37" s="47">
        <v>1.4999999999999999E-2</v>
      </c>
      <c r="H37" s="47">
        <v>0.111</v>
      </c>
      <c r="I37" s="47">
        <v>9.7000000000000003E-2</v>
      </c>
      <c r="J37" s="47">
        <v>0.27300000000000002</v>
      </c>
      <c r="M37" s="54" t="s">
        <v>224</v>
      </c>
      <c r="N37" s="89">
        <v>0.2</v>
      </c>
      <c r="O37" s="47">
        <v>0.13500000000000001</v>
      </c>
      <c r="P37" s="47">
        <v>8.0000000000000002E-3</v>
      </c>
      <c r="Q37" s="47">
        <v>-2E-3</v>
      </c>
      <c r="R37" s="47">
        <v>0.80100000000000005</v>
      </c>
      <c r="S37" s="47">
        <v>-0.37</v>
      </c>
      <c r="T37" s="47">
        <v>1.3160000000000001</v>
      </c>
    </row>
    <row r="38" spans="3:20">
      <c r="C38" s="50" t="s">
        <v>225</v>
      </c>
      <c r="D38" s="89">
        <v>0.2</v>
      </c>
      <c r="E38" s="47">
        <v>3.2000000000000001E-2</v>
      </c>
      <c r="F38" s="47">
        <v>1.6E-2</v>
      </c>
      <c r="G38" s="47">
        <v>1.4999999999999999E-2</v>
      </c>
      <c r="H38" s="47">
        <v>0.109</v>
      </c>
      <c r="I38" s="47">
        <v>9.8000000000000004E-2</v>
      </c>
      <c r="J38" s="47">
        <v>0.26900000000000002</v>
      </c>
      <c r="M38" s="54" t="s">
        <v>226</v>
      </c>
      <c r="N38" s="89">
        <v>0.2</v>
      </c>
      <c r="O38" s="47">
        <v>0.14899999999999999</v>
      </c>
      <c r="P38" s="47">
        <v>0.01</v>
      </c>
      <c r="Q38" s="47">
        <v>-3.0000000000000001E-3</v>
      </c>
      <c r="R38" s="47">
        <v>0.89100000000000001</v>
      </c>
      <c r="S38" s="47">
        <v>-0.36399999999999999</v>
      </c>
      <c r="T38" s="47">
        <v>1.417</v>
      </c>
    </row>
    <row r="39" spans="3:20">
      <c r="C39" s="50" t="s">
        <v>227</v>
      </c>
      <c r="D39" s="89">
        <v>0.2</v>
      </c>
      <c r="E39" s="47">
        <v>3.1E-2</v>
      </c>
      <c r="F39" s="47">
        <v>1.6E-2</v>
      </c>
      <c r="G39" s="47">
        <v>1.4999999999999999E-2</v>
      </c>
      <c r="H39" s="47">
        <v>0.106</v>
      </c>
      <c r="I39" s="47">
        <v>9.8000000000000004E-2</v>
      </c>
      <c r="J39" s="47">
        <v>0.26600000000000001</v>
      </c>
      <c r="M39" s="50" t="s">
        <v>228</v>
      </c>
      <c r="N39" s="89" t="s">
        <v>229</v>
      </c>
      <c r="O39" s="47">
        <v>7.1999999999999995E-2</v>
      </c>
      <c r="P39" s="47">
        <v>8.3000000000000004E-2</v>
      </c>
      <c r="Q39" s="47">
        <v>9.4E-2</v>
      </c>
      <c r="R39" s="47">
        <v>-5.0000000000000001E-3</v>
      </c>
      <c r="S39" s="47">
        <v>7.3999999999999996E-2</v>
      </c>
      <c r="T39" s="47">
        <v>0.32700000000000001</v>
      </c>
    </row>
    <row r="40" spans="3:20">
      <c r="C40" s="50" t="s">
        <v>230</v>
      </c>
      <c r="D40" s="89">
        <v>0.2</v>
      </c>
      <c r="E40" s="47">
        <v>3.1E-2</v>
      </c>
      <c r="F40" s="47">
        <v>1.4999999999999999E-2</v>
      </c>
      <c r="G40" s="47">
        <v>1.4E-2</v>
      </c>
      <c r="H40" s="47">
        <v>0.104</v>
      </c>
      <c r="I40" s="47">
        <v>9.8000000000000004E-2</v>
      </c>
      <c r="J40" s="47">
        <v>0.26200000000000001</v>
      </c>
      <c r="M40" s="50" t="s">
        <v>231</v>
      </c>
      <c r="N40" s="89" t="s">
        <v>232</v>
      </c>
      <c r="O40" s="47">
        <v>6.6000000000000003E-2</v>
      </c>
      <c r="P40" s="47">
        <v>7.6999999999999999E-2</v>
      </c>
      <c r="Q40" s="47">
        <v>8.6999999999999994E-2</v>
      </c>
      <c r="R40" s="47">
        <v>-5.0000000000000001E-3</v>
      </c>
      <c r="S40" s="47">
        <v>7.3999999999999996E-2</v>
      </c>
      <c r="T40" s="47">
        <v>0.309</v>
      </c>
    </row>
    <row r="41" spans="3:20">
      <c r="C41" s="50" t="s">
        <v>233</v>
      </c>
      <c r="D41" s="89">
        <v>0.2</v>
      </c>
      <c r="E41" s="47">
        <v>0.03</v>
      </c>
      <c r="F41" s="47">
        <v>1.4E-2</v>
      </c>
      <c r="G41" s="47">
        <v>1.4E-2</v>
      </c>
      <c r="H41" s="47">
        <v>0.10100000000000001</v>
      </c>
      <c r="I41" s="47">
        <v>9.9000000000000005E-2</v>
      </c>
      <c r="J41" s="47">
        <v>0.25900000000000001</v>
      </c>
      <c r="M41" s="50" t="s">
        <v>234</v>
      </c>
      <c r="N41" s="89" t="s">
        <v>235</v>
      </c>
      <c r="O41" s="47">
        <v>0.06</v>
      </c>
      <c r="P41" s="47">
        <v>7.0000000000000007E-2</v>
      </c>
      <c r="Q41" s="47">
        <v>7.9000000000000001E-2</v>
      </c>
      <c r="R41" s="47">
        <v>-5.0000000000000001E-3</v>
      </c>
      <c r="S41" s="47">
        <v>7.4999999999999997E-2</v>
      </c>
      <c r="T41" s="47">
        <v>0.28899999999999998</v>
      </c>
    </row>
    <row r="42" spans="3:20">
      <c r="C42" s="50" t="s">
        <v>236</v>
      </c>
      <c r="D42" s="89">
        <v>0.2</v>
      </c>
      <c r="E42" s="47">
        <v>2.9000000000000001E-2</v>
      </c>
      <c r="F42" s="47">
        <v>1.4E-2</v>
      </c>
      <c r="G42" s="47">
        <v>1.4E-2</v>
      </c>
      <c r="H42" s="47">
        <v>9.8000000000000004E-2</v>
      </c>
      <c r="I42" s="47">
        <v>9.9000000000000005E-2</v>
      </c>
      <c r="J42" s="47">
        <v>0.254</v>
      </c>
      <c r="M42" s="50" t="s">
        <v>237</v>
      </c>
      <c r="N42" s="89" t="s">
        <v>238</v>
      </c>
      <c r="O42" s="47">
        <v>5.2999999999999999E-2</v>
      </c>
      <c r="P42" s="47">
        <v>6.2E-2</v>
      </c>
      <c r="Q42" s="47">
        <v>7.0000000000000007E-2</v>
      </c>
      <c r="R42" s="47">
        <v>-5.0000000000000001E-3</v>
      </c>
      <c r="S42" s="47">
        <v>7.5999999999999998E-2</v>
      </c>
      <c r="T42" s="47">
        <v>0.26500000000000001</v>
      </c>
    </row>
    <row r="43" spans="3:20">
      <c r="C43" s="50" t="s">
        <v>239</v>
      </c>
      <c r="D43" s="89">
        <v>0.2</v>
      </c>
      <c r="E43" s="47">
        <v>2.9000000000000001E-2</v>
      </c>
      <c r="F43" s="47">
        <v>1.2999999999999999E-2</v>
      </c>
      <c r="G43" s="47">
        <v>1.4E-2</v>
      </c>
      <c r="H43" s="47">
        <v>9.4E-2</v>
      </c>
      <c r="I43" s="47">
        <v>0.1</v>
      </c>
      <c r="J43" s="47">
        <v>0.25</v>
      </c>
      <c r="M43" s="50" t="s">
        <v>240</v>
      </c>
      <c r="N43" s="89" t="s">
        <v>241</v>
      </c>
      <c r="O43" s="47">
        <v>4.3999999999999997E-2</v>
      </c>
      <c r="P43" s="47">
        <v>5.1999999999999998E-2</v>
      </c>
      <c r="Q43" s="47">
        <v>5.8999999999999997E-2</v>
      </c>
      <c r="R43" s="47">
        <v>-5.0000000000000001E-3</v>
      </c>
      <c r="S43" s="47">
        <v>7.6999999999999999E-2</v>
      </c>
      <c r="T43" s="47">
        <v>0.23699999999999999</v>
      </c>
    </row>
    <row r="44" spans="3:20" ht="14.25" thickBot="1">
      <c r="C44" s="50" t="s">
        <v>242</v>
      </c>
      <c r="D44" s="89">
        <v>0.2</v>
      </c>
      <c r="E44" s="47">
        <v>2.8000000000000001E-2</v>
      </c>
      <c r="F44" s="47">
        <v>1.2999999999999999E-2</v>
      </c>
      <c r="G44" s="47">
        <v>1.2999999999999999E-2</v>
      </c>
      <c r="H44" s="47">
        <v>0.09</v>
      </c>
      <c r="I44" s="47">
        <v>0.10100000000000001</v>
      </c>
      <c r="J44" s="47">
        <v>0.245</v>
      </c>
      <c r="M44" s="50" t="s">
        <v>243</v>
      </c>
      <c r="N44" s="89">
        <v>0.9</v>
      </c>
      <c r="O44" s="47">
        <v>3.4000000000000002E-2</v>
      </c>
      <c r="P44" s="47">
        <v>4.1000000000000002E-2</v>
      </c>
      <c r="Q44" s="47">
        <v>4.5999999999999999E-2</v>
      </c>
      <c r="R44" s="47">
        <v>-5.0000000000000001E-3</v>
      </c>
      <c r="S44" s="47">
        <v>7.8E-2</v>
      </c>
      <c r="T44" s="47">
        <v>0.20399999999999999</v>
      </c>
    </row>
    <row r="45" spans="3:20" ht="14.25" customHeight="1" thickBot="1">
      <c r="C45" s="52" t="s">
        <v>244</v>
      </c>
      <c r="D45" s="151">
        <v>0.2</v>
      </c>
      <c r="E45" s="48">
        <v>2.7E-2</v>
      </c>
      <c r="F45" s="48">
        <v>1.2E-2</v>
      </c>
      <c r="G45" s="48">
        <v>1.2999999999999999E-2</v>
      </c>
      <c r="H45" s="48">
        <v>8.5999999999999993E-2</v>
      </c>
      <c r="I45" s="48">
        <v>0.10199999999999999</v>
      </c>
      <c r="J45" s="49">
        <v>0.23899999999999999</v>
      </c>
      <c r="M45" s="50" t="s">
        <v>245</v>
      </c>
      <c r="N45" s="89">
        <v>0.9</v>
      </c>
      <c r="O45" s="47">
        <v>2.1999999999999999E-2</v>
      </c>
      <c r="P45" s="47">
        <v>2.8000000000000001E-2</v>
      </c>
      <c r="Q45" s="47">
        <v>0.03</v>
      </c>
      <c r="R45" s="47">
        <v>-5.0000000000000001E-3</v>
      </c>
      <c r="S45" s="47">
        <v>7.9000000000000001E-2</v>
      </c>
      <c r="T45" s="47">
        <v>0.16400000000000001</v>
      </c>
    </row>
    <row r="46" spans="3:20" ht="14.25" customHeight="1">
      <c r="C46" s="50" t="s">
        <v>246</v>
      </c>
      <c r="D46" s="89">
        <v>0.2</v>
      </c>
      <c r="E46" s="47">
        <v>0.04</v>
      </c>
      <c r="F46" s="47">
        <v>1.7999999999999999E-2</v>
      </c>
      <c r="G46" s="47">
        <v>1.6E-2</v>
      </c>
      <c r="H46" s="47">
        <v>0.16200000000000001</v>
      </c>
      <c r="I46" s="47">
        <v>-9.8000000000000004E-2</v>
      </c>
      <c r="J46" s="47">
        <v>0.33300000000000002</v>
      </c>
      <c r="M46" s="50" t="s">
        <v>247</v>
      </c>
      <c r="N46" s="89">
        <v>0.9</v>
      </c>
      <c r="O46" s="47">
        <v>7.0000000000000001E-3</v>
      </c>
      <c r="P46" s="47">
        <v>0.01</v>
      </c>
      <c r="Q46" s="47">
        <v>0.01</v>
      </c>
      <c r="R46" s="47">
        <v>-5.0000000000000001E-3</v>
      </c>
      <c r="S46" s="47">
        <v>8.1000000000000003E-2</v>
      </c>
      <c r="T46" s="47">
        <v>0.113</v>
      </c>
    </row>
    <row r="47" spans="3:20">
      <c r="C47" s="50" t="s">
        <v>248</v>
      </c>
      <c r="D47" s="89">
        <v>0.2</v>
      </c>
      <c r="E47" s="47">
        <v>4.1000000000000002E-2</v>
      </c>
      <c r="F47" s="47">
        <v>1.7999999999999999E-2</v>
      </c>
      <c r="G47" s="47">
        <v>1.6E-2</v>
      </c>
      <c r="H47" s="47">
        <v>0.16600000000000001</v>
      </c>
      <c r="I47" s="47">
        <v>-9.9000000000000005E-2</v>
      </c>
      <c r="J47" s="47">
        <v>0.33900000000000002</v>
      </c>
      <c r="M47" s="50" t="s">
        <v>249</v>
      </c>
      <c r="N47" s="89">
        <v>0.9</v>
      </c>
      <c r="O47" s="47">
        <v>-1.4E-2</v>
      </c>
      <c r="P47" s="47">
        <v>-1.2E-2</v>
      </c>
      <c r="Q47" s="47">
        <v>-1.7000000000000001E-2</v>
      </c>
      <c r="R47" s="47">
        <v>-5.0000000000000001E-3</v>
      </c>
      <c r="S47" s="47">
        <v>8.4000000000000005E-2</v>
      </c>
      <c r="T47" s="47">
        <v>0.13100000000000001</v>
      </c>
    </row>
    <row r="48" spans="3:20">
      <c r="C48" s="50" t="s">
        <v>250</v>
      </c>
      <c r="D48" s="89">
        <v>0.2</v>
      </c>
      <c r="E48" s="47">
        <v>4.1000000000000002E-2</v>
      </c>
      <c r="F48" s="47">
        <v>1.7000000000000001E-2</v>
      </c>
      <c r="G48" s="47">
        <v>1.6E-2</v>
      </c>
      <c r="H48" s="47">
        <v>0.16800000000000001</v>
      </c>
      <c r="I48" s="47">
        <v>-0.1</v>
      </c>
      <c r="J48" s="47">
        <v>0.34300000000000003</v>
      </c>
      <c r="M48" s="50" t="s">
        <v>251</v>
      </c>
      <c r="N48" s="89">
        <v>0.9</v>
      </c>
      <c r="O48" s="47">
        <v>-3.2000000000000001E-2</v>
      </c>
      <c r="P48" s="47">
        <v>-3.3000000000000002E-2</v>
      </c>
      <c r="Q48" s="47">
        <v>-0.04</v>
      </c>
      <c r="R48" s="47">
        <v>-5.0000000000000001E-3</v>
      </c>
      <c r="S48" s="47">
        <v>8.5999999999999993E-2</v>
      </c>
      <c r="T48" s="47">
        <v>0.19700000000000001</v>
      </c>
    </row>
    <row r="49" spans="3:20">
      <c r="C49" s="50" t="s">
        <v>252</v>
      </c>
      <c r="D49" s="89">
        <v>0.2</v>
      </c>
      <c r="E49" s="47">
        <v>4.1000000000000002E-2</v>
      </c>
      <c r="F49" s="47">
        <v>1.7000000000000001E-2</v>
      </c>
      <c r="G49" s="47">
        <v>1.6E-2</v>
      </c>
      <c r="H49" s="47">
        <v>0.17</v>
      </c>
      <c r="I49" s="47">
        <v>-0.10100000000000001</v>
      </c>
      <c r="J49" s="47">
        <v>0.34499999999999997</v>
      </c>
      <c r="M49" s="50" t="s">
        <v>253</v>
      </c>
      <c r="N49" s="89">
        <v>0.9</v>
      </c>
      <c r="O49" s="47">
        <v>-4.2999999999999997E-2</v>
      </c>
      <c r="P49" s="47">
        <v>-4.4999999999999998E-2</v>
      </c>
      <c r="Q49" s="47">
        <v>-5.3999999999999999E-2</v>
      </c>
      <c r="R49" s="47">
        <v>-5.0000000000000001E-3</v>
      </c>
      <c r="S49" s="47">
        <v>8.7999999999999995E-2</v>
      </c>
      <c r="T49" s="47">
        <v>0.23499999999999999</v>
      </c>
    </row>
    <row r="50" spans="3:20">
      <c r="C50" s="50" t="s">
        <v>254</v>
      </c>
      <c r="D50" s="89">
        <v>0.2</v>
      </c>
      <c r="E50" s="47">
        <v>4.1000000000000002E-2</v>
      </c>
      <c r="F50" s="47">
        <v>1.6E-2</v>
      </c>
      <c r="G50" s="47">
        <v>1.4999999999999999E-2</v>
      </c>
      <c r="H50" s="47">
        <v>0.17199999999999999</v>
      </c>
      <c r="I50" s="47">
        <v>-0.10199999999999999</v>
      </c>
      <c r="J50" s="47">
        <v>0.34599999999999997</v>
      </c>
      <c r="M50" s="50" t="s">
        <v>255</v>
      </c>
      <c r="N50" s="89">
        <v>0.9</v>
      </c>
      <c r="O50" s="47">
        <v>-0.05</v>
      </c>
      <c r="P50" s="47">
        <v>-5.1999999999999998E-2</v>
      </c>
      <c r="Q50" s="47">
        <v>-6.3E-2</v>
      </c>
      <c r="R50" s="47">
        <v>-5.0000000000000001E-3</v>
      </c>
      <c r="S50" s="47">
        <v>8.8999999999999996E-2</v>
      </c>
      <c r="T50" s="47">
        <v>0.25900000000000001</v>
      </c>
    </row>
    <row r="51" spans="3:20">
      <c r="C51" s="50" t="s">
        <v>256</v>
      </c>
      <c r="D51" s="89">
        <v>0.2</v>
      </c>
      <c r="E51" s="47">
        <v>4.1000000000000002E-2</v>
      </c>
      <c r="F51" s="47">
        <v>1.6E-2</v>
      </c>
      <c r="G51" s="47">
        <v>1.4999999999999999E-2</v>
      </c>
      <c r="H51" s="47">
        <v>0.17299999999999999</v>
      </c>
      <c r="I51" s="47">
        <v>-0.10199999999999999</v>
      </c>
      <c r="J51" s="47">
        <v>0.34699999999999998</v>
      </c>
      <c r="M51" s="50" t="s">
        <v>257</v>
      </c>
      <c r="N51" s="89">
        <v>0.9</v>
      </c>
      <c r="O51" s="47">
        <v>-5.3999999999999999E-2</v>
      </c>
      <c r="P51" s="47">
        <v>-5.7000000000000002E-2</v>
      </c>
      <c r="Q51" s="47">
        <v>-6.8000000000000005E-2</v>
      </c>
      <c r="R51" s="47">
        <v>-5.0000000000000001E-3</v>
      </c>
      <c r="S51" s="47">
        <v>0.09</v>
      </c>
      <c r="T51" s="47">
        <v>0.27400000000000002</v>
      </c>
    </row>
    <row r="52" spans="3:20">
      <c r="C52" s="50" t="s">
        <v>258</v>
      </c>
      <c r="D52" s="89">
        <v>0.2</v>
      </c>
      <c r="E52" s="47">
        <v>4.1000000000000002E-2</v>
      </c>
      <c r="F52" s="47">
        <v>1.4999999999999999E-2</v>
      </c>
      <c r="G52" s="47">
        <v>1.4999999999999999E-2</v>
      </c>
      <c r="H52" s="47">
        <v>0.17299999999999999</v>
      </c>
      <c r="I52" s="47">
        <v>-0.10199999999999999</v>
      </c>
      <c r="J52" s="47">
        <v>0.34599999999999997</v>
      </c>
      <c r="M52" s="50" t="s">
        <v>259</v>
      </c>
      <c r="N52" s="89">
        <v>0.9</v>
      </c>
      <c r="O52" s="47">
        <v>-5.7000000000000002E-2</v>
      </c>
      <c r="P52" s="47">
        <v>-0.06</v>
      </c>
      <c r="Q52" s="47">
        <v>-7.1999999999999995E-2</v>
      </c>
      <c r="R52" s="47">
        <v>-5.0000000000000001E-3</v>
      </c>
      <c r="S52" s="47">
        <v>9.0999999999999998E-2</v>
      </c>
      <c r="T52" s="47">
        <v>0.28499999999999998</v>
      </c>
    </row>
    <row r="53" spans="3:20">
      <c r="C53" s="50" t="s">
        <v>260</v>
      </c>
      <c r="D53" s="89">
        <v>0.2</v>
      </c>
      <c r="E53" s="47">
        <v>4.1000000000000002E-2</v>
      </c>
      <c r="F53" s="47">
        <v>1.4999999999999999E-2</v>
      </c>
      <c r="G53" s="47">
        <v>1.4E-2</v>
      </c>
      <c r="H53" s="47">
        <v>0.17299999999999999</v>
      </c>
      <c r="I53" s="47">
        <v>-0.10199999999999999</v>
      </c>
      <c r="J53" s="47">
        <v>0.34499999999999997</v>
      </c>
      <c r="M53" s="50" t="s">
        <v>261</v>
      </c>
      <c r="N53" s="89">
        <v>0.9</v>
      </c>
      <c r="O53" s="47">
        <v>-5.8999999999999997E-2</v>
      </c>
      <c r="P53" s="47">
        <v>-6.2E-2</v>
      </c>
      <c r="Q53" s="47">
        <v>-7.4999999999999997E-2</v>
      </c>
      <c r="R53" s="47">
        <v>-5.0000000000000001E-3</v>
      </c>
      <c r="S53" s="47">
        <v>9.0999999999999998E-2</v>
      </c>
      <c r="T53" s="47">
        <v>0.29199999999999998</v>
      </c>
    </row>
    <row r="54" spans="3:20">
      <c r="C54" s="50" t="s">
        <v>262</v>
      </c>
      <c r="D54" s="89">
        <v>0.2</v>
      </c>
      <c r="E54" s="47">
        <v>0.04</v>
      </c>
      <c r="F54" s="47">
        <v>1.4E-2</v>
      </c>
      <c r="G54" s="47">
        <v>1.4E-2</v>
      </c>
      <c r="H54" s="47">
        <v>0.17199999999999999</v>
      </c>
      <c r="I54" s="47">
        <v>-0.10100000000000001</v>
      </c>
      <c r="J54" s="47">
        <v>0.34200000000000003</v>
      </c>
      <c r="M54" s="51" t="s">
        <v>263</v>
      </c>
      <c r="N54" s="152">
        <v>0.9</v>
      </c>
      <c r="O54" s="55">
        <v>-0.06</v>
      </c>
      <c r="P54" s="55">
        <v>-6.3E-2</v>
      </c>
      <c r="Q54" s="55">
        <v>-7.5999999999999998E-2</v>
      </c>
      <c r="R54" s="55">
        <v>-5.0000000000000001E-3</v>
      </c>
      <c r="S54" s="55">
        <v>9.0999999999999998E-2</v>
      </c>
      <c r="T54" s="55">
        <v>0.29599999999999999</v>
      </c>
    </row>
    <row r="55" spans="3:20">
      <c r="C55" s="51" t="s">
        <v>264</v>
      </c>
      <c r="D55" s="152">
        <v>0.2</v>
      </c>
      <c r="E55" s="55">
        <v>3.9E-2</v>
      </c>
      <c r="F55" s="55">
        <v>1.2999999999999999E-2</v>
      </c>
      <c r="G55" s="55">
        <v>1.4E-2</v>
      </c>
      <c r="H55" s="55">
        <v>0.17</v>
      </c>
      <c r="I55" s="55">
        <v>-0.10100000000000001</v>
      </c>
      <c r="J55" s="55">
        <v>0.33700000000000002</v>
      </c>
      <c r="M55" s="232" t="s">
        <v>265</v>
      </c>
      <c r="N55" s="233"/>
      <c r="O55" s="233"/>
      <c r="P55" s="233"/>
      <c r="Q55" s="233"/>
      <c r="R55" s="233"/>
      <c r="S55" s="233"/>
      <c r="T55" s="233"/>
    </row>
    <row r="56" spans="3:20">
      <c r="C56" s="235" t="s">
        <v>266</v>
      </c>
      <c r="D56" s="236"/>
      <c r="E56" s="236"/>
      <c r="F56" s="236"/>
      <c r="G56" s="236"/>
      <c r="H56" s="236"/>
      <c r="I56" s="236"/>
      <c r="J56" s="236"/>
      <c r="M56" s="234"/>
      <c r="N56" s="234"/>
      <c r="O56" s="234"/>
      <c r="P56" s="234"/>
      <c r="Q56" s="234"/>
      <c r="R56" s="234"/>
      <c r="S56" s="234"/>
      <c r="T56" s="234"/>
    </row>
    <row r="57" spans="3:20">
      <c r="C57" s="237"/>
      <c r="D57" s="237"/>
      <c r="E57" s="237"/>
      <c r="F57" s="237"/>
      <c r="G57" s="237"/>
      <c r="H57" s="237"/>
      <c r="I57" s="237"/>
      <c r="J57" s="237"/>
      <c r="M57" s="234"/>
      <c r="N57" s="234"/>
      <c r="O57" s="234"/>
      <c r="P57" s="234"/>
      <c r="Q57" s="234"/>
      <c r="R57" s="234"/>
      <c r="S57" s="234"/>
      <c r="T57" s="234"/>
    </row>
    <row r="58" spans="3:20">
      <c r="C58" s="237"/>
      <c r="D58" s="237"/>
      <c r="E58" s="237"/>
      <c r="F58" s="237"/>
      <c r="G58" s="237"/>
      <c r="H58" s="237"/>
      <c r="I58" s="237"/>
      <c r="J58" s="237"/>
      <c r="M58" s="86"/>
      <c r="N58" s="153"/>
      <c r="O58" s="86"/>
      <c r="P58" s="86"/>
      <c r="Q58" s="86"/>
      <c r="R58" s="86"/>
      <c r="S58" s="86"/>
      <c r="T58" s="86"/>
    </row>
    <row r="59" spans="3:20">
      <c r="C59" s="237"/>
      <c r="D59" s="237"/>
      <c r="E59" s="237"/>
      <c r="F59" s="237"/>
      <c r="G59" s="237"/>
      <c r="H59" s="237"/>
      <c r="I59" s="237"/>
      <c r="J59" s="237"/>
    </row>
  </sheetData>
  <mergeCells count="6">
    <mergeCell ref="C3:C4"/>
    <mergeCell ref="D3:D4"/>
    <mergeCell ref="M3:M4"/>
    <mergeCell ref="N3:N4"/>
    <mergeCell ref="M55:T57"/>
    <mergeCell ref="C56:J59"/>
  </mergeCells>
  <phoneticPr fontId="5"/>
  <conditionalFormatting sqref="O5:S54 E5:I55">
    <cfRule type="expression" dxfId="1" priority="1" stopIfTrue="1">
      <formula>ABS(E5) &lt;= 0.2</formula>
    </cfRule>
    <cfRule type="expression" dxfId="0" priority="2">
      <formula>ABS(E5) &lt;= 0.3</formula>
    </cfRule>
  </conditionalFormatting>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FD27B-6F89-4115-8129-05ED1603CEF2}">
  <sheetPr codeName="Sheet32"/>
  <dimension ref="C1:L58"/>
  <sheetViews>
    <sheetView showGridLines="0" zoomScale="90" zoomScaleNormal="90" workbookViewId="0">
      <selection activeCell="I40" sqref="I40"/>
    </sheetView>
  </sheetViews>
  <sheetFormatPr defaultColWidth="11.42578125" defaultRowHeight="13.5"/>
  <cols>
    <col min="1" max="1" width="3.85546875" style="6" customWidth="1"/>
    <col min="2" max="2" width="4.42578125" style="6" customWidth="1"/>
    <col min="3" max="3" width="26.5703125" style="6" customWidth="1"/>
    <col min="4" max="4" width="19.140625" style="94" customWidth="1"/>
    <col min="5" max="5" width="34.7109375" style="32" customWidth="1"/>
    <col min="6" max="6" width="11.42578125" style="6"/>
    <col min="7" max="7" width="5.85546875" style="6" customWidth="1"/>
    <col min="8" max="8" width="27.140625" style="6" customWidth="1"/>
    <col min="9" max="9" width="17.5703125" style="94" customWidth="1"/>
    <col min="10" max="10" width="31.7109375" style="32" customWidth="1"/>
    <col min="11" max="16384" width="11.42578125" style="6"/>
  </cols>
  <sheetData>
    <row r="1" spans="3:12">
      <c r="C1" s="57" t="s">
        <v>679</v>
      </c>
    </row>
    <row r="2" spans="3:12">
      <c r="L2" s="87"/>
    </row>
    <row r="3" spans="3:12">
      <c r="C3" s="38" t="s">
        <v>153</v>
      </c>
      <c r="D3" s="95" t="s">
        <v>267</v>
      </c>
      <c r="E3" s="91" t="s">
        <v>268</v>
      </c>
      <c r="F3" s="8"/>
      <c r="G3" s="8"/>
      <c r="H3" s="46" t="s">
        <v>153</v>
      </c>
      <c r="I3" s="95" t="s">
        <v>267</v>
      </c>
      <c r="J3" s="93" t="s">
        <v>268</v>
      </c>
    </row>
    <row r="4" spans="3:12">
      <c r="C4" s="6" t="s">
        <v>159</v>
      </c>
      <c r="D4" s="94">
        <v>-16.1965</v>
      </c>
      <c r="E4" s="32" t="s">
        <v>269</v>
      </c>
      <c r="H4" s="50" t="s">
        <v>160</v>
      </c>
      <c r="I4" s="94">
        <v>-8.5847999999999995</v>
      </c>
      <c r="J4" s="32" t="s">
        <v>270</v>
      </c>
    </row>
    <row r="5" spans="3:12">
      <c r="C5" s="6" t="s">
        <v>161</v>
      </c>
      <c r="D5" s="94">
        <v>-16.047599999999999</v>
      </c>
      <c r="E5" s="32" t="s">
        <v>271</v>
      </c>
      <c r="H5" s="50" t="s">
        <v>162</v>
      </c>
      <c r="I5" s="94">
        <v>-8.4350000000000005</v>
      </c>
      <c r="J5" s="32" t="s">
        <v>272</v>
      </c>
    </row>
    <row r="6" spans="3:12">
      <c r="C6" s="6" t="s">
        <v>163</v>
      </c>
      <c r="D6" s="94">
        <v>-15.8987</v>
      </c>
      <c r="E6" s="32" t="s">
        <v>273</v>
      </c>
      <c r="H6" s="50" t="s">
        <v>164</v>
      </c>
      <c r="I6" s="94">
        <v>-8.2850999999999999</v>
      </c>
      <c r="J6" s="32" t="s">
        <v>274</v>
      </c>
    </row>
    <row r="7" spans="3:12">
      <c r="C7" s="6" t="s">
        <v>165</v>
      </c>
      <c r="D7" s="94">
        <v>-15.749700000000001</v>
      </c>
      <c r="E7" s="32" t="s">
        <v>275</v>
      </c>
      <c r="H7" s="50" t="s">
        <v>166</v>
      </c>
      <c r="I7" s="94">
        <v>-8.1351999999999993</v>
      </c>
      <c r="J7" s="32" t="s">
        <v>276</v>
      </c>
    </row>
    <row r="8" spans="3:12">
      <c r="C8" s="50" t="s">
        <v>167</v>
      </c>
      <c r="D8" s="94">
        <v>-15.6008</v>
      </c>
      <c r="E8" s="32" t="s">
        <v>277</v>
      </c>
      <c r="H8" s="50" t="s">
        <v>168</v>
      </c>
      <c r="I8" s="94">
        <v>-7.9851999999999999</v>
      </c>
      <c r="J8" s="32" t="s">
        <v>278</v>
      </c>
    </row>
    <row r="9" spans="3:12">
      <c r="C9" s="6" t="s">
        <v>169</v>
      </c>
      <c r="D9" s="94">
        <v>-15.4518</v>
      </c>
      <c r="E9" s="32" t="s">
        <v>279</v>
      </c>
      <c r="H9" s="50" t="s">
        <v>170</v>
      </c>
      <c r="I9" s="94">
        <v>-7.8352000000000004</v>
      </c>
      <c r="J9" s="32" t="s">
        <v>280</v>
      </c>
    </row>
    <row r="10" spans="3:12">
      <c r="C10" s="50" t="s">
        <v>171</v>
      </c>
      <c r="D10" s="94">
        <v>-15.3028</v>
      </c>
      <c r="E10" s="32" t="s">
        <v>281</v>
      </c>
      <c r="H10" s="50" t="s">
        <v>172</v>
      </c>
      <c r="I10" s="94">
        <v>-7.6851000000000003</v>
      </c>
      <c r="J10" s="32" t="s">
        <v>282</v>
      </c>
    </row>
    <row r="11" spans="3:12">
      <c r="C11" s="50" t="s">
        <v>173</v>
      </c>
      <c r="D11" s="94">
        <v>-15.1538</v>
      </c>
      <c r="E11" s="32" t="s">
        <v>283</v>
      </c>
      <c r="H11" s="50" t="s">
        <v>174</v>
      </c>
      <c r="I11" s="94">
        <v>-7.5349000000000004</v>
      </c>
      <c r="J11" s="32" t="s">
        <v>284</v>
      </c>
    </row>
    <row r="12" spans="3:12">
      <c r="C12" s="50" t="s">
        <v>175</v>
      </c>
      <c r="D12" s="94">
        <v>-15.004799999999999</v>
      </c>
      <c r="E12" s="32" t="s">
        <v>285</v>
      </c>
      <c r="H12" s="50" t="s">
        <v>176</v>
      </c>
      <c r="I12" s="94">
        <v>-7.3846999999999996</v>
      </c>
      <c r="J12" s="32" t="s">
        <v>286</v>
      </c>
    </row>
    <row r="13" spans="3:12">
      <c r="C13" s="6" t="s">
        <v>177</v>
      </c>
      <c r="D13" s="94">
        <v>-14.8558</v>
      </c>
      <c r="E13" s="32" t="s">
        <v>287</v>
      </c>
      <c r="H13" s="85" t="s">
        <v>178</v>
      </c>
      <c r="I13" s="94">
        <v>-7.2343999999999999</v>
      </c>
      <c r="J13" s="32" t="s">
        <v>288</v>
      </c>
    </row>
    <row r="14" spans="3:12">
      <c r="C14" s="57" t="s">
        <v>179</v>
      </c>
      <c r="D14" s="94">
        <v>-14.706799999999999</v>
      </c>
      <c r="E14" s="32" t="s">
        <v>289</v>
      </c>
      <c r="H14" s="50" t="s">
        <v>180</v>
      </c>
      <c r="I14" s="94">
        <v>-7.0841000000000003</v>
      </c>
      <c r="J14" s="32" t="s">
        <v>290</v>
      </c>
    </row>
    <row r="15" spans="3:12">
      <c r="C15" s="50" t="s">
        <v>181</v>
      </c>
      <c r="D15" s="94">
        <v>-14.5578</v>
      </c>
      <c r="E15" s="32" t="s">
        <v>291</v>
      </c>
      <c r="H15" s="50" t="s">
        <v>182</v>
      </c>
      <c r="I15" s="94">
        <v>-6.9337</v>
      </c>
      <c r="J15" s="32" t="s">
        <v>292</v>
      </c>
    </row>
    <row r="16" spans="3:12">
      <c r="C16" s="50" t="s">
        <v>183</v>
      </c>
      <c r="D16" s="94">
        <v>-14.408799999999999</v>
      </c>
      <c r="E16" s="32" t="s">
        <v>293</v>
      </c>
      <c r="H16" s="6" t="s">
        <v>184</v>
      </c>
      <c r="I16" s="94">
        <v>-6.7831000000000001</v>
      </c>
      <c r="J16" s="32" t="s">
        <v>294</v>
      </c>
    </row>
    <row r="17" spans="3:10">
      <c r="C17" s="50" t="s">
        <v>185</v>
      </c>
      <c r="D17" s="94">
        <v>-14.2598</v>
      </c>
      <c r="E17" s="32" t="s">
        <v>295</v>
      </c>
      <c r="H17" s="6" t="s">
        <v>186</v>
      </c>
      <c r="I17" s="94">
        <v>-6.6325000000000003</v>
      </c>
      <c r="J17" s="32" t="s">
        <v>296</v>
      </c>
    </row>
    <row r="18" spans="3:10">
      <c r="C18" s="6" t="s">
        <v>187</v>
      </c>
      <c r="D18" s="94">
        <v>-14.1107</v>
      </c>
      <c r="E18" s="32" t="s">
        <v>297</v>
      </c>
      <c r="H18" s="6" t="s">
        <v>188</v>
      </c>
      <c r="I18" s="94">
        <v>-6.4817999999999998</v>
      </c>
      <c r="J18" s="32" t="s">
        <v>298</v>
      </c>
    </row>
    <row r="19" spans="3:10">
      <c r="C19" s="6" t="s">
        <v>189</v>
      </c>
      <c r="D19" s="94">
        <v>-13.9617</v>
      </c>
      <c r="E19" s="32" t="s">
        <v>299</v>
      </c>
      <c r="H19" s="6" t="s">
        <v>190</v>
      </c>
      <c r="I19" s="94">
        <v>-6.3310000000000004</v>
      </c>
      <c r="J19" s="32" t="s">
        <v>300</v>
      </c>
    </row>
    <row r="20" spans="3:10">
      <c r="C20" s="50" t="s">
        <v>191</v>
      </c>
      <c r="D20" s="94">
        <v>-13.8126</v>
      </c>
      <c r="E20" s="32" t="s">
        <v>301</v>
      </c>
      <c r="H20" s="6" t="s">
        <v>192</v>
      </c>
      <c r="I20" s="94">
        <v>-6.1801000000000004</v>
      </c>
      <c r="J20" s="32" t="s">
        <v>302</v>
      </c>
    </row>
    <row r="21" spans="3:10">
      <c r="C21" s="50" t="s">
        <v>193</v>
      </c>
      <c r="D21" s="94">
        <v>-13.663500000000001</v>
      </c>
      <c r="E21" s="32" t="s">
        <v>303</v>
      </c>
      <c r="H21" s="6" t="s">
        <v>194</v>
      </c>
      <c r="I21" s="94">
        <v>-6.0290999999999997</v>
      </c>
      <c r="J21" s="32" t="s">
        <v>304</v>
      </c>
    </row>
    <row r="22" spans="3:10">
      <c r="C22" s="50" t="s">
        <v>195</v>
      </c>
      <c r="D22" s="94">
        <v>-13.5144</v>
      </c>
      <c r="E22" s="32" t="s">
        <v>305</v>
      </c>
      <c r="H22" s="6" t="s">
        <v>196</v>
      </c>
      <c r="I22" s="94">
        <v>-5.8779000000000003</v>
      </c>
      <c r="J22" s="32" t="s">
        <v>306</v>
      </c>
    </row>
    <row r="23" spans="3:10">
      <c r="C23" s="6" t="s">
        <v>197</v>
      </c>
      <c r="D23" s="94">
        <v>-13.3653</v>
      </c>
      <c r="E23" s="32" t="s">
        <v>307</v>
      </c>
      <c r="H23" s="57" t="s">
        <v>198</v>
      </c>
      <c r="I23" s="94">
        <v>-5.7266000000000004</v>
      </c>
      <c r="J23" s="32" t="s">
        <v>308</v>
      </c>
    </row>
    <row r="24" spans="3:10">
      <c r="C24" s="57" t="s">
        <v>199</v>
      </c>
      <c r="D24" s="94">
        <v>-13.216200000000001</v>
      </c>
      <c r="E24" s="32" t="s">
        <v>309</v>
      </c>
      <c r="H24" s="6" t="s">
        <v>200</v>
      </c>
      <c r="I24" s="94">
        <v>-5.5750999999999999</v>
      </c>
      <c r="J24" s="32" t="s">
        <v>310</v>
      </c>
    </row>
    <row r="25" spans="3:10">
      <c r="C25" s="6" t="s">
        <v>201</v>
      </c>
      <c r="D25" s="94">
        <v>-13.0671</v>
      </c>
      <c r="E25" s="32" t="s">
        <v>311</v>
      </c>
      <c r="H25" s="6" t="s">
        <v>202</v>
      </c>
      <c r="I25" s="94">
        <v>-5.4234999999999998</v>
      </c>
      <c r="J25" s="32" t="s">
        <v>312</v>
      </c>
    </row>
    <row r="26" spans="3:10">
      <c r="C26" s="6" t="s">
        <v>203</v>
      </c>
      <c r="D26" s="94">
        <v>-12.917899999999999</v>
      </c>
      <c r="E26" s="32" t="s">
        <v>313</v>
      </c>
      <c r="H26" s="6" t="s">
        <v>204</v>
      </c>
      <c r="I26" s="94">
        <v>-5.2716000000000003</v>
      </c>
      <c r="J26" s="32" t="s">
        <v>314</v>
      </c>
    </row>
    <row r="27" spans="3:10">
      <c r="C27" s="50" t="s">
        <v>205</v>
      </c>
      <c r="D27" s="94">
        <v>-12.768800000000001</v>
      </c>
      <c r="E27" s="32" t="s">
        <v>315</v>
      </c>
      <c r="H27" s="6" t="s">
        <v>206</v>
      </c>
      <c r="I27" s="94">
        <v>-5.1196000000000002</v>
      </c>
      <c r="J27" s="32" t="s">
        <v>316</v>
      </c>
    </row>
    <row r="28" spans="3:10">
      <c r="C28" s="50" t="s">
        <v>207</v>
      </c>
      <c r="D28" s="94">
        <v>-12.6196</v>
      </c>
      <c r="E28" s="32" t="s">
        <v>317</v>
      </c>
      <c r="H28" s="6" t="s">
        <v>208</v>
      </c>
      <c r="I28" s="94">
        <v>-4.9672000000000001</v>
      </c>
      <c r="J28" s="32" t="s">
        <v>318</v>
      </c>
    </row>
    <row r="29" spans="3:10">
      <c r="C29" s="50" t="s">
        <v>209</v>
      </c>
      <c r="D29" s="94">
        <v>-12.4704</v>
      </c>
      <c r="E29" s="32" t="s">
        <v>319</v>
      </c>
      <c r="H29" s="6" t="s">
        <v>210</v>
      </c>
      <c r="I29" s="94">
        <v>-4.8147000000000002</v>
      </c>
      <c r="J29" s="32" t="s">
        <v>320</v>
      </c>
    </row>
    <row r="30" spans="3:10">
      <c r="C30" s="50" t="s">
        <v>211</v>
      </c>
      <c r="D30" s="94">
        <v>-12.321300000000001</v>
      </c>
      <c r="E30" s="32" t="s">
        <v>321</v>
      </c>
      <c r="H30" s="6" t="s">
        <v>212</v>
      </c>
      <c r="I30" s="94">
        <v>-4.6618000000000004</v>
      </c>
      <c r="J30" s="32" t="s">
        <v>322</v>
      </c>
    </row>
    <row r="31" spans="3:10">
      <c r="C31" s="50" t="s">
        <v>213</v>
      </c>
      <c r="D31" s="94">
        <v>-12.172000000000001</v>
      </c>
      <c r="E31" s="32" t="s">
        <v>323</v>
      </c>
      <c r="H31" s="6" t="s">
        <v>214</v>
      </c>
      <c r="I31" s="94">
        <v>-4.5086000000000004</v>
      </c>
      <c r="J31" s="32" t="s">
        <v>324</v>
      </c>
    </row>
    <row r="32" spans="3:10">
      <c r="C32" s="50" t="s">
        <v>215</v>
      </c>
      <c r="D32" s="94">
        <v>-12.0228</v>
      </c>
      <c r="E32" s="32" t="s">
        <v>325</v>
      </c>
      <c r="H32" s="6" t="s">
        <v>216</v>
      </c>
      <c r="I32" s="94">
        <v>-4.3550000000000004</v>
      </c>
      <c r="J32" s="32" t="s">
        <v>326</v>
      </c>
    </row>
    <row r="33" spans="3:10">
      <c r="C33" s="50" t="s">
        <v>217</v>
      </c>
      <c r="D33" s="94">
        <v>-11.8736</v>
      </c>
      <c r="E33" s="32" t="s">
        <v>327</v>
      </c>
      <c r="H33" s="57" t="s">
        <v>218</v>
      </c>
      <c r="I33" s="94">
        <v>-4.2008999999999999</v>
      </c>
      <c r="J33" s="32" t="s">
        <v>328</v>
      </c>
    </row>
    <row r="34" spans="3:10">
      <c r="C34" s="85" t="s">
        <v>219</v>
      </c>
      <c r="D34" s="94">
        <v>-11.724299999999999</v>
      </c>
      <c r="E34" s="32" t="s">
        <v>329</v>
      </c>
      <c r="H34" s="6" t="s">
        <v>220</v>
      </c>
      <c r="I34" s="94">
        <v>-4.0462999999999996</v>
      </c>
      <c r="J34" s="32" t="s">
        <v>330</v>
      </c>
    </row>
    <row r="35" spans="3:10">
      <c r="C35" s="50" t="s">
        <v>221</v>
      </c>
      <c r="D35" s="94">
        <v>-11.575100000000001</v>
      </c>
      <c r="E35" s="32" t="s">
        <v>331</v>
      </c>
      <c r="H35" s="6" t="s">
        <v>222</v>
      </c>
      <c r="I35" s="94">
        <v>-3.8912</v>
      </c>
      <c r="J35" s="32" t="s">
        <v>332</v>
      </c>
    </row>
    <row r="36" spans="3:10">
      <c r="C36" s="50" t="s">
        <v>223</v>
      </c>
      <c r="D36" s="94">
        <v>-11.425800000000001</v>
      </c>
      <c r="E36" s="32" t="s">
        <v>333</v>
      </c>
      <c r="H36" s="6" t="s">
        <v>224</v>
      </c>
      <c r="I36" s="94">
        <v>-3.7353000000000001</v>
      </c>
      <c r="J36" s="32" t="s">
        <v>334</v>
      </c>
    </row>
    <row r="37" spans="3:10">
      <c r="C37" s="50" t="s">
        <v>225</v>
      </c>
      <c r="D37" s="94">
        <v>-11.2765</v>
      </c>
      <c r="E37" s="32" t="s">
        <v>335</v>
      </c>
      <c r="H37" s="6" t="s">
        <v>226</v>
      </c>
      <c r="I37" s="94">
        <v>-3.5785999999999998</v>
      </c>
      <c r="J37" s="32" t="s">
        <v>336</v>
      </c>
    </row>
    <row r="38" spans="3:10">
      <c r="C38" s="50" t="s">
        <v>227</v>
      </c>
      <c r="D38" s="94">
        <v>-11.1271</v>
      </c>
      <c r="E38" s="32" t="s">
        <v>337</v>
      </c>
      <c r="H38" s="50" t="s">
        <v>228</v>
      </c>
      <c r="I38" s="94">
        <v>-3.3763999999999998</v>
      </c>
      <c r="J38" s="32" t="s">
        <v>229</v>
      </c>
    </row>
    <row r="39" spans="3:10">
      <c r="C39" s="50" t="s">
        <v>230</v>
      </c>
      <c r="D39" s="94">
        <v>-10.9778</v>
      </c>
      <c r="E39" s="32" t="s">
        <v>338</v>
      </c>
      <c r="H39" s="50" t="s">
        <v>231</v>
      </c>
      <c r="I39" s="94">
        <v>-3.1655000000000002</v>
      </c>
      <c r="J39" s="32" t="s">
        <v>232</v>
      </c>
    </row>
    <row r="40" spans="3:10">
      <c r="C40" s="50" t="s">
        <v>233</v>
      </c>
      <c r="D40" s="94">
        <v>-10.8284</v>
      </c>
      <c r="E40" s="32" t="s">
        <v>339</v>
      </c>
      <c r="H40" s="50" t="s">
        <v>234</v>
      </c>
      <c r="I40" s="94">
        <v>-2.9542999999999999</v>
      </c>
      <c r="J40" s="32" t="s">
        <v>235</v>
      </c>
    </row>
    <row r="41" spans="3:10">
      <c r="C41" s="50" t="s">
        <v>236</v>
      </c>
      <c r="D41" s="94">
        <v>-10.679</v>
      </c>
      <c r="E41" s="32" t="s">
        <v>340</v>
      </c>
      <c r="H41" s="50" t="s">
        <v>237</v>
      </c>
      <c r="I41" s="94">
        <v>-2.7427000000000001</v>
      </c>
      <c r="J41" s="32" t="s">
        <v>238</v>
      </c>
    </row>
    <row r="42" spans="3:10">
      <c r="C42" s="50" t="s">
        <v>239</v>
      </c>
      <c r="D42" s="94">
        <v>-10.5296</v>
      </c>
      <c r="E42" s="32" t="s">
        <v>341</v>
      </c>
      <c r="H42" s="50" t="s">
        <v>240</v>
      </c>
      <c r="I42" s="94">
        <v>-2.5304000000000002</v>
      </c>
      <c r="J42" s="32" t="s">
        <v>241</v>
      </c>
    </row>
    <row r="43" spans="3:10" ht="14.25" thickBot="1">
      <c r="C43" s="50" t="s">
        <v>242</v>
      </c>
      <c r="D43" s="94">
        <v>-10.3802</v>
      </c>
      <c r="E43" s="32" t="s">
        <v>342</v>
      </c>
      <c r="H43" s="85" t="s">
        <v>243</v>
      </c>
      <c r="I43" s="94">
        <v>-2.3172000000000001</v>
      </c>
      <c r="J43" s="32" t="s">
        <v>343</v>
      </c>
    </row>
    <row r="44" spans="3:10" ht="14.25" customHeight="1" thickBot="1">
      <c r="C44" s="84" t="s">
        <v>244</v>
      </c>
      <c r="D44" s="96">
        <v>-10.230700000000001</v>
      </c>
      <c r="E44" s="92" t="s">
        <v>344</v>
      </c>
      <c r="H44" s="50" t="s">
        <v>245</v>
      </c>
      <c r="I44" s="94">
        <v>-2.1027</v>
      </c>
      <c r="J44" s="32" t="s">
        <v>345</v>
      </c>
    </row>
    <row r="45" spans="3:10" ht="14.25" customHeight="1">
      <c r="C45" s="50" t="s">
        <v>246</v>
      </c>
      <c r="D45" s="94">
        <v>-10.081300000000001</v>
      </c>
      <c r="E45" s="32" t="s">
        <v>346</v>
      </c>
      <c r="H45" s="50" t="s">
        <v>247</v>
      </c>
      <c r="I45" s="94">
        <v>-1.8857999999999999</v>
      </c>
      <c r="J45" s="32" t="s">
        <v>347</v>
      </c>
    </row>
    <row r="46" spans="3:10">
      <c r="C46" s="50" t="s">
        <v>248</v>
      </c>
      <c r="D46" s="94">
        <v>-9.9318000000000008</v>
      </c>
      <c r="E46" s="32" t="s">
        <v>348</v>
      </c>
      <c r="H46" s="50" t="s">
        <v>249</v>
      </c>
      <c r="I46" s="94">
        <v>-1.6645000000000001</v>
      </c>
      <c r="J46" s="32" t="s">
        <v>349</v>
      </c>
    </row>
    <row r="47" spans="3:10">
      <c r="C47" s="50" t="s">
        <v>250</v>
      </c>
      <c r="D47" s="94">
        <v>-9.7821999999999996</v>
      </c>
      <c r="E47" s="32" t="s">
        <v>350</v>
      </c>
      <c r="H47" s="50" t="s">
        <v>251</v>
      </c>
      <c r="I47" s="94">
        <v>-1.4363999999999999</v>
      </c>
      <c r="J47" s="32" t="s">
        <v>351</v>
      </c>
    </row>
    <row r="48" spans="3:10">
      <c r="C48" s="50" t="s">
        <v>252</v>
      </c>
      <c r="D48" s="94">
        <v>-9.6326999999999998</v>
      </c>
      <c r="E48" s="32" t="s">
        <v>352</v>
      </c>
      <c r="H48" s="50" t="s">
        <v>253</v>
      </c>
      <c r="I48" s="94">
        <v>-1.2027000000000001</v>
      </c>
      <c r="J48" s="32" t="s">
        <v>353</v>
      </c>
    </row>
    <row r="49" spans="3:10">
      <c r="C49" s="50" t="s">
        <v>254</v>
      </c>
      <c r="D49" s="94">
        <v>-9.4831000000000003</v>
      </c>
      <c r="E49" s="32" t="s">
        <v>354</v>
      </c>
      <c r="H49" s="50" t="s">
        <v>255</v>
      </c>
      <c r="I49" s="94">
        <v>-0.96560000000000001</v>
      </c>
      <c r="J49" s="32" t="s">
        <v>355</v>
      </c>
    </row>
    <row r="50" spans="3:10">
      <c r="C50" s="50" t="s">
        <v>256</v>
      </c>
      <c r="D50" s="94">
        <v>-9.3335000000000008</v>
      </c>
      <c r="E50" s="32" t="s">
        <v>356</v>
      </c>
      <c r="H50" s="50" t="s">
        <v>257</v>
      </c>
      <c r="I50" s="94">
        <v>-0.72629999999999995</v>
      </c>
      <c r="J50" s="32" t="s">
        <v>357</v>
      </c>
    </row>
    <row r="51" spans="3:10">
      <c r="C51" s="50" t="s">
        <v>258</v>
      </c>
      <c r="D51" s="94">
        <v>-9.1837999999999997</v>
      </c>
      <c r="E51" s="32" t="s">
        <v>358</v>
      </c>
      <c r="H51" s="50" t="s">
        <v>259</v>
      </c>
      <c r="I51" s="94">
        <v>-0.4854</v>
      </c>
      <c r="J51" s="32" t="s">
        <v>359</v>
      </c>
    </row>
    <row r="52" spans="3:10">
      <c r="C52" s="50" t="s">
        <v>260</v>
      </c>
      <c r="D52" s="94">
        <v>-9.0341000000000005</v>
      </c>
      <c r="E52" s="32" t="s">
        <v>360</v>
      </c>
      <c r="H52" s="50" t="s">
        <v>261</v>
      </c>
      <c r="I52" s="94">
        <v>-0.2432</v>
      </c>
      <c r="J52" s="32" t="s">
        <v>361</v>
      </c>
    </row>
    <row r="53" spans="3:10">
      <c r="C53" s="50" t="s">
        <v>262</v>
      </c>
      <c r="D53" s="94">
        <v>-8.8843999999999994</v>
      </c>
      <c r="E53" s="32" t="s">
        <v>362</v>
      </c>
      <c r="H53" s="50" t="s">
        <v>263</v>
      </c>
      <c r="I53" s="94">
        <v>-2.3999999999999998E-3</v>
      </c>
      <c r="J53" s="32" t="s">
        <v>363</v>
      </c>
    </row>
    <row r="54" spans="3:10">
      <c r="C54" s="56" t="s">
        <v>264</v>
      </c>
      <c r="D54" s="97">
        <v>-8.7346000000000004</v>
      </c>
      <c r="E54" s="33" t="s">
        <v>364</v>
      </c>
      <c r="H54" s="56" t="s">
        <v>365</v>
      </c>
      <c r="I54" s="98" t="s">
        <v>366</v>
      </c>
      <c r="J54" s="33" t="s">
        <v>367</v>
      </c>
    </row>
    <row r="55" spans="3:10">
      <c r="C55" s="232" t="s">
        <v>129</v>
      </c>
      <c r="D55" s="233"/>
      <c r="E55" s="233"/>
      <c r="H55" s="232" t="s">
        <v>130</v>
      </c>
      <c r="I55" s="233"/>
      <c r="J55" s="233"/>
    </row>
    <row r="56" spans="3:10">
      <c r="C56" s="234"/>
      <c r="D56" s="234"/>
      <c r="E56" s="234"/>
      <c r="H56" s="234"/>
      <c r="I56" s="234"/>
      <c r="J56" s="234"/>
    </row>
    <row r="57" spans="3:10">
      <c r="C57" s="234"/>
      <c r="D57" s="234"/>
      <c r="E57" s="234"/>
    </row>
    <row r="58" spans="3:10">
      <c r="C58" s="234"/>
      <c r="D58" s="234"/>
      <c r="E58" s="234"/>
    </row>
  </sheetData>
  <mergeCells count="2">
    <mergeCell ref="C55:E58"/>
    <mergeCell ref="H55:J56"/>
  </mergeCells>
  <phoneticPr fontId="5"/>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DB95-48E3-4FB6-9AF8-FCFC54A59DA0}">
  <sheetPr codeName="Sheet33"/>
  <dimension ref="A1:R36"/>
  <sheetViews>
    <sheetView showGridLines="0" workbookViewId="0">
      <selection activeCell="I40" sqref="I40"/>
    </sheetView>
  </sheetViews>
  <sheetFormatPr defaultColWidth="11.42578125" defaultRowHeight="13.5"/>
  <cols>
    <col min="1" max="1" width="16.7109375" style="157" customWidth="1"/>
    <col min="2" max="15" width="5.85546875" style="157" customWidth="1"/>
    <col min="16" max="16384" width="11.42578125" style="157"/>
  </cols>
  <sheetData>
    <row r="1" spans="1:18" s="155" customFormat="1">
      <c r="A1" s="154" t="s">
        <v>697</v>
      </c>
    </row>
    <row r="2" spans="1:18" s="155" customFormat="1" ht="12.75">
      <c r="A2" s="154"/>
    </row>
    <row r="3" spans="1:18">
      <c r="A3" s="156" t="s">
        <v>698</v>
      </c>
      <c r="R3" s="158"/>
    </row>
    <row r="4" spans="1:18">
      <c r="A4" s="159" t="s">
        <v>7</v>
      </c>
      <c r="B4" s="160">
        <v>2024</v>
      </c>
      <c r="C4" s="160">
        <v>2025</v>
      </c>
      <c r="D4" s="160">
        <v>2026</v>
      </c>
      <c r="E4" s="160">
        <v>2027</v>
      </c>
      <c r="F4" s="160">
        <v>2028</v>
      </c>
      <c r="G4" s="160">
        <v>2029</v>
      </c>
      <c r="H4" s="160">
        <v>2030</v>
      </c>
      <c r="I4" s="160">
        <v>2031</v>
      </c>
      <c r="J4" s="160">
        <v>2032</v>
      </c>
      <c r="K4" s="160">
        <v>2033</v>
      </c>
      <c r="L4" s="160">
        <v>2034</v>
      </c>
      <c r="M4" s="160">
        <v>2035</v>
      </c>
      <c r="N4" s="160">
        <v>2045</v>
      </c>
      <c r="O4" s="160">
        <v>2055</v>
      </c>
    </row>
    <row r="5" spans="1:18">
      <c r="A5" s="159">
        <v>1</v>
      </c>
      <c r="B5" s="238">
        <v>0</v>
      </c>
      <c r="C5" s="238">
        <v>84</v>
      </c>
      <c r="D5" s="161">
        <v>64</v>
      </c>
      <c r="E5" s="161">
        <v>53</v>
      </c>
      <c r="F5" s="161">
        <v>48</v>
      </c>
      <c r="G5" s="161">
        <v>47</v>
      </c>
      <c r="H5" s="161">
        <v>45</v>
      </c>
      <c r="I5" s="161">
        <v>45</v>
      </c>
      <c r="J5" s="161">
        <v>45</v>
      </c>
      <c r="K5" s="161">
        <v>46</v>
      </c>
      <c r="L5" s="161">
        <v>46</v>
      </c>
      <c r="M5" s="161">
        <v>46</v>
      </c>
      <c r="N5" s="161">
        <v>44</v>
      </c>
      <c r="O5" s="161">
        <v>46</v>
      </c>
    </row>
    <row r="6" spans="1:18">
      <c r="A6" s="159">
        <v>0.9</v>
      </c>
      <c r="B6" s="239"/>
      <c r="C6" s="241"/>
      <c r="D6" s="161">
        <v>72</v>
      </c>
      <c r="E6" s="161">
        <v>65</v>
      </c>
      <c r="F6" s="161">
        <v>61</v>
      </c>
      <c r="G6" s="161">
        <v>61</v>
      </c>
      <c r="H6" s="161">
        <v>59</v>
      </c>
      <c r="I6" s="161">
        <v>59</v>
      </c>
      <c r="J6" s="161">
        <v>59</v>
      </c>
      <c r="K6" s="161">
        <v>60</v>
      </c>
      <c r="L6" s="161">
        <v>60</v>
      </c>
      <c r="M6" s="161">
        <v>60</v>
      </c>
      <c r="N6" s="161">
        <v>59</v>
      </c>
      <c r="O6" s="161">
        <v>59</v>
      </c>
    </row>
    <row r="7" spans="1:18">
      <c r="A7" s="159">
        <v>0.8</v>
      </c>
      <c r="B7" s="239"/>
      <c r="C7" s="241"/>
      <c r="D7" s="161">
        <v>79</v>
      </c>
      <c r="E7" s="161">
        <v>76</v>
      </c>
      <c r="F7" s="161">
        <v>73</v>
      </c>
      <c r="G7" s="161">
        <v>73</v>
      </c>
      <c r="H7" s="161">
        <v>72</v>
      </c>
      <c r="I7" s="161">
        <v>73</v>
      </c>
      <c r="J7" s="161">
        <v>73</v>
      </c>
      <c r="K7" s="161">
        <v>74</v>
      </c>
      <c r="L7" s="161">
        <v>73</v>
      </c>
      <c r="M7" s="161">
        <v>73</v>
      </c>
      <c r="N7" s="161">
        <v>73</v>
      </c>
      <c r="O7" s="161">
        <v>74</v>
      </c>
    </row>
    <row r="8" spans="1:18">
      <c r="A8" s="159">
        <v>0.7</v>
      </c>
      <c r="B8" s="239"/>
      <c r="C8" s="241"/>
      <c r="D8" s="161">
        <v>85</v>
      </c>
      <c r="E8" s="161">
        <v>85</v>
      </c>
      <c r="F8" s="161">
        <v>85</v>
      </c>
      <c r="G8" s="161">
        <v>85</v>
      </c>
      <c r="H8" s="161">
        <v>85</v>
      </c>
      <c r="I8" s="161">
        <v>85</v>
      </c>
      <c r="J8" s="161">
        <v>85</v>
      </c>
      <c r="K8" s="161">
        <v>85</v>
      </c>
      <c r="L8" s="161">
        <v>85</v>
      </c>
      <c r="M8" s="161">
        <v>85</v>
      </c>
      <c r="N8" s="161">
        <v>85</v>
      </c>
      <c r="O8" s="161">
        <v>85</v>
      </c>
    </row>
    <row r="9" spans="1:18">
      <c r="A9" s="159">
        <v>0.6</v>
      </c>
      <c r="B9" s="239"/>
      <c r="C9" s="241"/>
      <c r="D9" s="161">
        <v>90</v>
      </c>
      <c r="E9" s="161">
        <v>92</v>
      </c>
      <c r="F9" s="161">
        <v>92</v>
      </c>
      <c r="G9" s="161">
        <v>93</v>
      </c>
      <c r="H9" s="161">
        <v>93</v>
      </c>
      <c r="I9" s="161">
        <v>93</v>
      </c>
      <c r="J9" s="161">
        <v>93</v>
      </c>
      <c r="K9" s="161">
        <v>93</v>
      </c>
      <c r="L9" s="161">
        <v>93</v>
      </c>
      <c r="M9" s="161">
        <v>93</v>
      </c>
      <c r="N9" s="161">
        <v>93</v>
      </c>
      <c r="O9" s="161">
        <v>93</v>
      </c>
    </row>
    <row r="10" spans="1:18">
      <c r="A10" s="159">
        <v>0.5</v>
      </c>
      <c r="B10" s="239"/>
      <c r="C10" s="241"/>
      <c r="D10" s="161">
        <v>94</v>
      </c>
      <c r="E10" s="161">
        <v>97</v>
      </c>
      <c r="F10" s="161">
        <v>97</v>
      </c>
      <c r="G10" s="161">
        <v>98</v>
      </c>
      <c r="H10" s="161">
        <v>97</v>
      </c>
      <c r="I10" s="161">
        <v>98</v>
      </c>
      <c r="J10" s="161">
        <v>98</v>
      </c>
      <c r="K10" s="161">
        <v>98</v>
      </c>
      <c r="L10" s="161">
        <v>98</v>
      </c>
      <c r="M10" s="161">
        <v>98</v>
      </c>
      <c r="N10" s="161">
        <v>98</v>
      </c>
      <c r="O10" s="161">
        <v>97</v>
      </c>
    </row>
    <row r="11" spans="1:18">
      <c r="A11" s="159">
        <v>0.4</v>
      </c>
      <c r="B11" s="239"/>
      <c r="C11" s="241"/>
      <c r="D11" s="161">
        <v>97</v>
      </c>
      <c r="E11" s="161">
        <v>99</v>
      </c>
      <c r="F11" s="161">
        <v>99</v>
      </c>
      <c r="G11" s="161">
        <v>99</v>
      </c>
      <c r="H11" s="161">
        <v>99</v>
      </c>
      <c r="I11" s="161">
        <v>99</v>
      </c>
      <c r="J11" s="161">
        <v>99</v>
      </c>
      <c r="K11" s="161">
        <v>99</v>
      </c>
      <c r="L11" s="161">
        <v>99</v>
      </c>
      <c r="M11" s="161">
        <v>100</v>
      </c>
      <c r="N11" s="161">
        <v>99</v>
      </c>
      <c r="O11" s="161">
        <v>99</v>
      </c>
    </row>
    <row r="12" spans="1:18">
      <c r="A12" s="159">
        <v>0.3</v>
      </c>
      <c r="B12" s="239"/>
      <c r="C12" s="241"/>
      <c r="D12" s="161">
        <v>98</v>
      </c>
      <c r="E12" s="161">
        <v>100</v>
      </c>
      <c r="F12" s="161">
        <v>100</v>
      </c>
      <c r="G12" s="161">
        <v>100</v>
      </c>
      <c r="H12" s="161">
        <v>100</v>
      </c>
      <c r="I12" s="161">
        <v>100</v>
      </c>
      <c r="J12" s="161">
        <v>100</v>
      </c>
      <c r="K12" s="161">
        <v>100</v>
      </c>
      <c r="L12" s="161">
        <v>100</v>
      </c>
      <c r="M12" s="161">
        <v>100</v>
      </c>
      <c r="N12" s="161">
        <v>100</v>
      </c>
      <c r="O12" s="161">
        <v>100</v>
      </c>
    </row>
    <row r="13" spans="1:18">
      <c r="A13" s="159">
        <v>0.2</v>
      </c>
      <c r="B13" s="239"/>
      <c r="C13" s="241"/>
      <c r="D13" s="161">
        <v>99</v>
      </c>
      <c r="E13" s="161">
        <v>100</v>
      </c>
      <c r="F13" s="161">
        <v>100</v>
      </c>
      <c r="G13" s="161">
        <v>100</v>
      </c>
      <c r="H13" s="161">
        <v>100</v>
      </c>
      <c r="I13" s="161">
        <v>100</v>
      </c>
      <c r="J13" s="161">
        <v>100</v>
      </c>
      <c r="K13" s="161">
        <v>100</v>
      </c>
      <c r="L13" s="161">
        <v>100</v>
      </c>
      <c r="M13" s="161">
        <v>100</v>
      </c>
      <c r="N13" s="161">
        <v>100</v>
      </c>
      <c r="O13" s="161">
        <v>100</v>
      </c>
    </row>
    <row r="14" spans="1:18">
      <c r="A14" s="159">
        <v>0.1</v>
      </c>
      <c r="B14" s="239"/>
      <c r="C14" s="241"/>
      <c r="D14" s="161">
        <v>100</v>
      </c>
      <c r="E14" s="161">
        <v>100</v>
      </c>
      <c r="F14" s="161">
        <v>100</v>
      </c>
      <c r="G14" s="161">
        <v>100</v>
      </c>
      <c r="H14" s="161">
        <v>100</v>
      </c>
      <c r="I14" s="161">
        <v>100</v>
      </c>
      <c r="J14" s="161">
        <v>100</v>
      </c>
      <c r="K14" s="161">
        <v>100</v>
      </c>
      <c r="L14" s="161">
        <v>100</v>
      </c>
      <c r="M14" s="161">
        <v>100</v>
      </c>
      <c r="N14" s="161">
        <v>100</v>
      </c>
      <c r="O14" s="161">
        <v>100</v>
      </c>
    </row>
    <row r="15" spans="1:18">
      <c r="A15" s="159">
        <v>0</v>
      </c>
      <c r="B15" s="239"/>
      <c r="C15" s="241"/>
      <c r="D15" s="161">
        <v>100</v>
      </c>
      <c r="E15" s="161">
        <v>100</v>
      </c>
      <c r="F15" s="161">
        <v>100</v>
      </c>
      <c r="G15" s="161">
        <v>100</v>
      </c>
      <c r="H15" s="161">
        <v>100</v>
      </c>
      <c r="I15" s="161">
        <v>100</v>
      </c>
      <c r="J15" s="161">
        <v>100</v>
      </c>
      <c r="K15" s="161">
        <v>100</v>
      </c>
      <c r="L15" s="161">
        <v>100</v>
      </c>
      <c r="M15" s="161">
        <v>100</v>
      </c>
      <c r="N15" s="161">
        <v>100</v>
      </c>
      <c r="O15" s="161">
        <v>100</v>
      </c>
    </row>
    <row r="16" spans="1:18">
      <c r="A16" s="162" t="s">
        <v>368</v>
      </c>
      <c r="B16" s="240"/>
      <c r="C16" s="242"/>
      <c r="D16" s="161">
        <v>74</v>
      </c>
      <c r="E16" s="161">
        <v>69</v>
      </c>
      <c r="F16" s="161">
        <v>64</v>
      </c>
      <c r="G16" s="161">
        <v>64</v>
      </c>
      <c r="H16" s="161">
        <v>63</v>
      </c>
      <c r="I16" s="161">
        <v>63</v>
      </c>
      <c r="J16" s="161">
        <v>63</v>
      </c>
      <c r="K16" s="161">
        <v>65</v>
      </c>
      <c r="L16" s="161">
        <v>64</v>
      </c>
      <c r="M16" s="161">
        <v>64</v>
      </c>
      <c r="N16" s="161">
        <v>63</v>
      </c>
      <c r="O16" s="161">
        <v>64</v>
      </c>
    </row>
    <row r="19" spans="1:15">
      <c r="A19" s="156" t="s">
        <v>699</v>
      </c>
    </row>
    <row r="20" spans="1:15">
      <c r="A20" s="159" t="s">
        <v>7</v>
      </c>
      <c r="B20" s="160">
        <v>2024</v>
      </c>
      <c r="C20" s="160">
        <v>2025</v>
      </c>
      <c r="D20" s="160">
        <v>2026</v>
      </c>
      <c r="E20" s="160">
        <v>2027</v>
      </c>
      <c r="F20" s="160">
        <v>2028</v>
      </c>
      <c r="G20" s="160">
        <v>2029</v>
      </c>
      <c r="H20" s="160">
        <v>2030</v>
      </c>
      <c r="I20" s="160">
        <v>2031</v>
      </c>
      <c r="J20" s="160">
        <v>2032</v>
      </c>
      <c r="K20" s="160">
        <v>2033</v>
      </c>
      <c r="L20" s="160">
        <v>2034</v>
      </c>
      <c r="M20" s="160">
        <v>2035</v>
      </c>
      <c r="N20" s="160">
        <v>2045</v>
      </c>
      <c r="O20" s="160">
        <v>2055</v>
      </c>
    </row>
    <row r="21" spans="1:15">
      <c r="A21" s="159">
        <v>1</v>
      </c>
      <c r="B21" s="238">
        <v>100</v>
      </c>
      <c r="C21" s="238">
        <v>100</v>
      </c>
      <c r="D21" s="161">
        <v>100</v>
      </c>
      <c r="E21" s="161">
        <v>100</v>
      </c>
      <c r="F21" s="161">
        <v>100</v>
      </c>
      <c r="G21" s="161">
        <v>100</v>
      </c>
      <c r="H21" s="161">
        <v>100</v>
      </c>
      <c r="I21" s="161">
        <v>100</v>
      </c>
      <c r="J21" s="161">
        <v>100</v>
      </c>
      <c r="K21" s="161">
        <v>100</v>
      </c>
      <c r="L21" s="161">
        <v>100</v>
      </c>
      <c r="M21" s="161">
        <v>100</v>
      </c>
      <c r="N21" s="161">
        <v>100</v>
      </c>
      <c r="O21" s="161">
        <v>100</v>
      </c>
    </row>
    <row r="22" spans="1:15">
      <c r="A22" s="159">
        <v>0.9</v>
      </c>
      <c r="B22" s="239"/>
      <c r="C22" s="241"/>
      <c r="D22" s="161">
        <v>100</v>
      </c>
      <c r="E22" s="161">
        <v>100</v>
      </c>
      <c r="F22" s="161">
        <v>100</v>
      </c>
      <c r="G22" s="161">
        <v>100</v>
      </c>
      <c r="H22" s="161">
        <v>100</v>
      </c>
      <c r="I22" s="161">
        <v>100</v>
      </c>
      <c r="J22" s="161">
        <v>100</v>
      </c>
      <c r="K22" s="161">
        <v>100</v>
      </c>
      <c r="L22" s="161">
        <v>100</v>
      </c>
      <c r="M22" s="161">
        <v>100</v>
      </c>
      <c r="N22" s="161">
        <v>100</v>
      </c>
      <c r="O22" s="161">
        <v>100</v>
      </c>
    </row>
    <row r="23" spans="1:15">
      <c r="A23" s="159">
        <v>0.8</v>
      </c>
      <c r="B23" s="239"/>
      <c r="C23" s="241"/>
      <c r="D23" s="161">
        <v>100</v>
      </c>
      <c r="E23" s="161">
        <v>100</v>
      </c>
      <c r="F23" s="161">
        <v>100</v>
      </c>
      <c r="G23" s="161">
        <v>100</v>
      </c>
      <c r="H23" s="161">
        <v>100</v>
      </c>
      <c r="I23" s="161">
        <v>100</v>
      </c>
      <c r="J23" s="161">
        <v>100</v>
      </c>
      <c r="K23" s="161">
        <v>100</v>
      </c>
      <c r="L23" s="161">
        <v>100</v>
      </c>
      <c r="M23" s="161">
        <v>100</v>
      </c>
      <c r="N23" s="161">
        <v>100</v>
      </c>
      <c r="O23" s="161">
        <v>100</v>
      </c>
    </row>
    <row r="24" spans="1:15">
      <c r="A24" s="159">
        <v>0.7</v>
      </c>
      <c r="B24" s="239"/>
      <c r="C24" s="241"/>
      <c r="D24" s="161">
        <v>100</v>
      </c>
      <c r="E24" s="161">
        <v>100</v>
      </c>
      <c r="F24" s="161">
        <v>100</v>
      </c>
      <c r="G24" s="161">
        <v>100</v>
      </c>
      <c r="H24" s="161">
        <v>100</v>
      </c>
      <c r="I24" s="161">
        <v>100</v>
      </c>
      <c r="J24" s="161">
        <v>100</v>
      </c>
      <c r="K24" s="161">
        <v>100</v>
      </c>
      <c r="L24" s="161">
        <v>100</v>
      </c>
      <c r="M24" s="161">
        <v>100</v>
      </c>
      <c r="N24" s="161">
        <v>100</v>
      </c>
      <c r="O24" s="161">
        <v>100</v>
      </c>
    </row>
    <row r="25" spans="1:15">
      <c r="A25" s="159">
        <v>0.6</v>
      </c>
      <c r="B25" s="239"/>
      <c r="C25" s="241"/>
      <c r="D25" s="161">
        <v>100</v>
      </c>
      <c r="E25" s="161">
        <v>100</v>
      </c>
      <c r="F25" s="161">
        <v>100</v>
      </c>
      <c r="G25" s="161">
        <v>100</v>
      </c>
      <c r="H25" s="161">
        <v>100</v>
      </c>
      <c r="I25" s="161">
        <v>100</v>
      </c>
      <c r="J25" s="161">
        <v>100</v>
      </c>
      <c r="K25" s="161">
        <v>100</v>
      </c>
      <c r="L25" s="161">
        <v>100</v>
      </c>
      <c r="M25" s="161">
        <v>100</v>
      </c>
      <c r="N25" s="161">
        <v>100</v>
      </c>
      <c r="O25" s="161">
        <v>100</v>
      </c>
    </row>
    <row r="26" spans="1:15">
      <c r="A26" s="159">
        <v>0.5</v>
      </c>
      <c r="B26" s="239"/>
      <c r="C26" s="241"/>
      <c r="D26" s="161">
        <v>100</v>
      </c>
      <c r="E26" s="161">
        <v>100</v>
      </c>
      <c r="F26" s="161">
        <v>100</v>
      </c>
      <c r="G26" s="161">
        <v>100</v>
      </c>
      <c r="H26" s="161">
        <v>100</v>
      </c>
      <c r="I26" s="161">
        <v>100</v>
      </c>
      <c r="J26" s="161">
        <v>100</v>
      </c>
      <c r="K26" s="161">
        <v>100</v>
      </c>
      <c r="L26" s="161">
        <v>100</v>
      </c>
      <c r="M26" s="161">
        <v>100</v>
      </c>
      <c r="N26" s="161">
        <v>100</v>
      </c>
      <c r="O26" s="161">
        <v>100</v>
      </c>
    </row>
    <row r="27" spans="1:15">
      <c r="A27" s="159">
        <v>0.4</v>
      </c>
      <c r="B27" s="239"/>
      <c r="C27" s="241"/>
      <c r="D27" s="161">
        <v>100</v>
      </c>
      <c r="E27" s="161">
        <v>100</v>
      </c>
      <c r="F27" s="161">
        <v>100</v>
      </c>
      <c r="G27" s="161">
        <v>100</v>
      </c>
      <c r="H27" s="161">
        <v>100</v>
      </c>
      <c r="I27" s="161">
        <v>100</v>
      </c>
      <c r="J27" s="161">
        <v>100</v>
      </c>
      <c r="K27" s="161">
        <v>100</v>
      </c>
      <c r="L27" s="161">
        <v>100</v>
      </c>
      <c r="M27" s="161">
        <v>100</v>
      </c>
      <c r="N27" s="161">
        <v>100</v>
      </c>
      <c r="O27" s="161">
        <v>100</v>
      </c>
    </row>
    <row r="28" spans="1:15">
      <c r="A28" s="159">
        <v>0.3</v>
      </c>
      <c r="B28" s="239"/>
      <c r="C28" s="241"/>
      <c r="D28" s="161">
        <v>100</v>
      </c>
      <c r="E28" s="161">
        <v>100</v>
      </c>
      <c r="F28" s="161">
        <v>100</v>
      </c>
      <c r="G28" s="161">
        <v>100</v>
      </c>
      <c r="H28" s="161">
        <v>100</v>
      </c>
      <c r="I28" s="161">
        <v>100</v>
      </c>
      <c r="J28" s="161">
        <v>100</v>
      </c>
      <c r="K28" s="161">
        <v>100</v>
      </c>
      <c r="L28" s="161">
        <v>100</v>
      </c>
      <c r="M28" s="161">
        <v>100</v>
      </c>
      <c r="N28" s="161">
        <v>100</v>
      </c>
      <c r="O28" s="161">
        <v>100</v>
      </c>
    </row>
    <row r="29" spans="1:15">
      <c r="A29" s="159">
        <v>0.2</v>
      </c>
      <c r="B29" s="239"/>
      <c r="C29" s="241"/>
      <c r="D29" s="161">
        <v>100</v>
      </c>
      <c r="E29" s="161">
        <v>100</v>
      </c>
      <c r="F29" s="161">
        <v>100</v>
      </c>
      <c r="G29" s="161">
        <v>100</v>
      </c>
      <c r="H29" s="161">
        <v>100</v>
      </c>
      <c r="I29" s="161">
        <v>100</v>
      </c>
      <c r="J29" s="161">
        <v>100</v>
      </c>
      <c r="K29" s="161">
        <v>100</v>
      </c>
      <c r="L29" s="161">
        <v>100</v>
      </c>
      <c r="M29" s="161">
        <v>100</v>
      </c>
      <c r="N29" s="161">
        <v>100</v>
      </c>
      <c r="O29" s="161">
        <v>100</v>
      </c>
    </row>
    <row r="30" spans="1:15">
      <c r="A30" s="159">
        <v>0.1</v>
      </c>
      <c r="B30" s="239"/>
      <c r="C30" s="241"/>
      <c r="D30" s="161">
        <v>100</v>
      </c>
      <c r="E30" s="161">
        <v>100</v>
      </c>
      <c r="F30" s="161">
        <v>100</v>
      </c>
      <c r="G30" s="161">
        <v>100</v>
      </c>
      <c r="H30" s="161">
        <v>100</v>
      </c>
      <c r="I30" s="161">
        <v>100</v>
      </c>
      <c r="J30" s="161">
        <v>100</v>
      </c>
      <c r="K30" s="161">
        <v>100</v>
      </c>
      <c r="L30" s="161">
        <v>100</v>
      </c>
      <c r="M30" s="161">
        <v>100</v>
      </c>
      <c r="N30" s="161">
        <v>100</v>
      </c>
      <c r="O30" s="161">
        <v>100</v>
      </c>
    </row>
    <row r="31" spans="1:15">
      <c r="A31" s="159">
        <v>0</v>
      </c>
      <c r="B31" s="239"/>
      <c r="C31" s="241"/>
      <c r="D31" s="161">
        <v>100</v>
      </c>
      <c r="E31" s="161">
        <v>100</v>
      </c>
      <c r="F31" s="161">
        <v>100</v>
      </c>
      <c r="G31" s="161">
        <v>100</v>
      </c>
      <c r="H31" s="161">
        <v>100</v>
      </c>
      <c r="I31" s="161">
        <v>100</v>
      </c>
      <c r="J31" s="161">
        <v>100</v>
      </c>
      <c r="K31" s="161">
        <v>100</v>
      </c>
      <c r="L31" s="161">
        <v>100</v>
      </c>
      <c r="M31" s="161">
        <v>100</v>
      </c>
      <c r="N31" s="161">
        <v>100</v>
      </c>
      <c r="O31" s="161">
        <v>100</v>
      </c>
    </row>
    <row r="32" spans="1:15">
      <c r="A32" s="159" t="s">
        <v>368</v>
      </c>
      <c r="B32" s="240"/>
      <c r="C32" s="242"/>
      <c r="D32" s="161">
        <v>100</v>
      </c>
      <c r="E32" s="161">
        <v>100</v>
      </c>
      <c r="F32" s="161">
        <v>100</v>
      </c>
      <c r="G32" s="161">
        <v>100</v>
      </c>
      <c r="H32" s="161">
        <v>100</v>
      </c>
      <c r="I32" s="161">
        <v>100</v>
      </c>
      <c r="J32" s="161">
        <v>100</v>
      </c>
      <c r="K32" s="161">
        <v>100</v>
      </c>
      <c r="L32" s="161">
        <v>100</v>
      </c>
      <c r="M32" s="161">
        <v>100</v>
      </c>
      <c r="N32" s="161">
        <v>100</v>
      </c>
      <c r="O32" s="161">
        <v>100</v>
      </c>
    </row>
    <row r="34" spans="1:15">
      <c r="A34" s="243" t="s">
        <v>700</v>
      </c>
      <c r="B34" s="243"/>
      <c r="C34" s="243"/>
      <c r="D34" s="243"/>
      <c r="E34" s="243"/>
      <c r="F34" s="243"/>
      <c r="G34" s="243"/>
      <c r="H34" s="243"/>
      <c r="I34" s="243"/>
      <c r="J34" s="243"/>
      <c r="K34" s="243"/>
      <c r="L34" s="243"/>
      <c r="M34" s="243"/>
      <c r="N34" s="243"/>
      <c r="O34" s="243"/>
    </row>
    <row r="35" spans="1:15">
      <c r="A35" s="243"/>
      <c r="B35" s="243"/>
      <c r="C35" s="243"/>
      <c r="D35" s="243"/>
      <c r="E35" s="243"/>
      <c r="F35" s="243"/>
      <c r="G35" s="243"/>
      <c r="H35" s="243"/>
      <c r="I35" s="243"/>
      <c r="J35" s="243"/>
      <c r="K35" s="243"/>
      <c r="L35" s="243"/>
      <c r="M35" s="243"/>
      <c r="N35" s="243"/>
      <c r="O35" s="243"/>
    </row>
    <row r="36" spans="1:15">
      <c r="A36" s="243"/>
      <c r="B36" s="243"/>
      <c r="C36" s="243"/>
      <c r="D36" s="243"/>
      <c r="E36" s="243"/>
      <c r="F36" s="243"/>
      <c r="G36" s="243"/>
      <c r="H36" s="243"/>
      <c r="I36" s="243"/>
      <c r="J36" s="243"/>
      <c r="K36" s="243"/>
      <c r="L36" s="243"/>
      <c r="M36" s="243"/>
      <c r="N36" s="243"/>
      <c r="O36" s="243"/>
    </row>
  </sheetData>
  <mergeCells count="5">
    <mergeCell ref="B5:B16"/>
    <mergeCell ref="C5:C16"/>
    <mergeCell ref="B21:B32"/>
    <mergeCell ref="C21:C32"/>
    <mergeCell ref="A34:O36"/>
  </mergeCells>
  <phoneticPr fontId="5"/>
  <conditionalFormatting sqref="D6:O16 B5:O5 B21:O21">
    <cfRule type="colorScale" priority="2">
      <colorScale>
        <cfvo type="num" val="0"/>
        <cfvo type="num" val="100"/>
        <color rgb="FFFFFFFF"/>
        <color rgb="FFFFC000"/>
      </colorScale>
    </cfRule>
  </conditionalFormatting>
  <conditionalFormatting sqref="D22:O32">
    <cfRule type="colorScale" priority="1">
      <colorScale>
        <cfvo type="num" val="0"/>
        <cfvo type="num" val="100"/>
        <color rgb="FFFFFFFF"/>
        <color rgb="FFFFC000"/>
      </colorScale>
    </cfRule>
  </conditionalFormatting>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522B-ACCF-4211-A0CA-F16FFE571592}">
  <sheetPr codeName="Sheet35"/>
  <dimension ref="A2:Q20"/>
  <sheetViews>
    <sheetView showGridLines="0" workbookViewId="0">
      <selection activeCell="I40" sqref="I40"/>
    </sheetView>
  </sheetViews>
  <sheetFormatPr defaultColWidth="11.42578125" defaultRowHeight="13.5"/>
  <cols>
    <col min="1" max="1" width="13.5703125" style="157" customWidth="1"/>
    <col min="2" max="15" width="5.85546875" style="157" customWidth="1"/>
    <col min="16" max="16384" width="11.42578125" style="157"/>
  </cols>
  <sheetData>
    <row r="2" spans="1:17">
      <c r="A2" s="163" t="s">
        <v>701</v>
      </c>
      <c r="Q2" s="158"/>
    </row>
    <row r="3" spans="1:17">
      <c r="A3" s="159" t="s">
        <v>7</v>
      </c>
      <c r="B3" s="160">
        <v>2024</v>
      </c>
      <c r="C3" s="160">
        <v>2025</v>
      </c>
      <c r="D3" s="160">
        <v>2026</v>
      </c>
      <c r="E3" s="160">
        <v>2027</v>
      </c>
      <c r="F3" s="160">
        <v>2028</v>
      </c>
      <c r="G3" s="160">
        <v>2029</v>
      </c>
      <c r="H3" s="160">
        <v>2030</v>
      </c>
      <c r="I3" s="160">
        <v>2031</v>
      </c>
      <c r="J3" s="160">
        <v>2032</v>
      </c>
      <c r="K3" s="160">
        <v>2033</v>
      </c>
      <c r="L3" s="160">
        <v>2034</v>
      </c>
      <c r="M3" s="160">
        <v>2035</v>
      </c>
      <c r="N3" s="160">
        <v>2045</v>
      </c>
      <c r="O3" s="160">
        <v>2055</v>
      </c>
    </row>
    <row r="4" spans="1:17">
      <c r="A4" s="159">
        <v>1</v>
      </c>
      <c r="B4" s="238">
        <v>111</v>
      </c>
      <c r="C4" s="238">
        <v>150</v>
      </c>
      <c r="D4" s="161">
        <v>127</v>
      </c>
      <c r="E4" s="161">
        <v>119</v>
      </c>
      <c r="F4" s="161">
        <v>115</v>
      </c>
      <c r="G4" s="161">
        <v>114</v>
      </c>
      <c r="H4" s="161">
        <v>113</v>
      </c>
      <c r="I4" s="161">
        <v>113</v>
      </c>
      <c r="J4" s="161">
        <v>113</v>
      </c>
      <c r="K4" s="161">
        <v>114</v>
      </c>
      <c r="L4" s="161">
        <v>113</v>
      </c>
      <c r="M4" s="161">
        <v>113</v>
      </c>
      <c r="N4" s="161">
        <v>113</v>
      </c>
      <c r="O4" s="161">
        <v>113</v>
      </c>
    </row>
    <row r="5" spans="1:17">
      <c r="A5" s="159">
        <v>0.9</v>
      </c>
      <c r="B5" s="239"/>
      <c r="C5" s="239"/>
      <c r="D5" s="161">
        <v>135</v>
      </c>
      <c r="E5" s="161">
        <v>128</v>
      </c>
      <c r="F5" s="161">
        <v>126</v>
      </c>
      <c r="G5" s="161">
        <v>125</v>
      </c>
      <c r="H5" s="161">
        <v>124</v>
      </c>
      <c r="I5" s="161">
        <v>124</v>
      </c>
      <c r="J5" s="161">
        <v>124</v>
      </c>
      <c r="K5" s="161">
        <v>125</v>
      </c>
      <c r="L5" s="161">
        <v>124</v>
      </c>
      <c r="M5" s="161">
        <v>124</v>
      </c>
      <c r="N5" s="161">
        <v>124</v>
      </c>
      <c r="O5" s="161">
        <v>124</v>
      </c>
    </row>
    <row r="6" spans="1:17">
      <c r="A6" s="159">
        <v>0.8</v>
      </c>
      <c r="B6" s="239"/>
      <c r="C6" s="239"/>
      <c r="D6" s="161">
        <v>143</v>
      </c>
      <c r="E6" s="161">
        <v>139</v>
      </c>
      <c r="F6" s="161">
        <v>137</v>
      </c>
      <c r="G6" s="161">
        <v>137</v>
      </c>
      <c r="H6" s="161">
        <v>136</v>
      </c>
      <c r="I6" s="161">
        <v>136</v>
      </c>
      <c r="J6" s="161">
        <v>136</v>
      </c>
      <c r="K6" s="161">
        <v>137</v>
      </c>
      <c r="L6" s="161">
        <v>136</v>
      </c>
      <c r="M6" s="161">
        <v>136</v>
      </c>
      <c r="N6" s="161">
        <v>136</v>
      </c>
      <c r="O6" s="161">
        <v>136</v>
      </c>
    </row>
    <row r="7" spans="1:17">
      <c r="A7" s="159">
        <v>0.7</v>
      </c>
      <c r="B7" s="239"/>
      <c r="C7" s="239"/>
      <c r="D7" s="161">
        <v>151</v>
      </c>
      <c r="E7" s="161">
        <v>150</v>
      </c>
      <c r="F7" s="161">
        <v>150</v>
      </c>
      <c r="G7" s="161">
        <v>150</v>
      </c>
      <c r="H7" s="161">
        <v>149</v>
      </c>
      <c r="I7" s="161">
        <v>150</v>
      </c>
      <c r="J7" s="161">
        <v>150</v>
      </c>
      <c r="K7" s="161">
        <v>151</v>
      </c>
      <c r="L7" s="161">
        <v>150</v>
      </c>
      <c r="M7" s="161">
        <v>150</v>
      </c>
      <c r="N7" s="161">
        <v>149</v>
      </c>
      <c r="O7" s="161">
        <v>150</v>
      </c>
    </row>
    <row r="8" spans="1:17">
      <c r="A8" s="159">
        <v>0.6</v>
      </c>
      <c r="B8" s="239"/>
      <c r="C8" s="239"/>
      <c r="D8" s="161">
        <v>160</v>
      </c>
      <c r="E8" s="161">
        <v>163</v>
      </c>
      <c r="F8" s="161">
        <v>164</v>
      </c>
      <c r="G8" s="161">
        <v>165</v>
      </c>
      <c r="H8" s="161">
        <v>165</v>
      </c>
      <c r="I8" s="161">
        <v>165</v>
      </c>
      <c r="J8" s="161">
        <v>165</v>
      </c>
      <c r="K8" s="161">
        <v>166</v>
      </c>
      <c r="L8" s="161">
        <v>166</v>
      </c>
      <c r="M8" s="161">
        <v>166</v>
      </c>
      <c r="N8" s="161">
        <v>165</v>
      </c>
      <c r="O8" s="161">
        <v>166</v>
      </c>
    </row>
    <row r="9" spans="1:17">
      <c r="A9" s="159">
        <v>0.5</v>
      </c>
      <c r="B9" s="239"/>
      <c r="C9" s="239"/>
      <c r="D9" s="161">
        <v>170</v>
      </c>
      <c r="E9" s="161">
        <v>178</v>
      </c>
      <c r="F9" s="161">
        <v>181</v>
      </c>
      <c r="G9" s="161">
        <v>182</v>
      </c>
      <c r="H9" s="161">
        <v>182</v>
      </c>
      <c r="I9" s="161">
        <v>183</v>
      </c>
      <c r="J9" s="161">
        <v>183</v>
      </c>
      <c r="K9" s="161">
        <v>184</v>
      </c>
      <c r="L9" s="161">
        <v>183</v>
      </c>
      <c r="M9" s="161">
        <v>183</v>
      </c>
      <c r="N9" s="161">
        <v>183</v>
      </c>
      <c r="O9" s="161">
        <v>183</v>
      </c>
    </row>
    <row r="10" spans="1:17">
      <c r="A10" s="159">
        <v>0.4</v>
      </c>
      <c r="B10" s="239"/>
      <c r="C10" s="239"/>
      <c r="D10" s="161">
        <v>181</v>
      </c>
      <c r="E10" s="161">
        <v>194</v>
      </c>
      <c r="F10" s="161">
        <v>200</v>
      </c>
      <c r="G10" s="161">
        <v>202</v>
      </c>
      <c r="H10" s="161">
        <v>202</v>
      </c>
      <c r="I10" s="161">
        <v>203</v>
      </c>
      <c r="J10" s="161">
        <v>203</v>
      </c>
      <c r="K10" s="161">
        <v>204</v>
      </c>
      <c r="L10" s="161">
        <v>204</v>
      </c>
      <c r="M10" s="161">
        <v>203</v>
      </c>
      <c r="N10" s="161">
        <v>203</v>
      </c>
      <c r="O10" s="161">
        <v>204</v>
      </c>
    </row>
    <row r="11" spans="1:17">
      <c r="A11" s="159">
        <v>0.3</v>
      </c>
      <c r="B11" s="239"/>
      <c r="C11" s="239"/>
      <c r="D11" s="161">
        <v>193</v>
      </c>
      <c r="E11" s="161">
        <v>213</v>
      </c>
      <c r="F11" s="161">
        <v>221</v>
      </c>
      <c r="G11" s="161">
        <v>225</v>
      </c>
      <c r="H11" s="161">
        <v>225</v>
      </c>
      <c r="I11" s="161">
        <v>226</v>
      </c>
      <c r="J11" s="161">
        <v>226</v>
      </c>
      <c r="K11" s="161">
        <v>228</v>
      </c>
      <c r="L11" s="161">
        <v>227</v>
      </c>
      <c r="M11" s="161">
        <v>227</v>
      </c>
      <c r="N11" s="161">
        <v>226</v>
      </c>
      <c r="O11" s="161">
        <v>227</v>
      </c>
    </row>
    <row r="12" spans="1:17">
      <c r="A12" s="159">
        <v>0.2</v>
      </c>
      <c r="B12" s="239"/>
      <c r="C12" s="239"/>
      <c r="D12" s="161">
        <v>206</v>
      </c>
      <c r="E12" s="161">
        <v>234</v>
      </c>
      <c r="F12" s="161">
        <v>246</v>
      </c>
      <c r="G12" s="161">
        <v>251</v>
      </c>
      <c r="H12" s="161">
        <v>252</v>
      </c>
      <c r="I12" s="161">
        <v>253</v>
      </c>
      <c r="J12" s="161">
        <v>254</v>
      </c>
      <c r="K12" s="161">
        <v>255</v>
      </c>
      <c r="L12" s="161">
        <v>254</v>
      </c>
      <c r="M12" s="161">
        <v>254</v>
      </c>
      <c r="N12" s="161">
        <v>253</v>
      </c>
      <c r="O12" s="161">
        <v>254</v>
      </c>
    </row>
    <row r="13" spans="1:17">
      <c r="A13" s="159">
        <v>0.1</v>
      </c>
      <c r="B13" s="239"/>
      <c r="C13" s="239"/>
      <c r="D13" s="161">
        <v>221</v>
      </c>
      <c r="E13" s="161">
        <v>259</v>
      </c>
      <c r="F13" s="161">
        <v>275</v>
      </c>
      <c r="G13" s="161">
        <v>282</v>
      </c>
      <c r="H13" s="161">
        <v>283</v>
      </c>
      <c r="I13" s="161">
        <v>284</v>
      </c>
      <c r="J13" s="161">
        <v>285</v>
      </c>
      <c r="K13" s="161">
        <v>287</v>
      </c>
      <c r="L13" s="161">
        <v>286</v>
      </c>
      <c r="M13" s="161">
        <v>286</v>
      </c>
      <c r="N13" s="161">
        <v>285</v>
      </c>
      <c r="O13" s="161">
        <v>286</v>
      </c>
    </row>
    <row r="14" spans="1:17">
      <c r="A14" s="159">
        <v>0</v>
      </c>
      <c r="B14" s="239"/>
      <c r="C14" s="239"/>
      <c r="D14" s="161">
        <v>236</v>
      </c>
      <c r="E14" s="161">
        <v>287</v>
      </c>
      <c r="F14" s="161">
        <v>309</v>
      </c>
      <c r="G14" s="161">
        <v>318</v>
      </c>
      <c r="H14" s="161">
        <v>321</v>
      </c>
      <c r="I14" s="161">
        <v>322</v>
      </c>
      <c r="J14" s="161">
        <v>323</v>
      </c>
      <c r="K14" s="161">
        <v>324</v>
      </c>
      <c r="L14" s="161">
        <v>324</v>
      </c>
      <c r="M14" s="161">
        <v>324</v>
      </c>
      <c r="N14" s="161">
        <v>323</v>
      </c>
      <c r="O14" s="161">
        <v>324</v>
      </c>
    </row>
    <row r="15" spans="1:17">
      <c r="A15" s="159" t="s">
        <v>368</v>
      </c>
      <c r="B15" s="240"/>
      <c r="C15" s="240"/>
      <c r="D15" s="161">
        <v>137</v>
      </c>
      <c r="E15" s="161">
        <v>131</v>
      </c>
      <c r="F15" s="161">
        <v>129</v>
      </c>
      <c r="G15" s="161">
        <v>128</v>
      </c>
      <c r="H15" s="161">
        <v>127</v>
      </c>
      <c r="I15" s="161">
        <v>127</v>
      </c>
      <c r="J15" s="161">
        <v>128</v>
      </c>
      <c r="K15" s="161">
        <v>128</v>
      </c>
      <c r="L15" s="161">
        <v>128</v>
      </c>
      <c r="M15" s="161">
        <v>128</v>
      </c>
      <c r="N15" s="161">
        <v>127</v>
      </c>
      <c r="O15" s="161">
        <v>128</v>
      </c>
    </row>
    <row r="18" spans="1:17">
      <c r="A18" s="244" t="s">
        <v>700</v>
      </c>
      <c r="B18" s="244"/>
      <c r="C18" s="244"/>
      <c r="D18" s="244"/>
      <c r="E18" s="244"/>
      <c r="F18" s="244"/>
      <c r="G18" s="244"/>
      <c r="H18" s="244"/>
      <c r="I18" s="244"/>
      <c r="J18" s="244"/>
      <c r="K18" s="244"/>
      <c r="L18" s="244"/>
      <c r="M18" s="244"/>
      <c r="N18" s="244"/>
      <c r="O18" s="244"/>
      <c r="Q18" s="158"/>
    </row>
    <row r="19" spans="1:17">
      <c r="A19" s="244"/>
      <c r="B19" s="244"/>
      <c r="C19" s="244"/>
      <c r="D19" s="244"/>
      <c r="E19" s="244"/>
      <c r="F19" s="244"/>
      <c r="G19" s="244"/>
      <c r="H19" s="244"/>
      <c r="I19" s="244"/>
      <c r="J19" s="244"/>
      <c r="K19" s="244"/>
      <c r="L19" s="244"/>
      <c r="M19" s="244"/>
      <c r="N19" s="244"/>
      <c r="O19" s="244"/>
    </row>
    <row r="20" spans="1:17">
      <c r="A20" s="244"/>
      <c r="B20" s="244"/>
      <c r="C20" s="244"/>
      <c r="D20" s="244"/>
      <c r="E20" s="244"/>
      <c r="F20" s="244"/>
      <c r="G20" s="244"/>
      <c r="H20" s="244"/>
      <c r="I20" s="244"/>
      <c r="J20" s="244"/>
      <c r="K20" s="244"/>
      <c r="L20" s="244"/>
      <c r="M20" s="244"/>
      <c r="N20" s="244"/>
      <c r="O20" s="244"/>
    </row>
  </sheetData>
  <mergeCells count="3">
    <mergeCell ref="B4:B15"/>
    <mergeCell ref="C4:C15"/>
    <mergeCell ref="A18:O20"/>
  </mergeCells>
  <phoneticPr fontId="5"/>
  <conditionalFormatting sqref="D5:O15 B4:O4">
    <cfRule type="colorScale" priority="1">
      <colorScale>
        <cfvo type="num" val="98.3474241821704"/>
        <cfvo type="num" val="324.35723831229598"/>
        <color rgb="FFFFFFFF"/>
        <color rgb="FF00B0F0"/>
      </colorScale>
    </cfRule>
  </conditionalFormatting>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E495-CD50-47EC-B219-F685DD4DA2AD}">
  <sheetPr codeName="Sheet34"/>
  <dimension ref="A1:Q18"/>
  <sheetViews>
    <sheetView showGridLines="0" workbookViewId="0">
      <selection activeCell="I40" sqref="I40"/>
    </sheetView>
  </sheetViews>
  <sheetFormatPr defaultColWidth="11.42578125" defaultRowHeight="13.5"/>
  <cols>
    <col min="1" max="1" width="15.42578125" style="157" customWidth="1"/>
    <col min="2" max="15" width="5.85546875" style="157" customWidth="1"/>
    <col min="16" max="16384" width="11.42578125" style="157"/>
  </cols>
  <sheetData>
    <row r="1" spans="1:17">
      <c r="A1" s="163" t="s">
        <v>702</v>
      </c>
      <c r="Q1" s="158"/>
    </row>
    <row r="2" spans="1:17">
      <c r="A2" s="159" t="s">
        <v>7</v>
      </c>
      <c r="B2" s="160">
        <v>2024</v>
      </c>
      <c r="C2" s="160">
        <v>2025</v>
      </c>
      <c r="D2" s="160">
        <v>2026</v>
      </c>
      <c r="E2" s="160">
        <v>2027</v>
      </c>
      <c r="F2" s="160">
        <v>2028</v>
      </c>
      <c r="G2" s="160">
        <v>2029</v>
      </c>
      <c r="H2" s="160">
        <v>2030</v>
      </c>
      <c r="I2" s="160">
        <v>2031</v>
      </c>
      <c r="J2" s="160">
        <v>2032</v>
      </c>
      <c r="K2" s="160">
        <v>2033</v>
      </c>
      <c r="L2" s="160">
        <v>2034</v>
      </c>
      <c r="M2" s="160">
        <v>2035</v>
      </c>
      <c r="N2" s="160">
        <v>2045</v>
      </c>
      <c r="O2" s="160">
        <v>2055</v>
      </c>
    </row>
    <row r="3" spans="1:17">
      <c r="A3" s="159">
        <v>1</v>
      </c>
      <c r="B3" s="238">
        <v>45</v>
      </c>
      <c r="C3" s="161">
        <v>99</v>
      </c>
      <c r="D3" s="161">
        <v>88</v>
      </c>
      <c r="E3" s="161">
        <v>83</v>
      </c>
      <c r="F3" s="161">
        <v>82</v>
      </c>
      <c r="G3" s="161">
        <v>81</v>
      </c>
      <c r="H3" s="161">
        <v>81</v>
      </c>
      <c r="I3" s="161">
        <v>81</v>
      </c>
      <c r="J3" s="161">
        <v>81</v>
      </c>
      <c r="K3" s="161">
        <v>81</v>
      </c>
      <c r="L3" s="161">
        <v>81</v>
      </c>
      <c r="M3" s="161">
        <v>81</v>
      </c>
      <c r="N3" s="161">
        <v>81</v>
      </c>
      <c r="O3" s="161">
        <v>81</v>
      </c>
    </row>
    <row r="4" spans="1:17">
      <c r="A4" s="159">
        <v>0.9</v>
      </c>
      <c r="B4" s="239"/>
      <c r="C4" s="161">
        <v>92</v>
      </c>
      <c r="D4" s="161">
        <v>85</v>
      </c>
      <c r="E4" s="161">
        <v>82</v>
      </c>
      <c r="F4" s="161">
        <v>81</v>
      </c>
      <c r="G4" s="161">
        <v>81</v>
      </c>
      <c r="H4" s="161">
        <v>80</v>
      </c>
      <c r="I4" s="161">
        <v>80</v>
      </c>
      <c r="J4" s="161">
        <v>81</v>
      </c>
      <c r="K4" s="161">
        <v>81</v>
      </c>
      <c r="L4" s="161">
        <v>80</v>
      </c>
      <c r="M4" s="161">
        <v>80</v>
      </c>
      <c r="N4" s="161">
        <v>80</v>
      </c>
      <c r="O4" s="161">
        <v>80</v>
      </c>
    </row>
    <row r="5" spans="1:17">
      <c r="A5" s="159">
        <v>0.8</v>
      </c>
      <c r="B5" s="239"/>
      <c r="C5" s="161">
        <v>85</v>
      </c>
      <c r="D5" s="161">
        <v>82</v>
      </c>
      <c r="E5" s="161">
        <v>80</v>
      </c>
      <c r="F5" s="161">
        <v>80</v>
      </c>
      <c r="G5" s="161">
        <v>79</v>
      </c>
      <c r="H5" s="161">
        <v>79</v>
      </c>
      <c r="I5" s="161">
        <v>79</v>
      </c>
      <c r="J5" s="161">
        <v>79</v>
      </c>
      <c r="K5" s="161">
        <v>80</v>
      </c>
      <c r="L5" s="161">
        <v>79</v>
      </c>
      <c r="M5" s="161">
        <v>79</v>
      </c>
      <c r="N5" s="161">
        <v>79</v>
      </c>
      <c r="O5" s="161">
        <v>79</v>
      </c>
    </row>
    <row r="6" spans="1:17">
      <c r="A6" s="159">
        <v>0.7</v>
      </c>
      <c r="B6" s="239"/>
      <c r="C6" s="161">
        <v>78</v>
      </c>
      <c r="D6" s="161">
        <v>78</v>
      </c>
      <c r="E6" s="161">
        <v>77</v>
      </c>
      <c r="F6" s="161">
        <v>77</v>
      </c>
      <c r="G6" s="161">
        <v>77</v>
      </c>
      <c r="H6" s="161">
        <v>77</v>
      </c>
      <c r="I6" s="161">
        <v>77</v>
      </c>
      <c r="J6" s="161">
        <v>77</v>
      </c>
      <c r="K6" s="161">
        <v>78</v>
      </c>
      <c r="L6" s="161">
        <v>77</v>
      </c>
      <c r="M6" s="161">
        <v>77</v>
      </c>
      <c r="N6" s="161">
        <v>77</v>
      </c>
      <c r="O6" s="161">
        <v>77</v>
      </c>
    </row>
    <row r="7" spans="1:17">
      <c r="A7" s="159">
        <v>0.6</v>
      </c>
      <c r="B7" s="239"/>
      <c r="C7" s="161">
        <v>70</v>
      </c>
      <c r="D7" s="161">
        <v>72</v>
      </c>
      <c r="E7" s="161">
        <v>73</v>
      </c>
      <c r="F7" s="161">
        <v>74</v>
      </c>
      <c r="G7" s="161">
        <v>74</v>
      </c>
      <c r="H7" s="161">
        <v>74</v>
      </c>
      <c r="I7" s="161">
        <v>74</v>
      </c>
      <c r="J7" s="161">
        <v>74</v>
      </c>
      <c r="K7" s="161">
        <v>74</v>
      </c>
      <c r="L7" s="161">
        <v>74</v>
      </c>
      <c r="M7" s="161">
        <v>74</v>
      </c>
      <c r="N7" s="161">
        <v>74</v>
      </c>
      <c r="O7" s="161">
        <v>74</v>
      </c>
    </row>
    <row r="8" spans="1:17">
      <c r="A8" s="159">
        <v>0.5</v>
      </c>
      <c r="B8" s="239"/>
      <c r="C8" s="161">
        <v>61</v>
      </c>
      <c r="D8" s="161">
        <v>66</v>
      </c>
      <c r="E8" s="161">
        <v>68</v>
      </c>
      <c r="F8" s="161">
        <v>69</v>
      </c>
      <c r="G8" s="161">
        <v>69</v>
      </c>
      <c r="H8" s="161">
        <v>69</v>
      </c>
      <c r="I8" s="161">
        <v>69</v>
      </c>
      <c r="J8" s="161">
        <v>70</v>
      </c>
      <c r="K8" s="161">
        <v>70</v>
      </c>
      <c r="L8" s="161">
        <v>70</v>
      </c>
      <c r="M8" s="161">
        <v>69</v>
      </c>
      <c r="N8" s="161">
        <v>69</v>
      </c>
      <c r="O8" s="161">
        <v>69</v>
      </c>
    </row>
    <row r="9" spans="1:17">
      <c r="A9" s="159">
        <v>0.4</v>
      </c>
      <c r="B9" s="239"/>
      <c r="C9" s="161">
        <v>51</v>
      </c>
      <c r="D9" s="161">
        <v>58</v>
      </c>
      <c r="E9" s="161">
        <v>61</v>
      </c>
      <c r="F9" s="161">
        <v>62</v>
      </c>
      <c r="G9" s="161">
        <v>62</v>
      </c>
      <c r="H9" s="161">
        <v>62</v>
      </c>
      <c r="I9" s="161">
        <v>63</v>
      </c>
      <c r="J9" s="161">
        <v>63</v>
      </c>
      <c r="K9" s="161">
        <v>63</v>
      </c>
      <c r="L9" s="161">
        <v>63</v>
      </c>
      <c r="M9" s="161">
        <v>63</v>
      </c>
      <c r="N9" s="161">
        <v>63</v>
      </c>
      <c r="O9" s="161">
        <v>63</v>
      </c>
    </row>
    <row r="10" spans="1:17">
      <c r="A10" s="159">
        <v>0.3</v>
      </c>
      <c r="B10" s="239"/>
      <c r="C10" s="161">
        <v>40</v>
      </c>
      <c r="D10" s="161">
        <v>48</v>
      </c>
      <c r="E10" s="161">
        <v>51</v>
      </c>
      <c r="F10" s="161">
        <v>53</v>
      </c>
      <c r="G10" s="161">
        <v>53</v>
      </c>
      <c r="H10" s="161">
        <v>53</v>
      </c>
      <c r="I10" s="161">
        <v>53</v>
      </c>
      <c r="J10" s="161">
        <v>54</v>
      </c>
      <c r="K10" s="161">
        <v>54</v>
      </c>
      <c r="L10" s="161">
        <v>54</v>
      </c>
      <c r="M10" s="161">
        <v>54</v>
      </c>
      <c r="N10" s="161">
        <v>53</v>
      </c>
      <c r="O10" s="161">
        <v>53</v>
      </c>
    </row>
    <row r="11" spans="1:17">
      <c r="A11" s="159">
        <v>0.2</v>
      </c>
      <c r="B11" s="239"/>
      <c r="C11" s="161">
        <v>28</v>
      </c>
      <c r="D11" s="161">
        <v>35</v>
      </c>
      <c r="E11" s="161">
        <v>38</v>
      </c>
      <c r="F11" s="161">
        <v>40</v>
      </c>
      <c r="G11" s="161">
        <v>40</v>
      </c>
      <c r="H11" s="161">
        <v>41</v>
      </c>
      <c r="I11" s="161">
        <v>41</v>
      </c>
      <c r="J11" s="161">
        <v>41</v>
      </c>
      <c r="K11" s="161">
        <v>41</v>
      </c>
      <c r="L11" s="161">
        <v>41</v>
      </c>
      <c r="M11" s="161">
        <v>41</v>
      </c>
      <c r="N11" s="161">
        <v>41</v>
      </c>
      <c r="O11" s="161">
        <v>41</v>
      </c>
    </row>
    <row r="12" spans="1:17">
      <c r="A12" s="159">
        <v>0.1</v>
      </c>
      <c r="B12" s="239"/>
      <c r="C12" s="161">
        <v>15</v>
      </c>
      <c r="D12" s="161">
        <v>19</v>
      </c>
      <c r="E12" s="161">
        <v>22</v>
      </c>
      <c r="F12" s="161">
        <v>23</v>
      </c>
      <c r="G12" s="161">
        <v>23</v>
      </c>
      <c r="H12" s="161">
        <v>23</v>
      </c>
      <c r="I12" s="161">
        <v>23</v>
      </c>
      <c r="J12" s="161">
        <v>24</v>
      </c>
      <c r="K12" s="161">
        <v>24</v>
      </c>
      <c r="L12" s="161">
        <v>24</v>
      </c>
      <c r="M12" s="161">
        <v>24</v>
      </c>
      <c r="N12" s="161">
        <v>23</v>
      </c>
      <c r="O12" s="161">
        <v>24</v>
      </c>
    </row>
    <row r="13" spans="1:17">
      <c r="A13" s="159">
        <v>0</v>
      </c>
      <c r="B13" s="239"/>
      <c r="C13" s="161">
        <v>0</v>
      </c>
      <c r="D13" s="161">
        <v>0</v>
      </c>
      <c r="E13" s="161">
        <v>0</v>
      </c>
      <c r="F13" s="161">
        <v>0</v>
      </c>
      <c r="G13" s="161">
        <v>0</v>
      </c>
      <c r="H13" s="161">
        <v>0</v>
      </c>
      <c r="I13" s="161">
        <v>0</v>
      </c>
      <c r="J13" s="161">
        <v>0</v>
      </c>
      <c r="K13" s="161">
        <v>0</v>
      </c>
      <c r="L13" s="161">
        <v>0</v>
      </c>
      <c r="M13" s="161">
        <v>0</v>
      </c>
      <c r="N13" s="161">
        <v>0</v>
      </c>
      <c r="O13" s="161">
        <v>0</v>
      </c>
    </row>
    <row r="14" spans="1:17">
      <c r="A14" s="159" t="s">
        <v>368</v>
      </c>
      <c r="B14" s="240"/>
      <c r="C14" s="161">
        <v>90</v>
      </c>
      <c r="D14" s="161">
        <v>84</v>
      </c>
      <c r="E14" s="161">
        <v>82</v>
      </c>
      <c r="F14" s="161">
        <v>81</v>
      </c>
      <c r="G14" s="161">
        <v>80</v>
      </c>
      <c r="H14" s="161">
        <v>80</v>
      </c>
      <c r="I14" s="161">
        <v>80</v>
      </c>
      <c r="J14" s="161">
        <v>80</v>
      </c>
      <c r="K14" s="161">
        <v>80</v>
      </c>
      <c r="L14" s="161">
        <v>80</v>
      </c>
      <c r="M14" s="161">
        <v>80</v>
      </c>
      <c r="N14" s="161">
        <v>80</v>
      </c>
      <c r="O14" s="161">
        <v>80</v>
      </c>
    </row>
    <row r="16" spans="1:17">
      <c r="A16" s="245" t="s">
        <v>703</v>
      </c>
      <c r="B16" s="245"/>
      <c r="C16" s="245"/>
      <c r="D16" s="245"/>
      <c r="E16" s="245"/>
      <c r="F16" s="245"/>
      <c r="G16" s="245"/>
      <c r="H16" s="245"/>
      <c r="I16" s="245"/>
      <c r="J16" s="245"/>
      <c r="K16" s="245"/>
      <c r="L16" s="245"/>
      <c r="M16" s="245"/>
      <c r="N16" s="245"/>
      <c r="O16" s="245"/>
    </row>
    <row r="17" spans="1:15">
      <c r="A17" s="245"/>
      <c r="B17" s="245"/>
      <c r="C17" s="245"/>
      <c r="D17" s="245"/>
      <c r="E17" s="245"/>
      <c r="F17" s="245"/>
      <c r="G17" s="245"/>
      <c r="H17" s="245"/>
      <c r="I17" s="245"/>
      <c r="J17" s="245"/>
      <c r="K17" s="245"/>
      <c r="L17" s="245"/>
      <c r="M17" s="245"/>
      <c r="N17" s="245"/>
      <c r="O17" s="245"/>
    </row>
    <row r="18" spans="1:15">
      <c r="A18" s="245"/>
      <c r="B18" s="245"/>
      <c r="C18" s="245"/>
      <c r="D18" s="245"/>
      <c r="E18" s="245"/>
      <c r="F18" s="245"/>
      <c r="G18" s="245"/>
      <c r="H18" s="245"/>
      <c r="I18" s="245"/>
      <c r="J18" s="245"/>
      <c r="K18" s="245"/>
      <c r="L18" s="245"/>
      <c r="M18" s="245"/>
      <c r="N18" s="245"/>
      <c r="O18" s="245"/>
    </row>
  </sheetData>
  <mergeCells count="2">
    <mergeCell ref="B3:B14"/>
    <mergeCell ref="A16:O18"/>
  </mergeCells>
  <phoneticPr fontId="5"/>
  <conditionalFormatting sqref="C4:O14 B3:O3">
    <cfRule type="colorScale" priority="1">
      <colorScale>
        <cfvo type="num" val="0"/>
        <cfvo type="num" val="98.659118173018896"/>
        <color rgb="FFFFFFFF"/>
        <color rgb="FF92D050"/>
      </colorScale>
    </cfRule>
  </conditionalFormatting>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BA4A-7E71-4A6F-B5F4-601CF2FE8E0C}">
  <sheetPr codeName="Sheet36"/>
  <dimension ref="B1:K14"/>
  <sheetViews>
    <sheetView showGridLines="0" workbookViewId="0">
      <selection activeCell="I40" sqref="I40"/>
    </sheetView>
  </sheetViews>
  <sheetFormatPr defaultColWidth="11.42578125" defaultRowHeight="13.5"/>
  <cols>
    <col min="1" max="1" width="2.42578125" style="54" customWidth="1"/>
    <col min="2" max="2" width="11" style="54" customWidth="1"/>
    <col min="3" max="3" width="10.85546875" style="54" customWidth="1"/>
    <col min="4" max="5" width="9.5703125" style="54" customWidth="1"/>
    <col min="6" max="6" width="10.85546875" style="54" customWidth="1"/>
    <col min="7" max="7" width="9.7109375" style="54" customWidth="1"/>
    <col min="8" max="8" width="9.5703125" style="54" customWidth="1"/>
    <col min="9" max="9" width="10.42578125" style="54" customWidth="1"/>
    <col min="10" max="10" width="11.42578125" style="54"/>
    <col min="11" max="11" width="23" style="54" customWidth="1"/>
    <col min="12" max="16384" width="11.42578125" style="54"/>
  </cols>
  <sheetData>
    <row r="1" spans="2:11">
      <c r="B1" s="54" t="s">
        <v>29</v>
      </c>
    </row>
    <row r="3" spans="2:11">
      <c r="B3" s="164" t="s">
        <v>8</v>
      </c>
      <c r="C3" s="164" t="s">
        <v>9</v>
      </c>
      <c r="D3" s="164" t="s">
        <v>11</v>
      </c>
      <c r="E3" s="164" t="s">
        <v>13</v>
      </c>
      <c r="F3" s="164" t="s">
        <v>15</v>
      </c>
      <c r="G3" s="164" t="s">
        <v>17</v>
      </c>
      <c r="H3" s="164" t="s">
        <v>20</v>
      </c>
      <c r="I3" s="164" t="s">
        <v>23</v>
      </c>
    </row>
    <row r="4" spans="2:11">
      <c r="B4" s="136"/>
      <c r="C4" s="136" t="s">
        <v>10</v>
      </c>
      <c r="D4" s="136" t="s">
        <v>12</v>
      </c>
      <c r="E4" s="136" t="s">
        <v>14</v>
      </c>
      <c r="F4" s="136" t="s">
        <v>16</v>
      </c>
      <c r="G4" s="136" t="s">
        <v>18</v>
      </c>
      <c r="H4" s="136" t="s">
        <v>21</v>
      </c>
      <c r="I4" s="136" t="s">
        <v>24</v>
      </c>
    </row>
    <row r="5" spans="2:11">
      <c r="B5" s="165"/>
      <c r="C5" s="165"/>
      <c r="D5" s="165"/>
      <c r="E5" s="165"/>
      <c r="F5" s="165"/>
      <c r="G5" s="165" t="s">
        <v>19</v>
      </c>
      <c r="H5" s="165" t="s">
        <v>22</v>
      </c>
      <c r="I5" s="165"/>
    </row>
    <row r="6" spans="2:11">
      <c r="B6" s="136" t="s">
        <v>25</v>
      </c>
      <c r="C6" s="54">
        <v>0.27</v>
      </c>
      <c r="D6" s="54">
        <v>0.38</v>
      </c>
      <c r="E6" s="54">
        <v>0.18</v>
      </c>
      <c r="F6" s="54">
        <v>0.33</v>
      </c>
      <c r="G6" s="54">
        <v>4.7</v>
      </c>
      <c r="H6" s="166">
        <v>1</v>
      </c>
      <c r="I6" s="166">
        <v>0</v>
      </c>
    </row>
    <row r="7" spans="2:11">
      <c r="B7" s="136" t="s">
        <v>26</v>
      </c>
      <c r="C7" s="54">
        <v>0.89</v>
      </c>
      <c r="D7" s="54">
        <v>1.23</v>
      </c>
      <c r="E7" s="54">
        <v>0.57999999999999996</v>
      </c>
      <c r="F7" s="54">
        <v>1.07</v>
      </c>
      <c r="G7" s="166">
        <v>10</v>
      </c>
      <c r="H7" s="166">
        <v>1</v>
      </c>
      <c r="I7" s="166">
        <v>1</v>
      </c>
      <c r="K7" s="167"/>
    </row>
    <row r="8" spans="2:11">
      <c r="B8" s="136" t="s">
        <v>27</v>
      </c>
      <c r="C8" s="168">
        <v>1</v>
      </c>
      <c r="D8" s="54">
        <v>1.39</v>
      </c>
      <c r="E8" s="54">
        <v>0.65</v>
      </c>
      <c r="F8" s="54">
        <v>1.21</v>
      </c>
      <c r="G8" s="54">
        <v>17.8</v>
      </c>
      <c r="H8" s="54">
        <v>1.6</v>
      </c>
      <c r="I8" s="166">
        <v>1</v>
      </c>
    </row>
    <row r="9" spans="2:11">
      <c r="B9" s="165" t="s">
        <v>28</v>
      </c>
      <c r="C9" s="169">
        <v>1</v>
      </c>
      <c r="D9" s="170">
        <v>1.39</v>
      </c>
      <c r="E9" s="170">
        <v>0.65</v>
      </c>
      <c r="F9" s="170">
        <v>1.21</v>
      </c>
      <c r="G9" s="170">
        <v>23.6</v>
      </c>
      <c r="H9" s="170">
        <v>1.9</v>
      </c>
      <c r="I9" s="171">
        <v>1</v>
      </c>
    </row>
    <row r="11" spans="2:11" s="153" customFormat="1" ht="33.75" customHeight="1">
      <c r="B11" s="246" t="s">
        <v>704</v>
      </c>
      <c r="C11" s="246"/>
      <c r="D11" s="246"/>
      <c r="E11" s="246"/>
      <c r="F11" s="246"/>
      <c r="G11" s="246"/>
      <c r="H11" s="246"/>
      <c r="I11" s="246"/>
      <c r="K11" s="167"/>
    </row>
    <row r="12" spans="2:11" s="153" customFormat="1" ht="32.25" customHeight="1">
      <c r="B12" s="247" t="s">
        <v>705</v>
      </c>
      <c r="C12" s="247"/>
      <c r="D12" s="247"/>
      <c r="E12" s="247"/>
      <c r="F12" s="247"/>
      <c r="G12" s="247"/>
      <c r="H12" s="247"/>
      <c r="I12" s="247"/>
    </row>
    <row r="13" spans="2:11" s="153" customFormat="1" ht="32.25" customHeight="1">
      <c r="B13" s="247" t="s">
        <v>706</v>
      </c>
      <c r="C13" s="247"/>
      <c r="D13" s="247"/>
      <c r="E13" s="247"/>
      <c r="F13" s="247"/>
      <c r="G13" s="247"/>
      <c r="H13" s="247"/>
      <c r="I13" s="247"/>
    </row>
    <row r="14" spans="2:11" s="153" customFormat="1" ht="45.75" customHeight="1">
      <c r="B14" s="247" t="s">
        <v>707</v>
      </c>
      <c r="C14" s="247"/>
      <c r="D14" s="247"/>
      <c r="E14" s="247"/>
      <c r="F14" s="247"/>
      <c r="G14" s="247"/>
      <c r="H14" s="247"/>
      <c r="I14" s="247"/>
    </row>
  </sheetData>
  <mergeCells count="4">
    <mergeCell ref="B11:I11"/>
    <mergeCell ref="B12:I12"/>
    <mergeCell ref="B13:I13"/>
    <mergeCell ref="B14:I14"/>
  </mergeCells>
  <phoneticPr fontId="5"/>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BCBA-607E-472F-8F87-12D759176439}">
  <sheetPr codeName="Sheet46"/>
  <dimension ref="B1:J5"/>
  <sheetViews>
    <sheetView showGridLines="0" workbookViewId="0">
      <selection activeCell="I40" sqref="I40"/>
    </sheetView>
  </sheetViews>
  <sheetFormatPr defaultColWidth="11.42578125" defaultRowHeight="13.5"/>
  <cols>
    <col min="1" max="1" width="2.140625" customWidth="1"/>
    <col min="2" max="2" width="21.5703125" customWidth="1"/>
    <col min="3" max="3" width="12.28515625" customWidth="1"/>
    <col min="4" max="4" width="9.28515625" bestFit="1" customWidth="1"/>
    <col min="5" max="5" width="7" bestFit="1" customWidth="1"/>
    <col min="6" max="6" width="11.42578125" style="54" bestFit="1" customWidth="1"/>
    <col min="7" max="7" width="7" bestFit="1" customWidth="1"/>
    <col min="8" max="8" width="4.85546875" customWidth="1"/>
  </cols>
  <sheetData>
    <row r="1" spans="2:10">
      <c r="B1" t="s">
        <v>30</v>
      </c>
    </row>
    <row r="2" spans="2:10">
      <c r="J2" s="103"/>
    </row>
    <row r="3" spans="2:10" s="99" customFormat="1">
      <c r="B3" s="102" t="s">
        <v>31</v>
      </c>
      <c r="C3" s="102" t="s">
        <v>32</v>
      </c>
      <c r="D3" s="102" t="s">
        <v>33</v>
      </c>
      <c r="E3" s="102" t="s">
        <v>34</v>
      </c>
      <c r="F3" s="172" t="s">
        <v>35</v>
      </c>
      <c r="G3" s="102" t="s">
        <v>36</v>
      </c>
      <c r="H3" s="102" t="s">
        <v>37</v>
      </c>
    </row>
    <row r="4" spans="2:10" ht="16.5">
      <c r="B4" s="61" t="s">
        <v>38</v>
      </c>
      <c r="C4" s="174" t="s">
        <v>39</v>
      </c>
      <c r="D4" s="174" t="s">
        <v>40</v>
      </c>
      <c r="E4" s="174">
        <v>1.0389999999999999</v>
      </c>
      <c r="F4" s="175" t="s">
        <v>708</v>
      </c>
      <c r="G4" s="174">
        <v>0.28799999999999998</v>
      </c>
      <c r="H4" s="174" t="s">
        <v>41</v>
      </c>
    </row>
    <row r="5" spans="2:10">
      <c r="B5" t="s">
        <v>82</v>
      </c>
    </row>
  </sheetData>
  <phoneticPr fontId="5"/>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AEA1-015F-49CA-8DD8-E45902EE5428}">
  <sheetPr codeName="Sheet47"/>
  <dimension ref="B1:D10"/>
  <sheetViews>
    <sheetView showGridLines="0" workbookViewId="0">
      <selection activeCell="I40" sqref="I40"/>
    </sheetView>
  </sheetViews>
  <sheetFormatPr defaultColWidth="11.42578125" defaultRowHeight="13.5"/>
  <cols>
    <col min="1" max="1" width="1.5703125" customWidth="1"/>
    <col min="2" max="2" width="15.140625" customWidth="1"/>
    <col min="3" max="3" width="15.85546875" customWidth="1"/>
    <col min="4" max="4" width="56.28515625" bestFit="1" customWidth="1"/>
  </cols>
  <sheetData>
    <row r="1" spans="2:4">
      <c r="B1" t="s">
        <v>42</v>
      </c>
    </row>
    <row r="3" spans="2:4" s="99" customFormat="1">
      <c r="B3" s="102" t="s">
        <v>43</v>
      </c>
      <c r="C3" s="102" t="s">
        <v>44</v>
      </c>
      <c r="D3" s="102" t="s">
        <v>45</v>
      </c>
    </row>
    <row r="4" spans="2:4">
      <c r="B4" s="61" t="s">
        <v>46</v>
      </c>
      <c r="C4" s="61" t="s">
        <v>51</v>
      </c>
      <c r="D4" s="109" t="s">
        <v>680</v>
      </c>
    </row>
    <row r="5" spans="2:4">
      <c r="B5" s="61" t="s">
        <v>47</v>
      </c>
      <c r="C5" s="61" t="s">
        <v>52</v>
      </c>
      <c r="D5" s="109" t="s">
        <v>681</v>
      </c>
    </row>
    <row r="6" spans="2:4">
      <c r="B6" s="104" t="s">
        <v>48</v>
      </c>
      <c r="C6" s="104" t="s">
        <v>53</v>
      </c>
      <c r="D6" s="110" t="s">
        <v>682</v>
      </c>
    </row>
    <row r="7" spans="2:4">
      <c r="B7" s="104" t="s">
        <v>11</v>
      </c>
      <c r="C7" s="58" t="s">
        <v>54</v>
      </c>
      <c r="D7" s="107"/>
    </row>
    <row r="8" spans="2:4">
      <c r="B8" s="106"/>
      <c r="C8" s="59" t="s">
        <v>55</v>
      </c>
      <c r="D8" s="108"/>
    </row>
    <row r="9" spans="2:4">
      <c r="B9" s="106" t="s">
        <v>56</v>
      </c>
      <c r="C9" s="105">
        <v>0.45</v>
      </c>
      <c r="D9" s="106" t="s">
        <v>57</v>
      </c>
    </row>
    <row r="10" spans="2:4">
      <c r="B10" s="61" t="s">
        <v>49</v>
      </c>
      <c r="C10" s="61" t="s">
        <v>58</v>
      </c>
      <c r="D10" s="61" t="s">
        <v>50</v>
      </c>
    </row>
  </sheetData>
  <phoneticPr fontId="5"/>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BF2A9-516E-48B0-A842-B23EC9022252}">
  <sheetPr codeName="Sheet48"/>
  <dimension ref="B1:F15"/>
  <sheetViews>
    <sheetView showGridLines="0" workbookViewId="0">
      <selection activeCell="I40" sqref="I40"/>
    </sheetView>
  </sheetViews>
  <sheetFormatPr defaultColWidth="11.42578125" defaultRowHeight="13.5"/>
  <cols>
    <col min="1" max="1" width="4.42578125" style="54" customWidth="1"/>
    <col min="2" max="2" width="20.7109375" style="54" customWidth="1"/>
    <col min="3" max="3" width="27" style="54" customWidth="1"/>
    <col min="4" max="4" width="68.140625" style="54" bestFit="1" customWidth="1"/>
    <col min="5" max="16384" width="11.42578125" style="54"/>
  </cols>
  <sheetData>
    <row r="1" spans="2:6">
      <c r="B1" s="54" t="s">
        <v>59</v>
      </c>
    </row>
    <row r="3" spans="2:6">
      <c r="B3" s="172" t="s">
        <v>43</v>
      </c>
      <c r="C3" s="172" t="s">
        <v>44</v>
      </c>
      <c r="D3" s="172" t="s">
        <v>45</v>
      </c>
    </row>
    <row r="4" spans="2:6">
      <c r="B4" s="173" t="s">
        <v>60</v>
      </c>
      <c r="C4" s="173" t="s">
        <v>70</v>
      </c>
      <c r="D4" s="173" t="s">
        <v>71</v>
      </c>
    </row>
    <row r="5" spans="2:6">
      <c r="B5" s="173" t="s">
        <v>61</v>
      </c>
      <c r="C5" s="248" t="s">
        <v>672</v>
      </c>
      <c r="D5" s="249"/>
    </row>
    <row r="6" spans="2:6">
      <c r="B6" s="173" t="s">
        <v>62</v>
      </c>
      <c r="C6" s="176">
        <v>0.16</v>
      </c>
      <c r="D6" s="173" t="s">
        <v>72</v>
      </c>
      <c r="F6" s="132"/>
    </row>
    <row r="7" spans="2:6">
      <c r="B7" s="173" t="s">
        <v>73</v>
      </c>
      <c r="C7" s="177">
        <v>0.56399999999999995</v>
      </c>
      <c r="D7" s="173" t="s">
        <v>74</v>
      </c>
    </row>
    <row r="8" spans="2:6">
      <c r="B8" s="173" t="s">
        <v>75</v>
      </c>
      <c r="C8" s="177">
        <v>0.48599999999999999</v>
      </c>
      <c r="D8" s="173" t="s">
        <v>76</v>
      </c>
    </row>
    <row r="9" spans="2:6">
      <c r="B9" s="178" t="s">
        <v>63</v>
      </c>
      <c r="C9" s="178"/>
      <c r="D9" s="178"/>
    </row>
    <row r="10" spans="2:6">
      <c r="B10" s="173" t="s">
        <v>64</v>
      </c>
      <c r="C10" s="173">
        <v>0.87</v>
      </c>
      <c r="D10" s="173" t="s">
        <v>77</v>
      </c>
    </row>
    <row r="11" spans="2:6">
      <c r="B11" s="173" t="s">
        <v>65</v>
      </c>
      <c r="C11" s="173">
        <v>0.63</v>
      </c>
      <c r="D11" s="173" t="s">
        <v>78</v>
      </c>
    </row>
    <row r="12" spans="2:6">
      <c r="B12" s="173" t="s">
        <v>66</v>
      </c>
      <c r="C12" s="248" t="s">
        <v>79</v>
      </c>
      <c r="D12" s="249"/>
    </row>
    <row r="13" spans="2:6">
      <c r="B13" s="173" t="s">
        <v>67</v>
      </c>
      <c r="C13" s="248" t="s">
        <v>80</v>
      </c>
      <c r="D13" s="249"/>
    </row>
    <row r="14" spans="2:6">
      <c r="B14" s="173" t="s">
        <v>68</v>
      </c>
      <c r="C14" s="248" t="s">
        <v>69</v>
      </c>
      <c r="D14" s="249"/>
    </row>
    <row r="15" spans="2:6">
      <c r="B15" s="54" t="s">
        <v>81</v>
      </c>
    </row>
  </sheetData>
  <mergeCells count="4">
    <mergeCell ref="C5:D5"/>
    <mergeCell ref="C12:D12"/>
    <mergeCell ref="C13:D13"/>
    <mergeCell ref="C14:D14"/>
  </mergeCells>
  <phoneticPr fontId="5"/>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DC3A-436C-46B7-8A1B-4A200707A97F}">
  <sheetPr codeName="Sheet49"/>
  <dimension ref="B1:G14"/>
  <sheetViews>
    <sheetView showGridLines="0" workbookViewId="0">
      <selection activeCell="I40" sqref="I40"/>
    </sheetView>
  </sheetViews>
  <sheetFormatPr defaultColWidth="11.42578125" defaultRowHeight="13.5"/>
  <cols>
    <col min="1" max="1" width="2.42578125" customWidth="1"/>
    <col min="2" max="5" width="19.28515625" customWidth="1"/>
  </cols>
  <sheetData>
    <row r="1" spans="2:7">
      <c r="B1" t="s">
        <v>83</v>
      </c>
    </row>
    <row r="3" spans="2:7">
      <c r="B3" s="62" t="s">
        <v>92</v>
      </c>
      <c r="C3" s="62"/>
      <c r="D3" s="62"/>
      <c r="E3" s="62"/>
    </row>
    <row r="4" spans="2:7" s="64" customFormat="1" ht="40.5">
      <c r="B4" s="63" t="s">
        <v>43</v>
      </c>
      <c r="C4" s="111" t="s">
        <v>673</v>
      </c>
      <c r="D4" s="112" t="s">
        <v>674</v>
      </c>
      <c r="E4" s="111" t="s">
        <v>675</v>
      </c>
    </row>
    <row r="5" spans="2:7">
      <c r="B5" s="62" t="s">
        <v>93</v>
      </c>
      <c r="C5" s="62"/>
      <c r="D5" s="62"/>
      <c r="E5" s="62"/>
    </row>
    <row r="6" spans="2:7">
      <c r="B6" s="61" t="s">
        <v>85</v>
      </c>
      <c r="C6" s="61">
        <v>92</v>
      </c>
      <c r="D6" s="61">
        <v>1.04</v>
      </c>
      <c r="E6" s="61">
        <v>27</v>
      </c>
    </row>
    <row r="7" spans="2:7">
      <c r="B7" s="62" t="s">
        <v>94</v>
      </c>
      <c r="C7" s="62"/>
      <c r="D7" s="62"/>
      <c r="E7" s="62"/>
    </row>
    <row r="8" spans="2:7">
      <c r="B8" s="61" t="s">
        <v>86</v>
      </c>
      <c r="C8" s="61">
        <v>99</v>
      </c>
      <c r="D8" s="61">
        <v>1.1499999999999999</v>
      </c>
      <c r="E8" s="61">
        <v>29</v>
      </c>
    </row>
    <row r="9" spans="2:7">
      <c r="B9" s="61" t="s">
        <v>87</v>
      </c>
      <c r="C9" s="61">
        <v>85</v>
      </c>
      <c r="D9" s="61">
        <v>0.92</v>
      </c>
      <c r="E9" s="61">
        <v>25</v>
      </c>
    </row>
    <row r="10" spans="2:7">
      <c r="B10" s="61" t="s">
        <v>88</v>
      </c>
      <c r="C10" s="61">
        <v>70</v>
      </c>
      <c r="D10" s="61">
        <v>0.69</v>
      </c>
      <c r="E10" s="61">
        <v>20</v>
      </c>
    </row>
    <row r="11" spans="2:7">
      <c r="B11" s="61" t="s">
        <v>89</v>
      </c>
      <c r="C11" s="61">
        <v>51</v>
      </c>
      <c r="D11" s="61">
        <v>0.46</v>
      </c>
      <c r="E11" s="61">
        <v>15</v>
      </c>
    </row>
    <row r="12" spans="2:7">
      <c r="B12" s="61" t="s">
        <v>90</v>
      </c>
      <c r="C12" s="61">
        <v>28</v>
      </c>
      <c r="D12" s="61">
        <v>0.23</v>
      </c>
      <c r="E12" s="61">
        <v>8</v>
      </c>
    </row>
    <row r="13" spans="2:7">
      <c r="B13" s="61" t="s">
        <v>91</v>
      </c>
      <c r="C13" s="61">
        <v>0</v>
      </c>
      <c r="D13" s="173">
        <v>0</v>
      </c>
      <c r="E13" s="61">
        <v>0</v>
      </c>
    </row>
    <row r="14" spans="2:7">
      <c r="B14" s="61" t="s">
        <v>15</v>
      </c>
      <c r="C14" s="61">
        <v>90</v>
      </c>
      <c r="D14" s="179">
        <v>1</v>
      </c>
      <c r="E14" s="61">
        <v>26</v>
      </c>
      <c r="G14" s="87"/>
    </row>
  </sheetData>
  <phoneticPr fontId="5"/>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1CD5-4CD0-45D3-9500-DFD4285C5510}">
  <sheetPr codeName="Sheet50"/>
  <dimension ref="B1:G16"/>
  <sheetViews>
    <sheetView showGridLines="0" workbookViewId="0">
      <selection activeCell="I40" sqref="I40"/>
    </sheetView>
  </sheetViews>
  <sheetFormatPr defaultColWidth="11.42578125" defaultRowHeight="13.5"/>
  <cols>
    <col min="1" max="1" width="2.42578125" customWidth="1"/>
  </cols>
  <sheetData>
    <row r="1" spans="2:7">
      <c r="B1" t="s">
        <v>95</v>
      </c>
    </row>
    <row r="3" spans="2:7">
      <c r="B3" s="62" t="s">
        <v>96</v>
      </c>
      <c r="C3" s="66"/>
      <c r="D3" s="66"/>
      <c r="E3" s="66"/>
      <c r="F3" s="66"/>
      <c r="G3" s="66"/>
    </row>
    <row r="4" spans="2:7">
      <c r="B4" s="250" t="s">
        <v>43</v>
      </c>
      <c r="C4" s="113" t="s">
        <v>107</v>
      </c>
      <c r="D4" s="114">
        <v>0.9</v>
      </c>
      <c r="E4" s="253" t="s">
        <v>108</v>
      </c>
      <c r="F4" s="254"/>
      <c r="G4" s="255"/>
    </row>
    <row r="5" spans="2:7">
      <c r="B5" s="251"/>
      <c r="C5" s="115" t="s">
        <v>97</v>
      </c>
      <c r="D5" s="115" t="s">
        <v>98</v>
      </c>
      <c r="E5" s="256" t="s">
        <v>109</v>
      </c>
      <c r="F5" s="257"/>
      <c r="G5" s="258"/>
    </row>
    <row r="6" spans="2:7">
      <c r="B6" s="252"/>
      <c r="C6" s="116" t="s">
        <v>84</v>
      </c>
      <c r="D6" s="118" t="s">
        <v>84</v>
      </c>
      <c r="E6" s="117" t="s">
        <v>46</v>
      </c>
      <c r="F6" s="118" t="s">
        <v>47</v>
      </c>
      <c r="G6" s="118" t="s">
        <v>48</v>
      </c>
    </row>
    <row r="7" spans="2:7">
      <c r="B7" s="62" t="s">
        <v>93</v>
      </c>
      <c r="C7" s="67"/>
      <c r="D7" s="67"/>
      <c r="E7" s="62"/>
      <c r="F7" s="62"/>
      <c r="G7" s="62"/>
    </row>
    <row r="8" spans="2:7">
      <c r="B8" s="61" t="s">
        <v>85</v>
      </c>
      <c r="C8" s="61">
        <v>124</v>
      </c>
      <c r="D8" s="65" t="s">
        <v>99</v>
      </c>
      <c r="E8" s="61">
        <v>60</v>
      </c>
      <c r="F8" s="61">
        <v>100</v>
      </c>
      <c r="G8" s="61">
        <v>100</v>
      </c>
    </row>
    <row r="9" spans="2:7">
      <c r="B9" s="62" t="s">
        <v>94</v>
      </c>
      <c r="C9" s="62"/>
      <c r="D9" s="62"/>
      <c r="E9" s="62"/>
      <c r="F9" s="62"/>
      <c r="G9" s="62"/>
    </row>
    <row r="10" spans="2:7">
      <c r="B10" s="61" t="s">
        <v>86</v>
      </c>
      <c r="C10" s="61">
        <v>113</v>
      </c>
      <c r="D10" s="65" t="s">
        <v>100</v>
      </c>
      <c r="E10" s="61">
        <v>46</v>
      </c>
      <c r="F10" s="61">
        <v>100</v>
      </c>
      <c r="G10" s="61">
        <v>100</v>
      </c>
    </row>
    <row r="11" spans="2:7">
      <c r="B11" s="61" t="s">
        <v>87</v>
      </c>
      <c r="C11" s="61">
        <v>136</v>
      </c>
      <c r="D11" s="65" t="s">
        <v>101</v>
      </c>
      <c r="E11" s="61">
        <v>73</v>
      </c>
      <c r="F11" s="61">
        <v>100</v>
      </c>
      <c r="G11" s="61">
        <v>100</v>
      </c>
    </row>
    <row r="12" spans="2:7">
      <c r="B12" s="61" t="s">
        <v>88</v>
      </c>
      <c r="C12" s="61">
        <v>166</v>
      </c>
      <c r="D12" s="65" t="s">
        <v>102</v>
      </c>
      <c r="E12" s="61">
        <v>93</v>
      </c>
      <c r="F12" s="61">
        <v>100</v>
      </c>
      <c r="G12" s="61">
        <v>100</v>
      </c>
    </row>
    <row r="13" spans="2:7">
      <c r="B13" s="61" t="s">
        <v>89</v>
      </c>
      <c r="C13" s="61">
        <v>203</v>
      </c>
      <c r="D13" s="65" t="s">
        <v>103</v>
      </c>
      <c r="E13" s="61">
        <v>100</v>
      </c>
      <c r="F13" s="61">
        <v>100</v>
      </c>
      <c r="G13" s="61">
        <v>100</v>
      </c>
    </row>
    <row r="14" spans="2:7">
      <c r="B14" s="61" t="s">
        <v>90</v>
      </c>
      <c r="C14" s="61">
        <v>254</v>
      </c>
      <c r="D14" s="65" t="s">
        <v>104</v>
      </c>
      <c r="E14" s="61">
        <v>100</v>
      </c>
      <c r="F14" s="61">
        <v>100</v>
      </c>
      <c r="G14" s="61">
        <v>100</v>
      </c>
    </row>
    <row r="15" spans="2:7">
      <c r="B15" s="61" t="s">
        <v>91</v>
      </c>
      <c r="C15" s="61">
        <v>324</v>
      </c>
      <c r="D15" s="65" t="s">
        <v>105</v>
      </c>
      <c r="E15" s="61">
        <v>100</v>
      </c>
      <c r="F15" s="61">
        <v>100</v>
      </c>
      <c r="G15" s="61">
        <v>100</v>
      </c>
    </row>
    <row r="16" spans="2:7">
      <c r="B16" s="61" t="s">
        <v>15</v>
      </c>
      <c r="C16" s="61">
        <v>128</v>
      </c>
      <c r="D16" s="65" t="s">
        <v>106</v>
      </c>
      <c r="E16" s="61">
        <v>64</v>
      </c>
      <c r="F16" s="61">
        <v>100</v>
      </c>
      <c r="G16" s="61">
        <v>100</v>
      </c>
    </row>
  </sheetData>
  <mergeCells count="3">
    <mergeCell ref="B4:B6"/>
    <mergeCell ref="E4:G4"/>
    <mergeCell ref="E5:G5"/>
  </mergeCells>
  <phoneticPr fontId="5"/>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40A8-879A-47F7-A460-EE2BB554BDB3}">
  <sheetPr codeName="Sheet37"/>
  <dimension ref="B1:L46"/>
  <sheetViews>
    <sheetView showGridLines="0" zoomScale="90" zoomScaleNormal="90" workbookViewId="0">
      <selection activeCell="I40" sqref="I40"/>
    </sheetView>
  </sheetViews>
  <sheetFormatPr defaultColWidth="11.42578125" defaultRowHeight="13.5"/>
  <cols>
    <col min="1" max="1" width="2.28515625" style="6" customWidth="1"/>
    <col min="2" max="2" width="5.7109375" style="6" customWidth="1"/>
    <col min="3" max="3" width="19.5703125" style="6" customWidth="1"/>
    <col min="4" max="5" width="18.42578125" style="6" customWidth="1"/>
    <col min="6" max="6" width="17.140625" style="6" customWidth="1"/>
    <col min="7" max="16384" width="11.42578125" style="6"/>
  </cols>
  <sheetData>
    <row r="1" spans="2:12">
      <c r="B1" s="131" t="s">
        <v>709</v>
      </c>
      <c r="L1" s="88"/>
    </row>
    <row r="2" spans="2:12">
      <c r="B2" s="34"/>
      <c r="C2" s="34"/>
      <c r="D2" s="34"/>
      <c r="E2" s="34"/>
      <c r="F2" s="34"/>
    </row>
    <row r="3" spans="2:12" ht="41.25" customHeight="1">
      <c r="B3" s="259" t="s">
        <v>122</v>
      </c>
      <c r="C3" s="261" t="s">
        <v>369</v>
      </c>
      <c r="D3" s="262"/>
      <c r="E3" s="263" t="s">
        <v>370</v>
      </c>
      <c r="F3" s="264"/>
    </row>
    <row r="4" spans="2:12">
      <c r="B4" s="260"/>
      <c r="C4" s="10" t="s">
        <v>147</v>
      </c>
      <c r="D4" s="10" t="s">
        <v>371</v>
      </c>
      <c r="E4" s="10" t="s">
        <v>372</v>
      </c>
      <c r="F4" s="10" t="s">
        <v>373</v>
      </c>
    </row>
    <row r="5" spans="2:12">
      <c r="B5" s="8">
        <v>1982</v>
      </c>
      <c r="C5" s="35"/>
      <c r="D5" s="35"/>
      <c r="E5" s="32" t="s">
        <v>374</v>
      </c>
      <c r="F5" s="32" t="s">
        <v>375</v>
      </c>
    </row>
    <row r="6" spans="2:12">
      <c r="B6" s="8">
        <v>1983</v>
      </c>
      <c r="C6" s="35"/>
      <c r="D6" s="35"/>
      <c r="E6" s="32" t="s">
        <v>376</v>
      </c>
      <c r="F6" s="32" t="s">
        <v>377</v>
      </c>
    </row>
    <row r="7" spans="2:12">
      <c r="B7" s="8">
        <v>1984</v>
      </c>
      <c r="C7" s="35"/>
      <c r="D7" s="35"/>
      <c r="E7" s="32" t="s">
        <v>378</v>
      </c>
      <c r="F7" s="32" t="s">
        <v>379</v>
      </c>
    </row>
    <row r="8" spans="2:12">
      <c r="B8" s="8">
        <v>1985</v>
      </c>
      <c r="C8" s="35"/>
      <c r="D8" s="35"/>
      <c r="E8" s="32" t="s">
        <v>380</v>
      </c>
      <c r="F8" s="32" t="s">
        <v>381</v>
      </c>
    </row>
    <row r="9" spans="2:12">
      <c r="B9" s="8">
        <v>1986</v>
      </c>
      <c r="C9" s="35"/>
      <c r="D9" s="35"/>
      <c r="E9" s="32" t="s">
        <v>382</v>
      </c>
      <c r="F9" s="32" t="s">
        <v>383</v>
      </c>
    </row>
    <row r="10" spans="2:12">
      <c r="B10" s="8">
        <v>1987</v>
      </c>
      <c r="C10" s="35"/>
      <c r="D10" s="35"/>
      <c r="E10" s="32" t="s">
        <v>384</v>
      </c>
      <c r="F10" s="32" t="s">
        <v>384</v>
      </c>
    </row>
    <row r="11" spans="2:12">
      <c r="B11" s="8">
        <v>1988</v>
      </c>
      <c r="C11" s="35"/>
      <c r="D11" s="35"/>
      <c r="E11" s="32" t="s">
        <v>385</v>
      </c>
      <c r="F11" s="32" t="s">
        <v>386</v>
      </c>
    </row>
    <row r="12" spans="2:12">
      <c r="B12" s="8">
        <v>1989</v>
      </c>
      <c r="C12" s="35"/>
      <c r="D12" s="35"/>
      <c r="E12" s="32" t="s">
        <v>387</v>
      </c>
      <c r="F12" s="32" t="s">
        <v>388</v>
      </c>
    </row>
    <row r="13" spans="2:12">
      <c r="B13" s="8">
        <v>1990</v>
      </c>
      <c r="C13" s="35"/>
      <c r="D13" s="35"/>
      <c r="E13" s="32" t="s">
        <v>389</v>
      </c>
      <c r="F13" s="32" t="s">
        <v>390</v>
      </c>
    </row>
    <row r="14" spans="2:12">
      <c r="B14" s="8">
        <v>1991</v>
      </c>
      <c r="C14" s="35"/>
      <c r="D14" s="35"/>
      <c r="E14" s="32" t="s">
        <v>391</v>
      </c>
      <c r="F14" s="32" t="s">
        <v>392</v>
      </c>
    </row>
    <row r="15" spans="2:12">
      <c r="B15" s="8">
        <v>1992</v>
      </c>
      <c r="C15" s="35"/>
      <c r="D15" s="35"/>
      <c r="E15" s="32" t="s">
        <v>393</v>
      </c>
      <c r="F15" s="32" t="s">
        <v>394</v>
      </c>
    </row>
    <row r="16" spans="2:12">
      <c r="B16" s="8">
        <v>1993</v>
      </c>
      <c r="C16" s="35"/>
      <c r="D16" s="35"/>
      <c r="E16" s="32" t="s">
        <v>395</v>
      </c>
      <c r="F16" s="32" t="s">
        <v>396</v>
      </c>
    </row>
    <row r="17" spans="2:6">
      <c r="B17" s="8">
        <v>1994</v>
      </c>
      <c r="C17" s="35"/>
      <c r="D17" s="35"/>
      <c r="E17" s="32" t="s">
        <v>397</v>
      </c>
      <c r="F17" s="32" t="s">
        <v>397</v>
      </c>
    </row>
    <row r="18" spans="2:6">
      <c r="B18" s="8">
        <v>1995</v>
      </c>
      <c r="C18" s="35"/>
      <c r="D18" s="35"/>
      <c r="E18" s="32" t="s">
        <v>398</v>
      </c>
      <c r="F18" s="32" t="s">
        <v>399</v>
      </c>
    </row>
    <row r="19" spans="2:6">
      <c r="B19" s="8">
        <v>1996</v>
      </c>
      <c r="C19" s="35"/>
      <c r="D19" s="35"/>
      <c r="E19" s="32" t="s">
        <v>400</v>
      </c>
      <c r="F19" s="32" t="s">
        <v>401</v>
      </c>
    </row>
    <row r="20" spans="2:6">
      <c r="B20" s="8">
        <v>1997</v>
      </c>
      <c r="C20" s="35"/>
      <c r="D20" s="35"/>
      <c r="E20" s="32" t="s">
        <v>402</v>
      </c>
      <c r="F20" s="32" t="s">
        <v>403</v>
      </c>
    </row>
    <row r="21" spans="2:6">
      <c r="B21" s="8">
        <v>1998</v>
      </c>
      <c r="C21" s="35"/>
      <c r="D21" s="35"/>
      <c r="E21" s="32" t="s">
        <v>404</v>
      </c>
      <c r="F21" s="32" t="s">
        <v>405</v>
      </c>
    </row>
    <row r="22" spans="2:6">
      <c r="B22" s="8">
        <v>1999</v>
      </c>
      <c r="C22" s="35"/>
      <c r="D22" s="35"/>
      <c r="E22" s="32" t="s">
        <v>406</v>
      </c>
      <c r="F22" s="32" t="s">
        <v>407</v>
      </c>
    </row>
    <row r="23" spans="2:6">
      <c r="B23" s="8">
        <v>2000</v>
      </c>
      <c r="C23" s="35"/>
      <c r="D23" s="35"/>
      <c r="E23" s="32" t="s">
        <v>408</v>
      </c>
      <c r="F23" s="32" t="s">
        <v>409</v>
      </c>
    </row>
    <row r="24" spans="2:6">
      <c r="B24" s="8">
        <v>2001</v>
      </c>
      <c r="C24" s="35">
        <v>971.4</v>
      </c>
      <c r="D24" s="35">
        <v>447.6</v>
      </c>
      <c r="E24" s="32" t="s">
        <v>410</v>
      </c>
      <c r="F24" s="32" t="s">
        <v>410</v>
      </c>
    </row>
    <row r="25" spans="2:6">
      <c r="B25" s="8">
        <v>2002</v>
      </c>
      <c r="C25" s="35">
        <v>1826</v>
      </c>
      <c r="D25" s="35">
        <v>552.1</v>
      </c>
      <c r="E25" s="32" t="s">
        <v>411</v>
      </c>
      <c r="F25" s="32" t="s">
        <v>412</v>
      </c>
    </row>
    <row r="26" spans="2:6">
      <c r="B26" s="8">
        <v>2003</v>
      </c>
      <c r="C26" s="35">
        <v>357</v>
      </c>
      <c r="D26" s="35">
        <v>690.3</v>
      </c>
      <c r="E26" s="32" t="s">
        <v>413</v>
      </c>
      <c r="F26" s="32" t="s">
        <v>414</v>
      </c>
    </row>
    <row r="27" spans="2:6">
      <c r="B27" s="8">
        <v>2004</v>
      </c>
      <c r="C27" s="35">
        <v>247.5</v>
      </c>
      <c r="D27" s="35">
        <v>656</v>
      </c>
      <c r="E27" s="32" t="s">
        <v>415</v>
      </c>
      <c r="F27" s="32" t="s">
        <v>416</v>
      </c>
    </row>
    <row r="28" spans="2:6">
      <c r="B28" s="8">
        <v>2005</v>
      </c>
      <c r="C28" s="35">
        <v>472</v>
      </c>
      <c r="D28" s="35">
        <v>444.2</v>
      </c>
      <c r="E28" s="32" t="s">
        <v>417</v>
      </c>
      <c r="F28" s="32" t="s">
        <v>418</v>
      </c>
    </row>
    <row r="29" spans="2:6">
      <c r="B29" s="8">
        <v>2006</v>
      </c>
      <c r="C29" s="35">
        <v>81.3</v>
      </c>
      <c r="D29" s="35">
        <v>50.3</v>
      </c>
      <c r="E29" s="32" t="s">
        <v>419</v>
      </c>
      <c r="F29" s="32" t="s">
        <v>420</v>
      </c>
    </row>
    <row r="30" spans="2:6">
      <c r="B30" s="8">
        <v>2007</v>
      </c>
      <c r="C30" s="35">
        <v>869.1</v>
      </c>
      <c r="D30" s="35">
        <v>114.7</v>
      </c>
      <c r="E30" s="32" t="s">
        <v>421</v>
      </c>
      <c r="F30" s="32" t="s">
        <v>422</v>
      </c>
    </row>
    <row r="31" spans="2:6">
      <c r="B31" s="8">
        <v>2008</v>
      </c>
      <c r="C31" s="35">
        <v>521.4</v>
      </c>
      <c r="D31" s="35">
        <v>3.6</v>
      </c>
      <c r="E31" s="32" t="s">
        <v>423</v>
      </c>
      <c r="F31" s="32" t="s">
        <v>424</v>
      </c>
    </row>
    <row r="32" spans="2:6">
      <c r="B32" s="8">
        <v>2009</v>
      </c>
      <c r="C32" s="35">
        <v>963</v>
      </c>
      <c r="D32" s="35">
        <v>155</v>
      </c>
      <c r="E32" s="32" t="s">
        <v>425</v>
      </c>
      <c r="F32" s="32" t="s">
        <v>426</v>
      </c>
    </row>
    <row r="33" spans="2:6">
      <c r="B33" s="8">
        <v>2010</v>
      </c>
      <c r="C33" s="35">
        <v>960.8</v>
      </c>
      <c r="D33" s="35">
        <v>522.70000000000005</v>
      </c>
      <c r="E33" s="32" t="s">
        <v>427</v>
      </c>
      <c r="F33" s="32" t="s">
        <v>428</v>
      </c>
    </row>
    <row r="34" spans="2:6">
      <c r="B34" s="8">
        <v>2011</v>
      </c>
      <c r="C34" s="35">
        <v>891.8</v>
      </c>
      <c r="D34" s="35">
        <v>2</v>
      </c>
      <c r="E34" s="32" t="s">
        <v>429</v>
      </c>
      <c r="F34" s="32" t="s">
        <v>430</v>
      </c>
    </row>
    <row r="35" spans="2:6">
      <c r="B35" s="8">
        <v>2012</v>
      </c>
      <c r="C35" s="35">
        <v>150.4</v>
      </c>
      <c r="D35" s="35">
        <v>270.8</v>
      </c>
      <c r="E35" s="32" t="s">
        <v>431</v>
      </c>
      <c r="F35" s="32" t="s">
        <v>432</v>
      </c>
    </row>
    <row r="36" spans="2:6">
      <c r="B36" s="8">
        <v>2013</v>
      </c>
      <c r="C36" s="35">
        <v>116.1</v>
      </c>
      <c r="D36" s="35">
        <v>62.2</v>
      </c>
      <c r="E36" s="32" t="s">
        <v>433</v>
      </c>
      <c r="F36" s="32" t="s">
        <v>434</v>
      </c>
    </row>
    <row r="37" spans="2:6">
      <c r="B37" s="8">
        <v>2014</v>
      </c>
      <c r="C37" s="35">
        <v>142</v>
      </c>
      <c r="D37" s="35">
        <v>24.3</v>
      </c>
      <c r="E37" s="32" t="s">
        <v>435</v>
      </c>
      <c r="F37" s="32" t="s">
        <v>436</v>
      </c>
    </row>
    <row r="38" spans="2:6">
      <c r="B38" s="8">
        <v>2015</v>
      </c>
      <c r="C38" s="35">
        <v>11.7</v>
      </c>
      <c r="D38" s="35">
        <v>0.8</v>
      </c>
      <c r="E38" s="32" t="s">
        <v>437</v>
      </c>
      <c r="F38" s="32" t="s">
        <v>438</v>
      </c>
    </row>
    <row r="39" spans="2:6">
      <c r="B39" s="8">
        <v>2016</v>
      </c>
      <c r="C39" s="35">
        <v>5.3</v>
      </c>
      <c r="D39" s="35">
        <v>15.5</v>
      </c>
      <c r="E39" s="32" t="s">
        <v>439</v>
      </c>
      <c r="F39" s="32" t="s">
        <v>440</v>
      </c>
    </row>
    <row r="40" spans="2:6">
      <c r="B40" s="8">
        <v>2017</v>
      </c>
      <c r="C40" s="35">
        <v>0.4</v>
      </c>
      <c r="D40" s="35">
        <v>0.4</v>
      </c>
      <c r="E40" s="32" t="s">
        <v>441</v>
      </c>
      <c r="F40" s="32" t="s">
        <v>442</v>
      </c>
    </row>
    <row r="41" spans="2:6">
      <c r="B41" s="8">
        <v>2018</v>
      </c>
      <c r="C41" s="35">
        <v>0.1</v>
      </c>
      <c r="D41" s="35">
        <v>0.7</v>
      </c>
      <c r="E41" s="32" t="s">
        <v>443</v>
      </c>
      <c r="F41" s="32" t="s">
        <v>444</v>
      </c>
    </row>
    <row r="42" spans="2:6">
      <c r="B42" s="8">
        <v>2019</v>
      </c>
      <c r="C42" s="35">
        <v>1.5</v>
      </c>
      <c r="D42" s="35">
        <v>1.8</v>
      </c>
      <c r="E42" s="32" t="s">
        <v>445</v>
      </c>
      <c r="F42" s="32" t="s">
        <v>446</v>
      </c>
    </row>
    <row r="43" spans="2:6">
      <c r="B43" s="8">
        <v>2020</v>
      </c>
      <c r="C43" s="35">
        <v>6.5</v>
      </c>
      <c r="D43" s="35">
        <v>49.9</v>
      </c>
      <c r="E43" s="32" t="s">
        <v>447</v>
      </c>
      <c r="F43" s="32" t="s">
        <v>448</v>
      </c>
    </row>
    <row r="44" spans="2:6">
      <c r="B44" s="8">
        <v>2021</v>
      </c>
      <c r="C44" s="35">
        <v>43.8</v>
      </c>
      <c r="D44" s="35">
        <v>28.5</v>
      </c>
      <c r="E44" s="32" t="s">
        <v>449</v>
      </c>
      <c r="F44" s="32" t="s">
        <v>450</v>
      </c>
    </row>
    <row r="45" spans="2:6">
      <c r="B45" s="8">
        <v>2022</v>
      </c>
      <c r="C45" s="35">
        <v>0.4</v>
      </c>
      <c r="D45" s="35">
        <v>14.3</v>
      </c>
      <c r="E45" s="32" t="s">
        <v>451</v>
      </c>
      <c r="F45" s="32" t="s">
        <v>452</v>
      </c>
    </row>
    <row r="46" spans="2:6">
      <c r="B46" s="10">
        <v>2023</v>
      </c>
      <c r="C46" s="36">
        <v>10.5</v>
      </c>
      <c r="D46" s="36">
        <v>30.7</v>
      </c>
      <c r="E46" s="37" t="s">
        <v>453</v>
      </c>
      <c r="F46" s="37" t="s">
        <v>454</v>
      </c>
    </row>
  </sheetData>
  <mergeCells count="3">
    <mergeCell ref="B3:B4"/>
    <mergeCell ref="C3:D3"/>
    <mergeCell ref="E3:F3"/>
  </mergeCells>
  <phoneticPr fontId="5"/>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1168-1360-47D3-AF95-94F3E2CE1EFB}">
  <sheetPr codeName="Sheet38"/>
  <dimension ref="B1:AF48"/>
  <sheetViews>
    <sheetView showGridLines="0" zoomScale="90" zoomScaleNormal="90" workbookViewId="0">
      <selection activeCell="I40" sqref="I40"/>
    </sheetView>
  </sheetViews>
  <sheetFormatPr defaultColWidth="11.42578125" defaultRowHeight="13.5"/>
  <cols>
    <col min="1" max="1" width="3" style="54" customWidth="1"/>
    <col min="2" max="2" width="5.7109375" style="54" customWidth="1"/>
    <col min="3" max="6" width="7.7109375" style="54" customWidth="1"/>
    <col min="7" max="10" width="13.28515625" style="54" customWidth="1"/>
    <col min="11" max="14" width="5.7109375" style="54" customWidth="1"/>
    <col min="15" max="15" width="4.140625" style="54" customWidth="1"/>
    <col min="16" max="16" width="5.7109375" style="54" customWidth="1"/>
    <col min="17" max="20" width="7.28515625" style="54" customWidth="1"/>
    <col min="21" max="24" width="5.7109375" style="54" customWidth="1"/>
    <col min="25" max="28" width="6.7109375" style="54" customWidth="1"/>
    <col min="29" max="32" width="5.7109375" style="54" customWidth="1"/>
    <col min="33" max="16384" width="11.42578125" style="54"/>
  </cols>
  <sheetData>
    <row r="1" spans="2:32">
      <c r="B1" s="131" t="s">
        <v>710</v>
      </c>
      <c r="N1" s="158"/>
    </row>
    <row r="3" spans="2:32" ht="27" customHeight="1">
      <c r="B3" s="268" t="s">
        <v>455</v>
      </c>
      <c r="C3" s="270" t="s">
        <v>456</v>
      </c>
      <c r="D3" s="271"/>
      <c r="E3" s="271"/>
      <c r="F3" s="271"/>
      <c r="G3" s="270" t="s">
        <v>457</v>
      </c>
      <c r="H3" s="271"/>
      <c r="I3" s="271"/>
      <c r="J3" s="271"/>
      <c r="K3" s="271" t="s">
        <v>458</v>
      </c>
      <c r="L3" s="271"/>
      <c r="M3" s="271"/>
      <c r="N3" s="271"/>
      <c r="P3" s="268" t="s">
        <v>455</v>
      </c>
      <c r="Q3" s="265" t="s">
        <v>459</v>
      </c>
      <c r="R3" s="265"/>
      <c r="S3" s="265"/>
      <c r="T3" s="265"/>
      <c r="U3" s="265" t="s">
        <v>460</v>
      </c>
      <c r="V3" s="265"/>
      <c r="W3" s="265"/>
      <c r="X3" s="265"/>
      <c r="Y3" s="265" t="s">
        <v>461</v>
      </c>
      <c r="Z3" s="265"/>
      <c r="AA3" s="265"/>
      <c r="AB3" s="265"/>
      <c r="AC3" s="265" t="s">
        <v>462</v>
      </c>
      <c r="AD3" s="265"/>
      <c r="AE3" s="265"/>
      <c r="AF3" s="265"/>
    </row>
    <row r="4" spans="2:32">
      <c r="B4" s="269"/>
      <c r="C4" s="181" t="s">
        <v>463</v>
      </c>
      <c r="D4" s="181" t="s">
        <v>464</v>
      </c>
      <c r="E4" s="181" t="s">
        <v>465</v>
      </c>
      <c r="F4" s="181" t="s">
        <v>466</v>
      </c>
      <c r="G4" s="181" t="s">
        <v>463</v>
      </c>
      <c r="H4" s="181" t="s">
        <v>464</v>
      </c>
      <c r="I4" s="181" t="s">
        <v>465</v>
      </c>
      <c r="J4" s="181" t="s">
        <v>466</v>
      </c>
      <c r="K4" s="181" t="s">
        <v>463</v>
      </c>
      <c r="L4" s="181" t="s">
        <v>464</v>
      </c>
      <c r="M4" s="181" t="s">
        <v>465</v>
      </c>
      <c r="N4" s="181" t="s">
        <v>466</v>
      </c>
      <c r="P4" s="269"/>
      <c r="Q4" s="181" t="s">
        <v>463</v>
      </c>
      <c r="R4" s="181" t="s">
        <v>464</v>
      </c>
      <c r="S4" s="181" t="s">
        <v>465</v>
      </c>
      <c r="T4" s="181" t="s">
        <v>466</v>
      </c>
      <c r="U4" s="181" t="s">
        <v>463</v>
      </c>
      <c r="V4" s="181" t="s">
        <v>464</v>
      </c>
      <c r="W4" s="181" t="s">
        <v>465</v>
      </c>
      <c r="X4" s="181" t="s">
        <v>466</v>
      </c>
      <c r="Y4" s="181" t="s">
        <v>463</v>
      </c>
      <c r="Z4" s="181" t="s">
        <v>464</v>
      </c>
      <c r="AA4" s="181" t="s">
        <v>465</v>
      </c>
      <c r="AB4" s="181" t="s">
        <v>466</v>
      </c>
      <c r="AC4" s="181" t="s">
        <v>463</v>
      </c>
      <c r="AD4" s="181" t="s">
        <v>464</v>
      </c>
      <c r="AE4" s="181" t="s">
        <v>465</v>
      </c>
      <c r="AF4" s="181" t="s">
        <v>466</v>
      </c>
    </row>
    <row r="5" spans="2:32">
      <c r="B5" s="164">
        <v>1982</v>
      </c>
      <c r="C5" s="182">
        <v>186.4</v>
      </c>
      <c r="D5" s="182">
        <v>556.6</v>
      </c>
      <c r="E5" s="182">
        <v>135.6</v>
      </c>
      <c r="F5" s="182">
        <v>202.9</v>
      </c>
      <c r="G5" s="183" t="s">
        <v>467</v>
      </c>
      <c r="H5" s="183" t="s">
        <v>468</v>
      </c>
      <c r="I5" s="183" t="s">
        <v>469</v>
      </c>
      <c r="J5" s="183" t="s">
        <v>470</v>
      </c>
      <c r="K5" s="184">
        <v>4</v>
      </c>
      <c r="L5" s="184">
        <v>4</v>
      </c>
      <c r="M5" s="184">
        <v>4</v>
      </c>
      <c r="N5" s="184">
        <v>4</v>
      </c>
      <c r="P5" s="180">
        <v>1982</v>
      </c>
      <c r="Q5" s="185">
        <v>264.2</v>
      </c>
      <c r="R5" s="185">
        <v>553.1</v>
      </c>
      <c r="S5" s="185">
        <v>589.5</v>
      </c>
      <c r="T5" s="185">
        <v>612.4</v>
      </c>
      <c r="U5" s="186">
        <v>3.7</v>
      </c>
      <c r="V5" s="186">
        <v>3.1</v>
      </c>
      <c r="W5" s="186">
        <v>2.7</v>
      </c>
      <c r="X5" s="186">
        <v>3.8</v>
      </c>
      <c r="Y5" s="186">
        <v>17.5</v>
      </c>
      <c r="Z5" s="186">
        <v>19.600000000000001</v>
      </c>
      <c r="AA5" s="186">
        <v>21.1</v>
      </c>
      <c r="AB5" s="186">
        <v>22</v>
      </c>
      <c r="AC5" s="186">
        <v>4</v>
      </c>
      <c r="AD5" s="186">
        <v>4</v>
      </c>
      <c r="AE5" s="186">
        <v>4</v>
      </c>
      <c r="AF5" s="186">
        <v>4</v>
      </c>
    </row>
    <row r="6" spans="2:32">
      <c r="B6" s="136">
        <v>1983</v>
      </c>
      <c r="C6" s="187">
        <v>5.6</v>
      </c>
      <c r="D6" s="187">
        <v>650.4</v>
      </c>
      <c r="E6" s="187">
        <v>175.9</v>
      </c>
      <c r="F6" s="187">
        <v>126.6</v>
      </c>
      <c r="G6" s="188" t="s">
        <v>471</v>
      </c>
      <c r="H6" s="188" t="s">
        <v>472</v>
      </c>
      <c r="I6" s="188" t="s">
        <v>473</v>
      </c>
      <c r="J6" s="188" t="s">
        <v>474</v>
      </c>
      <c r="K6" s="189">
        <v>4</v>
      </c>
      <c r="L6" s="189">
        <v>4</v>
      </c>
      <c r="M6" s="189">
        <v>4</v>
      </c>
      <c r="N6" s="189">
        <v>4</v>
      </c>
      <c r="P6" s="190">
        <v>1983</v>
      </c>
      <c r="Q6" s="185">
        <v>259.7</v>
      </c>
      <c r="R6" s="185">
        <v>565</v>
      </c>
      <c r="S6" s="185">
        <v>588.1</v>
      </c>
      <c r="T6" s="185">
        <v>590.79999999999995</v>
      </c>
      <c r="U6" s="186">
        <v>4.5</v>
      </c>
      <c r="V6" s="186">
        <v>3.3</v>
      </c>
      <c r="W6" s="186">
        <v>2.7</v>
      </c>
      <c r="X6" s="186">
        <v>3.9</v>
      </c>
      <c r="Y6" s="186">
        <v>16.8</v>
      </c>
      <c r="Z6" s="186">
        <v>20.3</v>
      </c>
      <c r="AA6" s="186">
        <v>21.1</v>
      </c>
      <c r="AB6" s="186">
        <v>21.3</v>
      </c>
      <c r="AC6" s="186">
        <v>4</v>
      </c>
      <c r="AD6" s="186">
        <v>4</v>
      </c>
      <c r="AE6" s="186">
        <v>4</v>
      </c>
      <c r="AF6" s="186">
        <v>4</v>
      </c>
    </row>
    <row r="7" spans="2:32">
      <c r="B7" s="136">
        <v>1984</v>
      </c>
      <c r="C7" s="187">
        <v>11.9</v>
      </c>
      <c r="D7" s="187">
        <v>590.29999999999995</v>
      </c>
      <c r="E7" s="187">
        <v>123.9</v>
      </c>
      <c r="F7" s="187">
        <v>19.7</v>
      </c>
      <c r="G7" s="188" t="s">
        <v>475</v>
      </c>
      <c r="H7" s="188" t="s">
        <v>476</v>
      </c>
      <c r="I7" s="188" t="s">
        <v>477</v>
      </c>
      <c r="J7" s="188" t="s">
        <v>478</v>
      </c>
      <c r="K7" s="189">
        <v>4</v>
      </c>
      <c r="L7" s="189">
        <v>4</v>
      </c>
      <c r="M7" s="189">
        <v>4</v>
      </c>
      <c r="N7" s="189">
        <v>4</v>
      </c>
      <c r="P7" s="190">
        <v>1984</v>
      </c>
      <c r="Q7" s="185">
        <v>289.8</v>
      </c>
      <c r="R7" s="185">
        <v>563.29999999999995</v>
      </c>
      <c r="S7" s="185">
        <v>589.79999999999995</v>
      </c>
      <c r="T7" s="185">
        <v>621.29999999999995</v>
      </c>
      <c r="U7" s="186">
        <v>3.7</v>
      </c>
      <c r="V7" s="186">
        <v>3.4</v>
      </c>
      <c r="W7" s="186">
        <v>2.7</v>
      </c>
      <c r="X7" s="186">
        <v>4.2</v>
      </c>
      <c r="Y7" s="186">
        <v>21</v>
      </c>
      <c r="Z7" s="186">
        <v>19.899999999999999</v>
      </c>
      <c r="AA7" s="186">
        <v>21.3</v>
      </c>
      <c r="AB7" s="186">
        <v>22.3</v>
      </c>
      <c r="AC7" s="186">
        <v>4</v>
      </c>
      <c r="AD7" s="186">
        <v>4</v>
      </c>
      <c r="AE7" s="186">
        <v>4</v>
      </c>
      <c r="AF7" s="186">
        <v>4</v>
      </c>
    </row>
    <row r="8" spans="2:32">
      <c r="B8" s="136">
        <v>1985</v>
      </c>
      <c r="C8" s="187">
        <v>19.399999999999999</v>
      </c>
      <c r="D8" s="187">
        <v>840.1</v>
      </c>
      <c r="E8" s="187">
        <v>122.2</v>
      </c>
      <c r="F8" s="187">
        <v>134.4</v>
      </c>
      <c r="G8" s="188" t="s">
        <v>479</v>
      </c>
      <c r="H8" s="188" t="s">
        <v>480</v>
      </c>
      <c r="I8" s="188" t="s">
        <v>481</v>
      </c>
      <c r="J8" s="188" t="s">
        <v>482</v>
      </c>
      <c r="K8" s="189">
        <v>4</v>
      </c>
      <c r="L8" s="189">
        <v>4</v>
      </c>
      <c r="M8" s="189">
        <v>4</v>
      </c>
      <c r="N8" s="189">
        <v>4</v>
      </c>
      <c r="P8" s="190">
        <v>1985</v>
      </c>
      <c r="Q8" s="185">
        <v>285.7</v>
      </c>
      <c r="R8" s="185">
        <v>570</v>
      </c>
      <c r="S8" s="185">
        <v>605.5</v>
      </c>
      <c r="T8" s="185">
        <v>620.29999999999995</v>
      </c>
      <c r="U8" s="186">
        <v>4.4000000000000004</v>
      </c>
      <c r="V8" s="186">
        <v>3.3</v>
      </c>
      <c r="W8" s="186">
        <v>3</v>
      </c>
      <c r="X8" s="186">
        <v>3.3</v>
      </c>
      <c r="Y8" s="186">
        <v>20.100000000000001</v>
      </c>
      <c r="Z8" s="186">
        <v>20.399999999999999</v>
      </c>
      <c r="AA8" s="186">
        <v>21.8</v>
      </c>
      <c r="AB8" s="186">
        <v>22.4</v>
      </c>
      <c r="AC8" s="186">
        <v>4</v>
      </c>
      <c r="AD8" s="186">
        <v>4</v>
      </c>
      <c r="AE8" s="186">
        <v>4</v>
      </c>
      <c r="AF8" s="186">
        <v>4</v>
      </c>
    </row>
    <row r="9" spans="2:32">
      <c r="B9" s="136">
        <v>1986</v>
      </c>
      <c r="C9" s="187">
        <v>3.3</v>
      </c>
      <c r="D9" s="187">
        <v>1295.5</v>
      </c>
      <c r="E9" s="187">
        <v>151.6</v>
      </c>
      <c r="F9" s="187">
        <v>48.2</v>
      </c>
      <c r="G9" s="188" t="s">
        <v>483</v>
      </c>
      <c r="H9" s="188" t="s">
        <v>484</v>
      </c>
      <c r="I9" s="188" t="s">
        <v>485</v>
      </c>
      <c r="J9" s="188" t="s">
        <v>486</v>
      </c>
      <c r="K9" s="189">
        <v>4</v>
      </c>
      <c r="L9" s="189">
        <v>4</v>
      </c>
      <c r="M9" s="189">
        <v>4</v>
      </c>
      <c r="N9" s="189">
        <v>4</v>
      </c>
      <c r="P9" s="190">
        <v>1986</v>
      </c>
      <c r="Q9" s="185">
        <v>272.5</v>
      </c>
      <c r="R9" s="185">
        <v>565</v>
      </c>
      <c r="S9" s="185">
        <v>589.1</v>
      </c>
      <c r="T9" s="185">
        <v>609</v>
      </c>
      <c r="U9" s="186">
        <v>4.8</v>
      </c>
      <c r="V9" s="186">
        <v>3.3</v>
      </c>
      <c r="W9" s="186">
        <v>2.7</v>
      </c>
      <c r="X9" s="186">
        <v>4.7</v>
      </c>
      <c r="Y9" s="186">
        <v>17.899999999999999</v>
      </c>
      <c r="Z9" s="186">
        <v>20.3</v>
      </c>
      <c r="AA9" s="186">
        <v>21.2</v>
      </c>
      <c r="AB9" s="186">
        <v>22.1</v>
      </c>
      <c r="AC9" s="186">
        <v>4</v>
      </c>
      <c r="AD9" s="186">
        <v>4</v>
      </c>
      <c r="AE9" s="186">
        <v>4</v>
      </c>
      <c r="AF9" s="186">
        <v>4</v>
      </c>
    </row>
    <row r="10" spans="2:32">
      <c r="B10" s="136">
        <v>1987</v>
      </c>
      <c r="C10" s="187">
        <v>110.9</v>
      </c>
      <c r="D10" s="187">
        <v>1431.9</v>
      </c>
      <c r="E10" s="187">
        <v>27.6</v>
      </c>
      <c r="F10" s="187">
        <v>57.1</v>
      </c>
      <c r="G10" s="188" t="s">
        <v>487</v>
      </c>
      <c r="H10" s="188" t="s">
        <v>488</v>
      </c>
      <c r="I10" s="188" t="s">
        <v>489</v>
      </c>
      <c r="J10" s="188" t="s">
        <v>490</v>
      </c>
      <c r="K10" s="189">
        <v>4</v>
      </c>
      <c r="L10" s="189">
        <v>4</v>
      </c>
      <c r="M10" s="189">
        <v>4</v>
      </c>
      <c r="N10" s="189">
        <v>4</v>
      </c>
      <c r="P10" s="190">
        <v>1987</v>
      </c>
      <c r="Q10" s="185">
        <v>287.39999999999998</v>
      </c>
      <c r="R10" s="185">
        <v>563.9</v>
      </c>
      <c r="S10" s="185">
        <v>583.9</v>
      </c>
      <c r="T10" s="185">
        <v>570.79999999999995</v>
      </c>
      <c r="U10" s="186">
        <v>3.8</v>
      </c>
      <c r="V10" s="186">
        <v>3.3</v>
      </c>
      <c r="W10" s="186">
        <v>2.8</v>
      </c>
      <c r="X10" s="186">
        <v>5.3</v>
      </c>
      <c r="Y10" s="186">
        <v>19.8</v>
      </c>
      <c r="Z10" s="186">
        <v>20.2</v>
      </c>
      <c r="AA10" s="186">
        <v>21</v>
      </c>
      <c r="AB10" s="186">
        <v>20.5</v>
      </c>
      <c r="AC10" s="186">
        <v>4</v>
      </c>
      <c r="AD10" s="186">
        <v>4</v>
      </c>
      <c r="AE10" s="186">
        <v>4</v>
      </c>
      <c r="AF10" s="186">
        <v>4</v>
      </c>
    </row>
    <row r="11" spans="2:32">
      <c r="B11" s="136">
        <v>1988</v>
      </c>
      <c r="C11" s="187">
        <v>232.9</v>
      </c>
      <c r="D11" s="187">
        <v>541.29999999999995</v>
      </c>
      <c r="E11" s="187">
        <v>39.299999999999997</v>
      </c>
      <c r="F11" s="187">
        <v>39.299999999999997</v>
      </c>
      <c r="G11" s="188" t="s">
        <v>491</v>
      </c>
      <c r="H11" s="188" t="s">
        <v>492</v>
      </c>
      <c r="I11" s="188" t="s">
        <v>493</v>
      </c>
      <c r="J11" s="188" t="s">
        <v>494</v>
      </c>
      <c r="K11" s="189">
        <v>4</v>
      </c>
      <c r="L11" s="189">
        <v>4</v>
      </c>
      <c r="M11" s="189">
        <v>4</v>
      </c>
      <c r="N11" s="189">
        <v>4</v>
      </c>
      <c r="P11" s="190">
        <v>1988</v>
      </c>
      <c r="Q11" s="185">
        <v>283.3</v>
      </c>
      <c r="R11" s="185">
        <v>564.29999999999995</v>
      </c>
      <c r="S11" s="185">
        <v>591.29999999999995</v>
      </c>
      <c r="T11" s="185">
        <v>589.79999999999995</v>
      </c>
      <c r="U11" s="186">
        <v>3.2</v>
      </c>
      <c r="V11" s="186">
        <v>2.9</v>
      </c>
      <c r="W11" s="186">
        <v>2.7</v>
      </c>
      <c r="X11" s="186">
        <v>3.5</v>
      </c>
      <c r="Y11" s="186">
        <v>20</v>
      </c>
      <c r="Z11" s="186">
        <v>20.2</v>
      </c>
      <c r="AA11" s="186">
        <v>21.3</v>
      </c>
      <c r="AB11" s="186">
        <v>21.2</v>
      </c>
      <c r="AC11" s="186">
        <v>4</v>
      </c>
      <c r="AD11" s="186">
        <v>4</v>
      </c>
      <c r="AE11" s="186">
        <v>4</v>
      </c>
      <c r="AF11" s="186">
        <v>4</v>
      </c>
    </row>
    <row r="12" spans="2:32">
      <c r="B12" s="136">
        <v>1989</v>
      </c>
      <c r="C12" s="187">
        <v>161.4</v>
      </c>
      <c r="D12" s="187">
        <v>788.3</v>
      </c>
      <c r="E12" s="187">
        <v>41.2</v>
      </c>
      <c r="F12" s="187">
        <v>25.6</v>
      </c>
      <c r="G12" s="188" t="s">
        <v>495</v>
      </c>
      <c r="H12" s="188" t="s">
        <v>496</v>
      </c>
      <c r="I12" s="188" t="s">
        <v>497</v>
      </c>
      <c r="J12" s="188" t="s">
        <v>498</v>
      </c>
      <c r="K12" s="189">
        <v>4</v>
      </c>
      <c r="L12" s="189">
        <v>4</v>
      </c>
      <c r="M12" s="189">
        <v>4</v>
      </c>
      <c r="N12" s="189">
        <v>4</v>
      </c>
      <c r="P12" s="190">
        <v>1989</v>
      </c>
      <c r="Q12" s="185">
        <v>279.3</v>
      </c>
      <c r="R12" s="185">
        <v>544.79999999999995</v>
      </c>
      <c r="S12" s="185">
        <v>603.29999999999995</v>
      </c>
      <c r="T12" s="185">
        <v>574.1</v>
      </c>
      <c r="U12" s="186">
        <v>3</v>
      </c>
      <c r="V12" s="186">
        <v>3.1</v>
      </c>
      <c r="W12" s="186">
        <v>2.6</v>
      </c>
      <c r="X12" s="186">
        <v>4.0999999999999996</v>
      </c>
      <c r="Y12" s="186">
        <v>18.899999999999999</v>
      </c>
      <c r="Z12" s="186">
        <v>19.5</v>
      </c>
      <c r="AA12" s="186">
        <v>21.7</v>
      </c>
      <c r="AB12" s="186">
        <v>20.6</v>
      </c>
      <c r="AC12" s="186">
        <v>4</v>
      </c>
      <c r="AD12" s="186">
        <v>4</v>
      </c>
      <c r="AE12" s="186">
        <v>4</v>
      </c>
      <c r="AF12" s="186">
        <v>4</v>
      </c>
    </row>
    <row r="13" spans="2:32">
      <c r="B13" s="136">
        <v>1990</v>
      </c>
      <c r="C13" s="187">
        <v>525.9</v>
      </c>
      <c r="D13" s="187">
        <v>2148.6</v>
      </c>
      <c r="E13" s="187">
        <v>143.5</v>
      </c>
      <c r="F13" s="187">
        <v>8.9</v>
      </c>
      <c r="G13" s="188" t="s">
        <v>499</v>
      </c>
      <c r="H13" s="188" t="s">
        <v>500</v>
      </c>
      <c r="I13" s="188" t="s">
        <v>501</v>
      </c>
      <c r="J13" s="188" t="s">
        <v>502</v>
      </c>
      <c r="K13" s="189">
        <v>4</v>
      </c>
      <c r="L13" s="189">
        <v>4</v>
      </c>
      <c r="M13" s="189">
        <v>4</v>
      </c>
      <c r="N13" s="189">
        <v>4</v>
      </c>
      <c r="P13" s="190">
        <v>1990</v>
      </c>
      <c r="Q13" s="185">
        <v>273</v>
      </c>
      <c r="R13" s="185">
        <v>573.4</v>
      </c>
      <c r="S13" s="185">
        <v>586.5</v>
      </c>
      <c r="T13" s="185">
        <v>619.4</v>
      </c>
      <c r="U13" s="186">
        <v>3.6</v>
      </c>
      <c r="V13" s="186">
        <v>2.8</v>
      </c>
      <c r="W13" s="186">
        <v>3.1</v>
      </c>
      <c r="X13" s="186">
        <v>4.5999999999999996</v>
      </c>
      <c r="Y13" s="186">
        <v>19.100000000000001</v>
      </c>
      <c r="Z13" s="186">
        <v>20.6</v>
      </c>
      <c r="AA13" s="186">
        <v>21.1</v>
      </c>
      <c r="AB13" s="186">
        <v>22.4</v>
      </c>
      <c r="AC13" s="186">
        <v>4</v>
      </c>
      <c r="AD13" s="186">
        <v>4</v>
      </c>
      <c r="AE13" s="186">
        <v>4</v>
      </c>
      <c r="AF13" s="186">
        <v>4</v>
      </c>
    </row>
    <row r="14" spans="2:32">
      <c r="B14" s="136">
        <v>1991</v>
      </c>
      <c r="C14" s="187">
        <v>2478.6</v>
      </c>
      <c r="D14" s="187">
        <v>4178.8</v>
      </c>
      <c r="E14" s="187">
        <v>192.3</v>
      </c>
      <c r="F14" s="187">
        <v>365</v>
      </c>
      <c r="G14" s="188" t="s">
        <v>503</v>
      </c>
      <c r="H14" s="188" t="s">
        <v>504</v>
      </c>
      <c r="I14" s="188" t="s">
        <v>505</v>
      </c>
      <c r="J14" s="188" t="s">
        <v>506</v>
      </c>
      <c r="K14" s="189">
        <v>4</v>
      </c>
      <c r="L14" s="189">
        <v>4</v>
      </c>
      <c r="M14" s="189">
        <v>4</v>
      </c>
      <c r="N14" s="189">
        <v>4</v>
      </c>
      <c r="P14" s="190">
        <v>1991</v>
      </c>
      <c r="Q14" s="185">
        <v>282.3</v>
      </c>
      <c r="R14" s="185">
        <v>556.29999999999995</v>
      </c>
      <c r="S14" s="185">
        <v>591.79999999999995</v>
      </c>
      <c r="T14" s="185">
        <v>593.4</v>
      </c>
      <c r="U14" s="186">
        <v>2.9</v>
      </c>
      <c r="V14" s="186">
        <v>3.5</v>
      </c>
      <c r="W14" s="186">
        <v>2.7</v>
      </c>
      <c r="X14" s="186">
        <v>3.5</v>
      </c>
      <c r="Y14" s="186">
        <v>19.600000000000001</v>
      </c>
      <c r="Z14" s="186">
        <v>19.600000000000001</v>
      </c>
      <c r="AA14" s="186">
        <v>21.3</v>
      </c>
      <c r="AB14" s="186">
        <v>21.4</v>
      </c>
      <c r="AC14" s="186">
        <v>4</v>
      </c>
      <c r="AD14" s="186">
        <v>4</v>
      </c>
      <c r="AE14" s="186">
        <v>4</v>
      </c>
      <c r="AF14" s="186">
        <v>4</v>
      </c>
    </row>
    <row r="15" spans="2:32">
      <c r="B15" s="136">
        <v>1992</v>
      </c>
      <c r="C15" s="187">
        <v>1100.3</v>
      </c>
      <c r="D15" s="187">
        <v>3977.8</v>
      </c>
      <c r="E15" s="187">
        <v>517.79999999999995</v>
      </c>
      <c r="F15" s="187">
        <v>328.7</v>
      </c>
      <c r="G15" s="188" t="s">
        <v>507</v>
      </c>
      <c r="H15" s="188" t="s">
        <v>508</v>
      </c>
      <c r="I15" s="188" t="s">
        <v>509</v>
      </c>
      <c r="J15" s="188" t="s">
        <v>510</v>
      </c>
      <c r="K15" s="189">
        <v>4</v>
      </c>
      <c r="L15" s="189">
        <v>4</v>
      </c>
      <c r="M15" s="189">
        <v>4</v>
      </c>
      <c r="N15" s="189">
        <v>4</v>
      </c>
      <c r="P15" s="190">
        <v>1992</v>
      </c>
      <c r="Q15" s="185">
        <v>267.10000000000002</v>
      </c>
      <c r="R15" s="185">
        <v>560.70000000000005</v>
      </c>
      <c r="S15" s="185">
        <v>608.6</v>
      </c>
      <c r="T15" s="185">
        <v>601.6</v>
      </c>
      <c r="U15" s="186">
        <v>3.2</v>
      </c>
      <c r="V15" s="186">
        <v>3</v>
      </c>
      <c r="W15" s="186">
        <v>2.5</v>
      </c>
      <c r="X15" s="186">
        <v>3</v>
      </c>
      <c r="Y15" s="186">
        <v>17.5</v>
      </c>
      <c r="Z15" s="186">
        <v>20.100000000000001</v>
      </c>
      <c r="AA15" s="186">
        <v>21.9</v>
      </c>
      <c r="AB15" s="186">
        <v>21.6</v>
      </c>
      <c r="AC15" s="186">
        <v>4</v>
      </c>
      <c r="AD15" s="186">
        <v>4</v>
      </c>
      <c r="AE15" s="186">
        <v>4</v>
      </c>
      <c r="AF15" s="186">
        <v>4</v>
      </c>
    </row>
    <row r="16" spans="2:32">
      <c r="B16" s="136">
        <v>1993</v>
      </c>
      <c r="C16" s="187">
        <v>275.7</v>
      </c>
      <c r="D16" s="187">
        <v>2198</v>
      </c>
      <c r="E16" s="187">
        <v>476.4</v>
      </c>
      <c r="F16" s="187">
        <v>172.7</v>
      </c>
      <c r="G16" s="188" t="s">
        <v>511</v>
      </c>
      <c r="H16" s="188" t="s">
        <v>512</v>
      </c>
      <c r="I16" s="188" t="s">
        <v>513</v>
      </c>
      <c r="J16" s="188" t="s">
        <v>514</v>
      </c>
      <c r="K16" s="189">
        <v>4</v>
      </c>
      <c r="L16" s="189">
        <v>4</v>
      </c>
      <c r="M16" s="189">
        <v>4</v>
      </c>
      <c r="N16" s="189">
        <v>4</v>
      </c>
      <c r="P16" s="190">
        <v>1993</v>
      </c>
      <c r="Q16" s="185">
        <v>262.7</v>
      </c>
      <c r="R16" s="185">
        <v>540.6</v>
      </c>
      <c r="S16" s="185">
        <v>593.1</v>
      </c>
      <c r="T16" s="185">
        <v>562.9</v>
      </c>
      <c r="U16" s="186">
        <v>3.7</v>
      </c>
      <c r="V16" s="186">
        <v>3.1</v>
      </c>
      <c r="W16" s="186">
        <v>2.7</v>
      </c>
      <c r="X16" s="186">
        <v>4.0999999999999996</v>
      </c>
      <c r="Y16" s="186">
        <v>17.2</v>
      </c>
      <c r="Z16" s="186">
        <v>19.399999999999999</v>
      </c>
      <c r="AA16" s="186">
        <v>21.3</v>
      </c>
      <c r="AB16" s="186">
        <v>20.2</v>
      </c>
      <c r="AC16" s="186">
        <v>4</v>
      </c>
      <c r="AD16" s="186">
        <v>4</v>
      </c>
      <c r="AE16" s="186">
        <v>4</v>
      </c>
      <c r="AF16" s="186">
        <v>4</v>
      </c>
    </row>
    <row r="17" spans="2:32">
      <c r="B17" s="136">
        <v>1994</v>
      </c>
      <c r="C17" s="187">
        <v>595.20000000000005</v>
      </c>
      <c r="D17" s="187">
        <v>3711.7</v>
      </c>
      <c r="E17" s="187">
        <v>123.9</v>
      </c>
      <c r="F17" s="187">
        <v>213.2</v>
      </c>
      <c r="G17" s="188" t="s">
        <v>515</v>
      </c>
      <c r="H17" s="188" t="s">
        <v>516</v>
      </c>
      <c r="I17" s="188" t="s">
        <v>517</v>
      </c>
      <c r="J17" s="188" t="s">
        <v>518</v>
      </c>
      <c r="K17" s="189">
        <v>4</v>
      </c>
      <c r="L17" s="189">
        <v>4</v>
      </c>
      <c r="M17" s="189">
        <v>4</v>
      </c>
      <c r="N17" s="189">
        <v>4</v>
      </c>
      <c r="P17" s="190">
        <v>1994</v>
      </c>
      <c r="Q17" s="185">
        <v>273</v>
      </c>
      <c r="R17" s="185">
        <v>569.9</v>
      </c>
      <c r="S17" s="185">
        <v>629.29999999999995</v>
      </c>
      <c r="T17" s="185">
        <v>531</v>
      </c>
      <c r="U17" s="186">
        <v>3.3</v>
      </c>
      <c r="V17" s="186">
        <v>2.9</v>
      </c>
      <c r="W17" s="186">
        <v>3.2</v>
      </c>
      <c r="X17" s="186">
        <v>5.8</v>
      </c>
      <c r="Y17" s="186">
        <v>19.100000000000001</v>
      </c>
      <c r="Z17" s="186">
        <v>20.5</v>
      </c>
      <c r="AA17" s="186">
        <v>22.9</v>
      </c>
      <c r="AB17" s="186">
        <v>19</v>
      </c>
      <c r="AC17" s="186">
        <v>4</v>
      </c>
      <c r="AD17" s="186">
        <v>4</v>
      </c>
      <c r="AE17" s="186">
        <v>4</v>
      </c>
      <c r="AF17" s="186">
        <v>4</v>
      </c>
    </row>
    <row r="18" spans="2:32">
      <c r="B18" s="136">
        <v>1995</v>
      </c>
      <c r="C18" s="187">
        <v>858.1</v>
      </c>
      <c r="D18" s="187">
        <v>2885.8</v>
      </c>
      <c r="E18" s="187">
        <v>235.2</v>
      </c>
      <c r="F18" s="187">
        <v>9.1999999999999993</v>
      </c>
      <c r="G18" s="188" t="s">
        <v>519</v>
      </c>
      <c r="H18" s="188" t="s">
        <v>520</v>
      </c>
      <c r="I18" s="188" t="s">
        <v>521</v>
      </c>
      <c r="J18" s="188" t="s">
        <v>522</v>
      </c>
      <c r="K18" s="189">
        <v>4</v>
      </c>
      <c r="L18" s="189">
        <v>4</v>
      </c>
      <c r="M18" s="189">
        <v>4</v>
      </c>
      <c r="N18" s="189">
        <v>4</v>
      </c>
      <c r="P18" s="190">
        <v>1995</v>
      </c>
      <c r="Q18" s="185">
        <v>277.10000000000002</v>
      </c>
      <c r="R18" s="185">
        <v>549.4</v>
      </c>
      <c r="S18" s="185">
        <v>616.29999999999995</v>
      </c>
      <c r="T18" s="185">
        <v>590.1</v>
      </c>
      <c r="U18" s="186">
        <v>3</v>
      </c>
      <c r="V18" s="186">
        <v>3.1</v>
      </c>
      <c r="W18" s="186">
        <v>2.9</v>
      </c>
      <c r="X18" s="186">
        <v>3.9</v>
      </c>
      <c r="Y18" s="186">
        <v>19.100000000000001</v>
      </c>
      <c r="Z18" s="186">
        <v>19.600000000000001</v>
      </c>
      <c r="AA18" s="186">
        <v>22.1</v>
      </c>
      <c r="AB18" s="186">
        <v>21.2</v>
      </c>
      <c r="AC18" s="186">
        <v>4</v>
      </c>
      <c r="AD18" s="186">
        <v>4</v>
      </c>
      <c r="AE18" s="186">
        <v>4</v>
      </c>
      <c r="AF18" s="186">
        <v>4</v>
      </c>
    </row>
    <row r="19" spans="2:32">
      <c r="B19" s="136">
        <v>1996</v>
      </c>
      <c r="C19" s="187">
        <v>106.6</v>
      </c>
      <c r="D19" s="187">
        <v>2354.9</v>
      </c>
      <c r="E19" s="187">
        <v>431.7</v>
      </c>
      <c r="F19" s="187">
        <v>388.9</v>
      </c>
      <c r="G19" s="188" t="s">
        <v>523</v>
      </c>
      <c r="H19" s="188" t="s">
        <v>524</v>
      </c>
      <c r="I19" s="188" t="s">
        <v>525</v>
      </c>
      <c r="J19" s="188" t="s">
        <v>526</v>
      </c>
      <c r="K19" s="189">
        <v>4</v>
      </c>
      <c r="L19" s="189">
        <v>4</v>
      </c>
      <c r="M19" s="189">
        <v>4</v>
      </c>
      <c r="N19" s="189">
        <v>4</v>
      </c>
      <c r="P19" s="190">
        <v>1996</v>
      </c>
      <c r="Q19" s="185">
        <v>262.89999999999998</v>
      </c>
      <c r="R19" s="185">
        <v>545</v>
      </c>
      <c r="S19" s="185">
        <v>596.4</v>
      </c>
      <c r="T19" s="185">
        <v>605</v>
      </c>
      <c r="U19" s="186">
        <v>3.5</v>
      </c>
      <c r="V19" s="186">
        <v>3.5</v>
      </c>
      <c r="W19" s="186">
        <v>2.6</v>
      </c>
      <c r="X19" s="186">
        <v>3</v>
      </c>
      <c r="Y19" s="186">
        <v>17.5</v>
      </c>
      <c r="Z19" s="186">
        <v>19.5</v>
      </c>
      <c r="AA19" s="186">
        <v>21.5</v>
      </c>
      <c r="AB19" s="186">
        <v>21.8</v>
      </c>
      <c r="AC19" s="186">
        <v>4</v>
      </c>
      <c r="AD19" s="186">
        <v>4</v>
      </c>
      <c r="AE19" s="186">
        <v>4</v>
      </c>
      <c r="AF19" s="186">
        <v>4</v>
      </c>
    </row>
    <row r="20" spans="2:32">
      <c r="B20" s="136">
        <v>1997</v>
      </c>
      <c r="C20" s="187">
        <v>891.1</v>
      </c>
      <c r="D20" s="187">
        <v>3158.8</v>
      </c>
      <c r="E20" s="187">
        <v>267.39999999999998</v>
      </c>
      <c r="F20" s="187">
        <v>386.8</v>
      </c>
      <c r="G20" s="188" t="s">
        <v>527</v>
      </c>
      <c r="H20" s="188" t="s">
        <v>528</v>
      </c>
      <c r="I20" s="188" t="s">
        <v>529</v>
      </c>
      <c r="J20" s="188" t="s">
        <v>530</v>
      </c>
      <c r="K20" s="189">
        <v>4</v>
      </c>
      <c r="L20" s="189">
        <v>4</v>
      </c>
      <c r="M20" s="189">
        <v>4</v>
      </c>
      <c r="N20" s="189">
        <v>4</v>
      </c>
      <c r="P20" s="190">
        <v>1997</v>
      </c>
      <c r="Q20" s="185">
        <v>266.60000000000002</v>
      </c>
      <c r="R20" s="185">
        <v>564.20000000000005</v>
      </c>
      <c r="S20" s="185">
        <v>612.5</v>
      </c>
      <c r="T20" s="185">
        <v>586.79999999999995</v>
      </c>
      <c r="U20" s="186">
        <v>3.1</v>
      </c>
      <c r="V20" s="186">
        <v>3.3</v>
      </c>
      <c r="W20" s="186">
        <v>2.9</v>
      </c>
      <c r="X20" s="186">
        <v>3.6</v>
      </c>
      <c r="Y20" s="186">
        <v>18.2</v>
      </c>
      <c r="Z20" s="186">
        <v>20.2</v>
      </c>
      <c r="AA20" s="186">
        <v>22.2</v>
      </c>
      <c r="AB20" s="186">
        <v>21.1</v>
      </c>
      <c r="AC20" s="186">
        <v>4</v>
      </c>
      <c r="AD20" s="186">
        <v>4</v>
      </c>
      <c r="AE20" s="186">
        <v>4</v>
      </c>
      <c r="AF20" s="186">
        <v>4</v>
      </c>
    </row>
    <row r="21" spans="2:32">
      <c r="B21" s="136">
        <v>1998</v>
      </c>
      <c r="C21" s="187">
        <v>1232.2</v>
      </c>
      <c r="D21" s="187">
        <v>4185</v>
      </c>
      <c r="E21" s="187">
        <v>288.8</v>
      </c>
      <c r="F21" s="187">
        <v>91.1</v>
      </c>
      <c r="G21" s="188" t="s">
        <v>531</v>
      </c>
      <c r="H21" s="188" t="s">
        <v>532</v>
      </c>
      <c r="I21" s="188" t="s">
        <v>533</v>
      </c>
      <c r="J21" s="188" t="s">
        <v>534</v>
      </c>
      <c r="K21" s="189">
        <v>4.3</v>
      </c>
      <c r="L21" s="189">
        <v>4.7</v>
      </c>
      <c r="M21" s="189">
        <v>4.7</v>
      </c>
      <c r="N21" s="189">
        <v>4.7</v>
      </c>
      <c r="P21" s="190">
        <v>1998</v>
      </c>
      <c r="Q21" s="185">
        <v>218.2</v>
      </c>
      <c r="R21" s="185">
        <v>520.70000000000005</v>
      </c>
      <c r="S21" s="185">
        <v>572.6</v>
      </c>
      <c r="T21" s="185">
        <v>560.29999999999995</v>
      </c>
      <c r="U21" s="186">
        <v>2.9</v>
      </c>
      <c r="V21" s="186">
        <v>3.1</v>
      </c>
      <c r="W21" s="186">
        <v>2.2999999999999998</v>
      </c>
      <c r="X21" s="186">
        <v>3.4</v>
      </c>
      <c r="Y21" s="186">
        <v>18</v>
      </c>
      <c r="Z21" s="186">
        <v>21.1</v>
      </c>
      <c r="AA21" s="186">
        <v>23</v>
      </c>
      <c r="AB21" s="186">
        <v>22.1</v>
      </c>
      <c r="AC21" s="186">
        <v>2.4</v>
      </c>
      <c r="AD21" s="186">
        <v>3.3</v>
      </c>
      <c r="AE21" s="186">
        <v>3.3</v>
      </c>
      <c r="AF21" s="186">
        <v>3.3</v>
      </c>
    </row>
    <row r="22" spans="2:32">
      <c r="B22" s="136">
        <v>1999</v>
      </c>
      <c r="C22" s="187">
        <v>5201.1000000000004</v>
      </c>
      <c r="D22" s="187">
        <v>7655.3</v>
      </c>
      <c r="E22" s="187">
        <v>1818.2</v>
      </c>
      <c r="F22" s="187">
        <v>948</v>
      </c>
      <c r="G22" s="188" t="s">
        <v>535</v>
      </c>
      <c r="H22" s="188" t="s">
        <v>536</v>
      </c>
      <c r="I22" s="188" t="s">
        <v>537</v>
      </c>
      <c r="J22" s="188" t="s">
        <v>538</v>
      </c>
      <c r="K22" s="189">
        <v>3.1</v>
      </c>
      <c r="L22" s="189">
        <v>4.8</v>
      </c>
      <c r="M22" s="189">
        <v>4.8</v>
      </c>
      <c r="N22" s="189">
        <v>4.8</v>
      </c>
      <c r="P22" s="190">
        <v>1999</v>
      </c>
      <c r="Q22" s="185">
        <v>231.9</v>
      </c>
      <c r="R22" s="185">
        <v>482.9</v>
      </c>
      <c r="S22" s="185">
        <v>506.8</v>
      </c>
      <c r="T22" s="185">
        <v>510.8</v>
      </c>
      <c r="U22" s="186">
        <v>2.4</v>
      </c>
      <c r="V22" s="186">
        <v>2.7</v>
      </c>
      <c r="W22" s="186">
        <v>2.5</v>
      </c>
      <c r="X22" s="186">
        <v>2.4</v>
      </c>
      <c r="Y22" s="186">
        <v>19.2</v>
      </c>
      <c r="Z22" s="186">
        <v>21.3</v>
      </c>
      <c r="AA22" s="186">
        <v>22.3</v>
      </c>
      <c r="AB22" s="186">
        <v>22.3</v>
      </c>
      <c r="AC22" s="186">
        <v>1.8</v>
      </c>
      <c r="AD22" s="186">
        <v>2.7</v>
      </c>
      <c r="AE22" s="186">
        <v>2.7</v>
      </c>
      <c r="AF22" s="186">
        <v>2.7</v>
      </c>
    </row>
    <row r="23" spans="2:32">
      <c r="B23" s="136">
        <v>2000</v>
      </c>
      <c r="C23" s="187">
        <v>2825.3</v>
      </c>
      <c r="D23" s="187">
        <v>6029.8</v>
      </c>
      <c r="E23" s="187">
        <v>1382.6</v>
      </c>
      <c r="F23" s="187">
        <v>344.2</v>
      </c>
      <c r="G23" s="188" t="s">
        <v>539</v>
      </c>
      <c r="H23" s="188" t="s">
        <v>540</v>
      </c>
      <c r="I23" s="188" t="s">
        <v>541</v>
      </c>
      <c r="J23" s="188" t="s">
        <v>542</v>
      </c>
      <c r="K23" s="189">
        <v>5.5</v>
      </c>
      <c r="L23" s="189">
        <v>5.9</v>
      </c>
      <c r="M23" s="189">
        <v>5.9</v>
      </c>
      <c r="N23" s="189">
        <v>5.9</v>
      </c>
      <c r="P23" s="190">
        <v>2000</v>
      </c>
      <c r="Q23" s="185">
        <v>240.4</v>
      </c>
      <c r="R23" s="185">
        <v>528</v>
      </c>
      <c r="S23" s="185">
        <v>548.20000000000005</v>
      </c>
      <c r="T23" s="185">
        <v>601.5</v>
      </c>
      <c r="U23" s="186">
        <v>2.6</v>
      </c>
      <c r="V23" s="186">
        <v>2.8</v>
      </c>
      <c r="W23" s="186">
        <v>2.6</v>
      </c>
      <c r="X23" s="186">
        <v>3.2</v>
      </c>
      <c r="Y23" s="186">
        <v>17.7</v>
      </c>
      <c r="Z23" s="186">
        <v>20.9</v>
      </c>
      <c r="AA23" s="186">
        <v>21.7</v>
      </c>
      <c r="AB23" s="186">
        <v>22.6</v>
      </c>
      <c r="AC23" s="186">
        <v>2.7</v>
      </c>
      <c r="AD23" s="186">
        <v>3.4</v>
      </c>
      <c r="AE23" s="186">
        <v>3.4</v>
      </c>
      <c r="AF23" s="186">
        <v>3.4</v>
      </c>
    </row>
    <row r="24" spans="2:32">
      <c r="B24" s="136">
        <v>2001</v>
      </c>
      <c r="C24" s="187">
        <v>4544.3</v>
      </c>
      <c r="D24" s="187">
        <v>2002.8</v>
      </c>
      <c r="E24" s="187">
        <v>201.6</v>
      </c>
      <c r="F24" s="187">
        <v>1</v>
      </c>
      <c r="G24" s="188" t="s">
        <v>543</v>
      </c>
      <c r="H24" s="188" t="s">
        <v>544</v>
      </c>
      <c r="I24" s="188" t="s">
        <v>545</v>
      </c>
      <c r="J24" s="188" t="s">
        <v>546</v>
      </c>
      <c r="K24" s="189">
        <v>6.2</v>
      </c>
      <c r="L24" s="189">
        <v>6.1</v>
      </c>
      <c r="M24" s="189">
        <v>6.1</v>
      </c>
      <c r="N24" s="189">
        <v>6.1</v>
      </c>
      <c r="P24" s="190">
        <v>2001</v>
      </c>
      <c r="Q24" s="185">
        <v>257.3</v>
      </c>
      <c r="R24" s="185">
        <v>442.8</v>
      </c>
      <c r="S24" s="185">
        <v>548.79999999999995</v>
      </c>
      <c r="T24" s="185">
        <v>491.3</v>
      </c>
      <c r="U24" s="186">
        <v>2.8</v>
      </c>
      <c r="V24" s="186">
        <v>2.9</v>
      </c>
      <c r="W24" s="186">
        <v>3.7</v>
      </c>
      <c r="X24" s="186">
        <v>6.1</v>
      </c>
      <c r="Y24" s="186">
        <v>18.2</v>
      </c>
      <c r="Z24" s="186">
        <v>20.2</v>
      </c>
      <c r="AA24" s="186">
        <v>22.8</v>
      </c>
      <c r="AB24" s="186">
        <v>20.8</v>
      </c>
      <c r="AC24" s="186">
        <v>2.7</v>
      </c>
      <c r="AD24" s="186">
        <v>2.6</v>
      </c>
      <c r="AE24" s="186">
        <v>2.6</v>
      </c>
      <c r="AF24" s="186">
        <v>2.6</v>
      </c>
    </row>
    <row r="25" spans="2:32">
      <c r="B25" s="136">
        <v>2002</v>
      </c>
      <c r="C25" s="187">
        <v>3074</v>
      </c>
      <c r="D25" s="187">
        <v>6423.7</v>
      </c>
      <c r="E25" s="187">
        <v>458.9</v>
      </c>
      <c r="F25" s="187">
        <v>685.9</v>
      </c>
      <c r="G25" s="188" t="s">
        <v>547</v>
      </c>
      <c r="H25" s="188" t="s">
        <v>548</v>
      </c>
      <c r="I25" s="188" t="s">
        <v>549</v>
      </c>
      <c r="J25" s="188" t="s">
        <v>550</v>
      </c>
      <c r="K25" s="189">
        <v>6.9</v>
      </c>
      <c r="L25" s="189">
        <v>4.5</v>
      </c>
      <c r="M25" s="189">
        <v>4.5</v>
      </c>
      <c r="N25" s="189">
        <v>4.5</v>
      </c>
      <c r="P25" s="190">
        <v>2002</v>
      </c>
      <c r="Q25" s="185">
        <v>264.7</v>
      </c>
      <c r="R25" s="185">
        <v>527.6</v>
      </c>
      <c r="S25" s="185">
        <v>562.9</v>
      </c>
      <c r="T25" s="185">
        <v>578.79999999999995</v>
      </c>
      <c r="U25" s="186">
        <v>3.3</v>
      </c>
      <c r="V25" s="186">
        <v>3.6</v>
      </c>
      <c r="W25" s="186">
        <v>2.9</v>
      </c>
      <c r="X25" s="186">
        <v>3.7</v>
      </c>
      <c r="Y25" s="186">
        <v>19</v>
      </c>
      <c r="Z25" s="186">
        <v>20.7</v>
      </c>
      <c r="AA25" s="186">
        <v>22.2</v>
      </c>
      <c r="AB25" s="186">
        <v>22.9</v>
      </c>
      <c r="AC25" s="186">
        <v>2.7</v>
      </c>
      <c r="AD25" s="186">
        <v>3.2</v>
      </c>
      <c r="AE25" s="186">
        <v>3.2</v>
      </c>
      <c r="AF25" s="186">
        <v>3.2</v>
      </c>
    </row>
    <row r="26" spans="2:32">
      <c r="B26" s="136">
        <v>2003</v>
      </c>
      <c r="C26" s="187">
        <v>3693.6</v>
      </c>
      <c r="D26" s="187">
        <v>6490.9</v>
      </c>
      <c r="E26" s="187">
        <v>1819.3</v>
      </c>
      <c r="F26" s="187">
        <v>1130.3</v>
      </c>
      <c r="G26" s="188" t="s">
        <v>551</v>
      </c>
      <c r="H26" s="188" t="s">
        <v>552</v>
      </c>
      <c r="I26" s="188" t="s">
        <v>553</v>
      </c>
      <c r="J26" s="188" t="s">
        <v>554</v>
      </c>
      <c r="K26" s="189">
        <v>4.5999999999999996</v>
      </c>
      <c r="L26" s="189">
        <v>3.8</v>
      </c>
      <c r="M26" s="189">
        <v>3.8</v>
      </c>
      <c r="N26" s="189">
        <v>3.8</v>
      </c>
      <c r="P26" s="190">
        <v>2003</v>
      </c>
      <c r="Q26" s="185">
        <v>243.7</v>
      </c>
      <c r="R26" s="185">
        <v>492.3</v>
      </c>
      <c r="S26" s="185">
        <v>545.20000000000005</v>
      </c>
      <c r="T26" s="185">
        <v>544.79999999999995</v>
      </c>
      <c r="U26" s="186">
        <v>2.9</v>
      </c>
      <c r="V26" s="186">
        <v>2.9</v>
      </c>
      <c r="W26" s="186">
        <v>2.4</v>
      </c>
      <c r="X26" s="186">
        <v>2.4</v>
      </c>
      <c r="Y26" s="186">
        <v>17.899999999999999</v>
      </c>
      <c r="Z26" s="186">
        <v>20.2</v>
      </c>
      <c r="AA26" s="186">
        <v>22.4</v>
      </c>
      <c r="AB26" s="186">
        <v>22.4</v>
      </c>
      <c r="AC26" s="186">
        <v>2.4</v>
      </c>
      <c r="AD26" s="186">
        <v>3.2</v>
      </c>
      <c r="AE26" s="186">
        <v>3.2</v>
      </c>
      <c r="AF26" s="186">
        <v>3.2</v>
      </c>
    </row>
    <row r="27" spans="2:32">
      <c r="B27" s="136">
        <v>2004</v>
      </c>
      <c r="C27" s="187">
        <v>2459.1</v>
      </c>
      <c r="D27" s="187">
        <v>7757</v>
      </c>
      <c r="E27" s="187">
        <v>2665.9</v>
      </c>
      <c r="F27" s="187">
        <v>1431.1</v>
      </c>
      <c r="G27" s="188" t="s">
        <v>555</v>
      </c>
      <c r="H27" s="188" t="s">
        <v>556</v>
      </c>
      <c r="I27" s="188" t="s">
        <v>557</v>
      </c>
      <c r="J27" s="188" t="s">
        <v>558</v>
      </c>
      <c r="K27" s="189">
        <v>4.8</v>
      </c>
      <c r="L27" s="189">
        <v>4.5</v>
      </c>
      <c r="M27" s="189">
        <v>4.5</v>
      </c>
      <c r="N27" s="189">
        <v>4.5</v>
      </c>
      <c r="P27" s="190">
        <v>2004</v>
      </c>
      <c r="Q27" s="185">
        <v>242</v>
      </c>
      <c r="R27" s="185">
        <v>498.2</v>
      </c>
      <c r="S27" s="185">
        <v>529.6</v>
      </c>
      <c r="T27" s="185">
        <v>554.29999999999995</v>
      </c>
      <c r="U27" s="186">
        <v>3.3</v>
      </c>
      <c r="V27" s="186">
        <v>2.8</v>
      </c>
      <c r="W27" s="186">
        <v>2.5</v>
      </c>
      <c r="X27" s="186">
        <v>3.7</v>
      </c>
      <c r="Y27" s="186">
        <v>18.600000000000001</v>
      </c>
      <c r="Z27" s="186">
        <v>20.8</v>
      </c>
      <c r="AA27" s="186">
        <v>22</v>
      </c>
      <c r="AB27" s="186">
        <v>22.5</v>
      </c>
      <c r="AC27" s="186">
        <v>1.9</v>
      </c>
      <c r="AD27" s="186">
        <v>3.1</v>
      </c>
      <c r="AE27" s="186">
        <v>3.1</v>
      </c>
      <c r="AF27" s="186">
        <v>3.1</v>
      </c>
    </row>
    <row r="28" spans="2:32">
      <c r="B28" s="136">
        <v>2005</v>
      </c>
      <c r="C28" s="187">
        <v>1283.7</v>
      </c>
      <c r="D28" s="187">
        <v>5448.6</v>
      </c>
      <c r="E28" s="187">
        <v>2193</v>
      </c>
      <c r="F28" s="187">
        <v>956.7</v>
      </c>
      <c r="G28" s="188" t="s">
        <v>559</v>
      </c>
      <c r="H28" s="188" t="s">
        <v>560</v>
      </c>
      <c r="I28" s="188" t="s">
        <v>561</v>
      </c>
      <c r="J28" s="188" t="s">
        <v>562</v>
      </c>
      <c r="K28" s="189">
        <v>8.6</v>
      </c>
      <c r="L28" s="189">
        <v>4.2</v>
      </c>
      <c r="M28" s="189">
        <v>5.2</v>
      </c>
      <c r="N28" s="189">
        <v>5.2</v>
      </c>
      <c r="P28" s="190">
        <v>2005</v>
      </c>
      <c r="Q28" s="185">
        <v>259.5</v>
      </c>
      <c r="R28" s="185">
        <v>458</v>
      </c>
      <c r="S28" s="185">
        <v>510.3</v>
      </c>
      <c r="T28" s="185">
        <v>524.29999999999995</v>
      </c>
      <c r="U28" s="186">
        <v>3.1</v>
      </c>
      <c r="V28" s="186">
        <v>3.3</v>
      </c>
      <c r="W28" s="186">
        <v>2.6</v>
      </c>
      <c r="X28" s="186">
        <v>3.3</v>
      </c>
      <c r="Y28" s="186">
        <v>18.3</v>
      </c>
      <c r="Z28" s="186">
        <v>20.3</v>
      </c>
      <c r="AA28" s="186">
        <v>21.8</v>
      </c>
      <c r="AB28" s="186">
        <v>22.2</v>
      </c>
      <c r="AC28" s="186">
        <v>2.8</v>
      </c>
      <c r="AD28" s="186">
        <v>2.8</v>
      </c>
      <c r="AE28" s="186">
        <v>2.9</v>
      </c>
      <c r="AF28" s="186">
        <v>2.9</v>
      </c>
    </row>
    <row r="29" spans="2:32">
      <c r="B29" s="136">
        <v>2006</v>
      </c>
      <c r="C29" s="187">
        <v>4151.3999999999996</v>
      </c>
      <c r="D29" s="187">
        <v>4936.3</v>
      </c>
      <c r="E29" s="187">
        <v>283.89999999999998</v>
      </c>
      <c r="F29" s="187">
        <v>207.8</v>
      </c>
      <c r="G29" s="188" t="s">
        <v>563</v>
      </c>
      <c r="H29" s="188" t="s">
        <v>564</v>
      </c>
      <c r="I29" s="188" t="s">
        <v>565</v>
      </c>
      <c r="J29" s="188" t="s">
        <v>566</v>
      </c>
      <c r="K29" s="189">
        <v>6</v>
      </c>
      <c r="L29" s="189">
        <v>5</v>
      </c>
      <c r="M29" s="189">
        <v>5</v>
      </c>
      <c r="N29" s="189">
        <v>5</v>
      </c>
      <c r="P29" s="190">
        <v>2006</v>
      </c>
      <c r="Q29" s="185">
        <v>251</v>
      </c>
      <c r="R29" s="185">
        <v>483.8</v>
      </c>
      <c r="S29" s="185">
        <v>523.9</v>
      </c>
      <c r="T29" s="185">
        <v>531.29999999999995</v>
      </c>
      <c r="U29" s="186">
        <v>3.3</v>
      </c>
      <c r="V29" s="186">
        <v>3.4</v>
      </c>
      <c r="W29" s="186">
        <v>2.5</v>
      </c>
      <c r="X29" s="186">
        <v>4.2</v>
      </c>
      <c r="Y29" s="186">
        <v>19.3</v>
      </c>
      <c r="Z29" s="186">
        <v>20</v>
      </c>
      <c r="AA29" s="186">
        <v>22.1</v>
      </c>
      <c r="AB29" s="186">
        <v>22.6</v>
      </c>
      <c r="AC29" s="186">
        <v>2</v>
      </c>
      <c r="AD29" s="186">
        <v>3</v>
      </c>
      <c r="AE29" s="186">
        <v>3</v>
      </c>
      <c r="AF29" s="186">
        <v>3</v>
      </c>
    </row>
    <row r="30" spans="2:32">
      <c r="B30" s="136">
        <v>2007</v>
      </c>
      <c r="C30" s="187">
        <v>2907.7</v>
      </c>
      <c r="D30" s="187">
        <v>4991.6000000000004</v>
      </c>
      <c r="E30" s="187">
        <v>622.29999999999995</v>
      </c>
      <c r="F30" s="187">
        <v>2387.5</v>
      </c>
      <c r="G30" s="188" t="s">
        <v>567</v>
      </c>
      <c r="H30" s="188" t="s">
        <v>568</v>
      </c>
      <c r="I30" s="188" t="s">
        <v>569</v>
      </c>
      <c r="J30" s="188" t="s">
        <v>570</v>
      </c>
      <c r="K30" s="189">
        <v>6.8</v>
      </c>
      <c r="L30" s="189">
        <v>4.7</v>
      </c>
      <c r="M30" s="189">
        <v>4.7</v>
      </c>
      <c r="N30" s="189">
        <v>4.7</v>
      </c>
      <c r="P30" s="190">
        <v>2007</v>
      </c>
      <c r="Q30" s="185">
        <v>247.3</v>
      </c>
      <c r="R30" s="185">
        <v>482.7</v>
      </c>
      <c r="S30" s="185">
        <v>521.5</v>
      </c>
      <c r="T30" s="185">
        <v>540.9</v>
      </c>
      <c r="U30" s="186">
        <v>2.5</v>
      </c>
      <c r="V30" s="186">
        <v>3.2</v>
      </c>
      <c r="W30" s="186">
        <v>2.4</v>
      </c>
      <c r="X30" s="186">
        <v>3.2</v>
      </c>
      <c r="Y30" s="186">
        <v>18.8</v>
      </c>
      <c r="Z30" s="186">
        <v>20.6</v>
      </c>
      <c r="AA30" s="186">
        <v>22.4</v>
      </c>
      <c r="AB30" s="186">
        <v>22.9</v>
      </c>
      <c r="AC30" s="186">
        <v>2.6</v>
      </c>
      <c r="AD30" s="186">
        <v>2.9</v>
      </c>
      <c r="AE30" s="186">
        <v>2.9</v>
      </c>
      <c r="AF30" s="186">
        <v>2.9</v>
      </c>
    </row>
    <row r="31" spans="2:32">
      <c r="B31" s="136">
        <v>2008</v>
      </c>
      <c r="C31" s="187">
        <v>1149.5999999999999</v>
      </c>
      <c r="D31" s="187">
        <v>2159.6</v>
      </c>
      <c r="E31" s="187">
        <v>272.39999999999998</v>
      </c>
      <c r="F31" s="187">
        <v>845.5</v>
      </c>
      <c r="G31" s="188" t="s">
        <v>571</v>
      </c>
      <c r="H31" s="188" t="s">
        <v>572</v>
      </c>
      <c r="I31" s="188" t="s">
        <v>573</v>
      </c>
      <c r="J31" s="188" t="s">
        <v>574</v>
      </c>
      <c r="K31" s="189">
        <v>7.3</v>
      </c>
      <c r="L31" s="189">
        <v>5.2</v>
      </c>
      <c r="M31" s="189">
        <v>5.2</v>
      </c>
      <c r="N31" s="189">
        <v>5.2</v>
      </c>
      <c r="P31" s="190">
        <v>2008</v>
      </c>
      <c r="Q31" s="185">
        <v>260.7</v>
      </c>
      <c r="R31" s="185">
        <v>444.5</v>
      </c>
      <c r="S31" s="185">
        <v>494.8</v>
      </c>
      <c r="T31" s="185">
        <v>521.29999999999995</v>
      </c>
      <c r="U31" s="186">
        <v>2.8</v>
      </c>
      <c r="V31" s="186">
        <v>3.4</v>
      </c>
      <c r="W31" s="186">
        <v>2.4</v>
      </c>
      <c r="X31" s="186">
        <v>3.3</v>
      </c>
      <c r="Y31" s="186">
        <v>19</v>
      </c>
      <c r="Z31" s="186">
        <v>19.8</v>
      </c>
      <c r="AA31" s="186">
        <v>22.4</v>
      </c>
      <c r="AB31" s="186">
        <v>22.6</v>
      </c>
      <c r="AC31" s="186">
        <v>2.9</v>
      </c>
      <c r="AD31" s="186">
        <v>2.6</v>
      </c>
      <c r="AE31" s="186">
        <v>2.6</v>
      </c>
      <c r="AF31" s="186">
        <v>2.6</v>
      </c>
    </row>
    <row r="32" spans="2:32">
      <c r="B32" s="136">
        <v>2009</v>
      </c>
      <c r="C32" s="187">
        <v>2448.1999999999998</v>
      </c>
      <c r="D32" s="187">
        <v>4985.3999999999996</v>
      </c>
      <c r="E32" s="187">
        <v>1482.3</v>
      </c>
      <c r="F32" s="187">
        <v>330.3</v>
      </c>
      <c r="G32" s="188" t="s">
        <v>575</v>
      </c>
      <c r="H32" s="188" t="s">
        <v>576</v>
      </c>
      <c r="I32" s="188" t="s">
        <v>577</v>
      </c>
      <c r="J32" s="188" t="s">
        <v>578</v>
      </c>
      <c r="K32" s="189">
        <v>5.6</v>
      </c>
      <c r="L32" s="189">
        <v>4.7</v>
      </c>
      <c r="M32" s="189">
        <v>4.7</v>
      </c>
      <c r="N32" s="189">
        <v>4.7</v>
      </c>
      <c r="P32" s="190">
        <v>2009</v>
      </c>
      <c r="Q32" s="185">
        <v>258.3</v>
      </c>
      <c r="R32" s="185">
        <v>475</v>
      </c>
      <c r="S32" s="185">
        <v>519.70000000000005</v>
      </c>
      <c r="T32" s="185">
        <v>521.79999999999995</v>
      </c>
      <c r="U32" s="186">
        <v>3.3</v>
      </c>
      <c r="V32" s="186">
        <v>2.9</v>
      </c>
      <c r="W32" s="186">
        <v>2.5</v>
      </c>
      <c r="X32" s="186">
        <v>2.9</v>
      </c>
      <c r="Y32" s="186">
        <v>18.8</v>
      </c>
      <c r="Z32" s="186">
        <v>20.3</v>
      </c>
      <c r="AA32" s="186">
        <v>22.1</v>
      </c>
      <c r="AB32" s="186">
        <v>22.3</v>
      </c>
      <c r="AC32" s="186">
        <v>2.2999999999999998</v>
      </c>
      <c r="AD32" s="186">
        <v>3</v>
      </c>
      <c r="AE32" s="186">
        <v>3</v>
      </c>
      <c r="AF32" s="186">
        <v>3</v>
      </c>
    </row>
    <row r="33" spans="2:32">
      <c r="B33" s="136">
        <v>2010</v>
      </c>
      <c r="C33" s="187">
        <v>3014</v>
      </c>
      <c r="D33" s="187">
        <v>4262.6000000000004</v>
      </c>
      <c r="E33" s="187">
        <v>891.1</v>
      </c>
      <c r="F33" s="187">
        <v>128.9</v>
      </c>
      <c r="G33" s="188" t="s">
        <v>579</v>
      </c>
      <c r="H33" s="188" t="s">
        <v>580</v>
      </c>
      <c r="I33" s="188" t="s">
        <v>581</v>
      </c>
      <c r="J33" s="188" t="s">
        <v>582</v>
      </c>
      <c r="K33" s="189">
        <v>5.6</v>
      </c>
      <c r="L33" s="189">
        <v>5</v>
      </c>
      <c r="M33" s="189">
        <v>5</v>
      </c>
      <c r="N33" s="189">
        <v>5</v>
      </c>
      <c r="P33" s="190">
        <v>2010</v>
      </c>
      <c r="Q33" s="185">
        <v>268.39999999999998</v>
      </c>
      <c r="R33" s="185">
        <v>472.5</v>
      </c>
      <c r="S33" s="185">
        <v>535.20000000000005</v>
      </c>
      <c r="T33" s="185">
        <v>576.4</v>
      </c>
      <c r="U33" s="186">
        <v>3</v>
      </c>
      <c r="V33" s="186">
        <v>3</v>
      </c>
      <c r="W33" s="186">
        <v>2.4</v>
      </c>
      <c r="X33" s="186">
        <v>3.7</v>
      </c>
      <c r="Y33" s="186">
        <v>19.2</v>
      </c>
      <c r="Z33" s="186">
        <v>20.100000000000001</v>
      </c>
      <c r="AA33" s="186">
        <v>22.7</v>
      </c>
      <c r="AB33" s="186">
        <v>22.6</v>
      </c>
      <c r="AC33" s="186">
        <v>3</v>
      </c>
      <c r="AD33" s="186">
        <v>3</v>
      </c>
      <c r="AE33" s="186">
        <v>3</v>
      </c>
      <c r="AF33" s="186">
        <v>3</v>
      </c>
    </row>
    <row r="34" spans="2:32">
      <c r="B34" s="136">
        <v>2011</v>
      </c>
      <c r="C34" s="187">
        <v>2059.1</v>
      </c>
      <c r="D34" s="187">
        <v>3929.7</v>
      </c>
      <c r="E34" s="187">
        <v>259.3</v>
      </c>
      <c r="F34" s="187">
        <v>793.9</v>
      </c>
      <c r="G34" s="188" t="s">
        <v>583</v>
      </c>
      <c r="H34" s="188" t="s">
        <v>584</v>
      </c>
      <c r="I34" s="188" t="s">
        <v>585</v>
      </c>
      <c r="J34" s="188" t="s">
        <v>586</v>
      </c>
      <c r="K34" s="189">
        <v>5.3</v>
      </c>
      <c r="L34" s="189">
        <v>5.2</v>
      </c>
      <c r="M34" s="189">
        <v>5.2</v>
      </c>
      <c r="N34" s="189">
        <v>5.2</v>
      </c>
      <c r="P34" s="190">
        <v>2011</v>
      </c>
      <c r="Q34" s="185">
        <v>266.8</v>
      </c>
      <c r="R34" s="185">
        <v>470.6</v>
      </c>
      <c r="S34" s="185">
        <v>498.7</v>
      </c>
      <c r="T34" s="185">
        <v>521.9</v>
      </c>
      <c r="U34" s="186">
        <v>3</v>
      </c>
      <c r="V34" s="186">
        <v>3.3</v>
      </c>
      <c r="W34" s="186">
        <v>2.5</v>
      </c>
      <c r="X34" s="186">
        <v>2.9</v>
      </c>
      <c r="Y34" s="186">
        <v>18.8</v>
      </c>
      <c r="Z34" s="186">
        <v>20.100000000000001</v>
      </c>
      <c r="AA34" s="186">
        <v>21.8</v>
      </c>
      <c r="AB34" s="186">
        <v>22.3</v>
      </c>
      <c r="AC34" s="186">
        <v>2.9</v>
      </c>
      <c r="AD34" s="186">
        <v>2.8</v>
      </c>
      <c r="AE34" s="186">
        <v>2.8</v>
      </c>
      <c r="AF34" s="186">
        <v>2.8</v>
      </c>
    </row>
    <row r="35" spans="2:32">
      <c r="B35" s="136">
        <v>2012</v>
      </c>
      <c r="C35" s="187">
        <v>3076.6</v>
      </c>
      <c r="D35" s="187">
        <v>5827.8</v>
      </c>
      <c r="E35" s="187">
        <v>521.29999999999995</v>
      </c>
      <c r="F35" s="187">
        <v>92.4</v>
      </c>
      <c r="G35" s="188" t="s">
        <v>587</v>
      </c>
      <c r="H35" s="188" t="s">
        <v>588</v>
      </c>
      <c r="I35" s="188" t="s">
        <v>589</v>
      </c>
      <c r="J35" s="188" t="s">
        <v>590</v>
      </c>
      <c r="K35" s="189">
        <v>4.7</v>
      </c>
      <c r="L35" s="189">
        <v>4.3</v>
      </c>
      <c r="M35" s="189">
        <v>4.3</v>
      </c>
      <c r="N35" s="189">
        <v>4.3</v>
      </c>
      <c r="P35" s="190">
        <v>2012</v>
      </c>
      <c r="Q35" s="185">
        <v>241.8</v>
      </c>
      <c r="R35" s="185">
        <v>505.1</v>
      </c>
      <c r="S35" s="185">
        <v>516</v>
      </c>
      <c r="T35" s="185">
        <v>539.70000000000005</v>
      </c>
      <c r="U35" s="186">
        <v>2.8</v>
      </c>
      <c r="V35" s="186">
        <v>3.2</v>
      </c>
      <c r="W35" s="186">
        <v>2.5</v>
      </c>
      <c r="X35" s="186">
        <v>3.3</v>
      </c>
      <c r="Y35" s="186">
        <v>18.600000000000001</v>
      </c>
      <c r="Z35" s="186">
        <v>20.8</v>
      </c>
      <c r="AA35" s="186">
        <v>21.9</v>
      </c>
      <c r="AB35" s="186">
        <v>22.5</v>
      </c>
      <c r="AC35" s="186">
        <v>2.2999999999999998</v>
      </c>
      <c r="AD35" s="186">
        <v>3</v>
      </c>
      <c r="AE35" s="186">
        <v>3</v>
      </c>
      <c r="AF35" s="186">
        <v>3</v>
      </c>
    </row>
    <row r="36" spans="2:32">
      <c r="B36" s="136">
        <v>2013</v>
      </c>
      <c r="C36" s="187">
        <v>832.8</v>
      </c>
      <c r="D36" s="187">
        <v>1737.4</v>
      </c>
      <c r="E36" s="187">
        <v>285.89999999999998</v>
      </c>
      <c r="F36" s="187">
        <v>189.6</v>
      </c>
      <c r="G36" s="188" t="s">
        <v>591</v>
      </c>
      <c r="H36" s="188" t="s">
        <v>592</v>
      </c>
      <c r="I36" s="188" t="s">
        <v>593</v>
      </c>
      <c r="J36" s="188" t="s">
        <v>594</v>
      </c>
      <c r="K36" s="189">
        <v>6.3</v>
      </c>
      <c r="L36" s="189">
        <v>5</v>
      </c>
      <c r="M36" s="189">
        <v>5</v>
      </c>
      <c r="N36" s="189">
        <v>5</v>
      </c>
      <c r="P36" s="190">
        <v>2013</v>
      </c>
      <c r="Q36" s="185">
        <v>251</v>
      </c>
      <c r="R36" s="185">
        <v>467.8</v>
      </c>
      <c r="S36" s="185">
        <v>479.3</v>
      </c>
      <c r="T36" s="185">
        <v>505.6</v>
      </c>
      <c r="U36" s="186">
        <v>2.9</v>
      </c>
      <c r="V36" s="186">
        <v>3.2</v>
      </c>
      <c r="W36" s="186">
        <v>2.6</v>
      </c>
      <c r="X36" s="186">
        <v>3.7</v>
      </c>
      <c r="Y36" s="186">
        <v>17.8</v>
      </c>
      <c r="Z36" s="186">
        <v>20.7</v>
      </c>
      <c r="AA36" s="186">
        <v>21.6</v>
      </c>
      <c r="AB36" s="186">
        <v>22.6</v>
      </c>
      <c r="AC36" s="186">
        <v>3</v>
      </c>
      <c r="AD36" s="186">
        <v>2.6</v>
      </c>
      <c r="AE36" s="186">
        <v>2.6</v>
      </c>
      <c r="AF36" s="186">
        <v>2.6</v>
      </c>
    </row>
    <row r="37" spans="2:32">
      <c r="B37" s="136">
        <v>2014</v>
      </c>
      <c r="C37" s="187">
        <v>841.8</v>
      </c>
      <c r="D37" s="187">
        <v>2162.9</v>
      </c>
      <c r="E37" s="187">
        <v>262.5</v>
      </c>
      <c r="F37" s="187">
        <v>681.4</v>
      </c>
      <c r="G37" s="188" t="s">
        <v>595</v>
      </c>
      <c r="H37" s="188" t="s">
        <v>596</v>
      </c>
      <c r="I37" s="188" t="s">
        <v>597</v>
      </c>
      <c r="J37" s="188" t="s">
        <v>598</v>
      </c>
      <c r="K37" s="189">
        <v>5.2</v>
      </c>
      <c r="L37" s="189">
        <v>4.9000000000000004</v>
      </c>
      <c r="M37" s="189">
        <v>4.9000000000000004</v>
      </c>
      <c r="N37" s="189">
        <v>4.9000000000000004</v>
      </c>
      <c r="P37" s="190">
        <v>2014</v>
      </c>
      <c r="Q37" s="185">
        <v>251.9</v>
      </c>
      <c r="R37" s="185">
        <v>441.1</v>
      </c>
      <c r="S37" s="185">
        <v>480.5</v>
      </c>
      <c r="T37" s="185">
        <v>515.70000000000005</v>
      </c>
      <c r="U37" s="186">
        <v>2.7</v>
      </c>
      <c r="V37" s="186">
        <v>3.4</v>
      </c>
      <c r="W37" s="186">
        <v>2.6</v>
      </c>
      <c r="X37" s="186">
        <v>2.8</v>
      </c>
      <c r="Y37" s="186">
        <v>19.100000000000001</v>
      </c>
      <c r="Z37" s="186">
        <v>19.8</v>
      </c>
      <c r="AA37" s="186">
        <v>21.7</v>
      </c>
      <c r="AB37" s="186">
        <v>22.8</v>
      </c>
      <c r="AC37" s="186">
        <v>2.4</v>
      </c>
      <c r="AD37" s="186">
        <v>2.6</v>
      </c>
      <c r="AE37" s="186">
        <v>2.6</v>
      </c>
      <c r="AF37" s="186">
        <v>2.6</v>
      </c>
    </row>
    <row r="38" spans="2:32">
      <c r="B38" s="136">
        <v>2015</v>
      </c>
      <c r="C38" s="187">
        <v>151.30000000000001</v>
      </c>
      <c r="D38" s="187">
        <v>1112.4000000000001</v>
      </c>
      <c r="E38" s="187">
        <v>370.7</v>
      </c>
      <c r="F38" s="187">
        <v>207.7</v>
      </c>
      <c r="G38" s="188" t="s">
        <v>599</v>
      </c>
      <c r="H38" s="188" t="s">
        <v>600</v>
      </c>
      <c r="I38" s="188" t="s">
        <v>601</v>
      </c>
      <c r="J38" s="188" t="s">
        <v>602</v>
      </c>
      <c r="K38" s="189">
        <v>5.9</v>
      </c>
      <c r="L38" s="189">
        <v>4.5999999999999996</v>
      </c>
      <c r="M38" s="189">
        <v>4.5999999999999996</v>
      </c>
      <c r="N38" s="189">
        <v>4.5999999999999996</v>
      </c>
      <c r="P38" s="190">
        <v>2015</v>
      </c>
      <c r="Q38" s="185">
        <v>251</v>
      </c>
      <c r="R38" s="185">
        <v>438.8</v>
      </c>
      <c r="S38" s="185">
        <v>459.5</v>
      </c>
      <c r="T38" s="185">
        <v>483.6</v>
      </c>
      <c r="U38" s="186">
        <v>3.3</v>
      </c>
      <c r="V38" s="186">
        <v>3.3</v>
      </c>
      <c r="W38" s="186">
        <v>2.6</v>
      </c>
      <c r="X38" s="186">
        <v>2.8</v>
      </c>
      <c r="Y38" s="186">
        <v>18.899999999999999</v>
      </c>
      <c r="Z38" s="186">
        <v>20.5</v>
      </c>
      <c r="AA38" s="186">
        <v>21.8</v>
      </c>
      <c r="AB38" s="186">
        <v>22.4</v>
      </c>
      <c r="AC38" s="186">
        <v>2.1</v>
      </c>
      <c r="AD38" s="186">
        <v>2.2999999999999998</v>
      </c>
      <c r="AE38" s="186">
        <v>2.2999999999999998</v>
      </c>
      <c r="AF38" s="186">
        <v>2.2999999999999998</v>
      </c>
    </row>
    <row r="39" spans="2:32">
      <c r="B39" s="136">
        <v>2016</v>
      </c>
      <c r="C39" s="187">
        <v>79.400000000000006</v>
      </c>
      <c r="D39" s="187">
        <v>768</v>
      </c>
      <c r="E39" s="187">
        <v>465.3</v>
      </c>
      <c r="F39" s="187">
        <v>412.3</v>
      </c>
      <c r="G39" s="188" t="s">
        <v>603</v>
      </c>
      <c r="H39" s="188" t="s">
        <v>604</v>
      </c>
      <c r="I39" s="188" t="s">
        <v>605</v>
      </c>
      <c r="J39" s="188" t="s">
        <v>606</v>
      </c>
      <c r="K39" s="189">
        <v>6</v>
      </c>
      <c r="L39" s="189">
        <v>4.9000000000000004</v>
      </c>
      <c r="M39" s="189">
        <v>4.9000000000000004</v>
      </c>
      <c r="N39" s="189">
        <v>4.9000000000000004</v>
      </c>
      <c r="P39" s="190">
        <v>2016</v>
      </c>
      <c r="Q39" s="185">
        <v>262.7</v>
      </c>
      <c r="R39" s="185">
        <v>482.8</v>
      </c>
      <c r="S39" s="185">
        <v>520.1</v>
      </c>
      <c r="T39" s="185">
        <v>559.1</v>
      </c>
      <c r="U39" s="186">
        <v>3.1</v>
      </c>
      <c r="V39" s="186">
        <v>3.1</v>
      </c>
      <c r="W39" s="186">
        <v>2.4</v>
      </c>
      <c r="X39" s="186">
        <v>4</v>
      </c>
      <c r="Y39" s="186">
        <v>20.7</v>
      </c>
      <c r="Z39" s="186">
        <v>21.1</v>
      </c>
      <c r="AA39" s="186">
        <v>22.7</v>
      </c>
      <c r="AB39" s="186">
        <v>23.4</v>
      </c>
      <c r="AC39" s="186">
        <v>2.6</v>
      </c>
      <c r="AD39" s="186">
        <v>2.8</v>
      </c>
      <c r="AE39" s="186">
        <v>2.8</v>
      </c>
      <c r="AF39" s="186">
        <v>2.8</v>
      </c>
    </row>
    <row r="40" spans="2:32">
      <c r="B40" s="136">
        <v>2017</v>
      </c>
      <c r="C40" s="187">
        <v>90.3</v>
      </c>
      <c r="D40" s="187">
        <v>791.1</v>
      </c>
      <c r="E40" s="187">
        <v>222.3</v>
      </c>
      <c r="F40" s="187">
        <v>222.2</v>
      </c>
      <c r="G40" s="188" t="s">
        <v>607</v>
      </c>
      <c r="H40" s="188" t="s">
        <v>608</v>
      </c>
      <c r="I40" s="188" t="s">
        <v>609</v>
      </c>
      <c r="J40" s="188" t="s">
        <v>610</v>
      </c>
      <c r="K40" s="189">
        <v>6.2</v>
      </c>
      <c r="L40" s="189">
        <v>5</v>
      </c>
      <c r="M40" s="189">
        <v>5</v>
      </c>
      <c r="N40" s="189">
        <v>5</v>
      </c>
      <c r="P40" s="190">
        <v>2017</v>
      </c>
      <c r="Q40" s="185">
        <v>245.3</v>
      </c>
      <c r="R40" s="185">
        <v>440.6</v>
      </c>
      <c r="S40" s="185">
        <v>477.1</v>
      </c>
      <c r="T40" s="185">
        <v>502.4</v>
      </c>
      <c r="U40" s="186">
        <v>2.2999999999999998</v>
      </c>
      <c r="V40" s="186">
        <v>3.3</v>
      </c>
      <c r="W40" s="186">
        <v>2.5</v>
      </c>
      <c r="X40" s="186">
        <v>3.3</v>
      </c>
      <c r="Y40" s="186">
        <v>17.899999999999999</v>
      </c>
      <c r="Z40" s="186">
        <v>20.2</v>
      </c>
      <c r="AA40" s="186">
        <v>22</v>
      </c>
      <c r="AB40" s="186">
        <v>22.2</v>
      </c>
      <c r="AC40" s="186">
        <v>2.9</v>
      </c>
      <c r="AD40" s="186">
        <v>2.5</v>
      </c>
      <c r="AE40" s="186">
        <v>2.5</v>
      </c>
      <c r="AF40" s="186">
        <v>2.5</v>
      </c>
    </row>
    <row r="41" spans="2:32">
      <c r="B41" s="136">
        <v>2018</v>
      </c>
      <c r="C41" s="187">
        <v>133.19999999999999</v>
      </c>
      <c r="D41" s="187">
        <v>482.3</v>
      </c>
      <c r="E41" s="187">
        <v>245.5</v>
      </c>
      <c r="F41" s="187">
        <v>153.19999999999999</v>
      </c>
      <c r="G41" s="188" t="s">
        <v>611</v>
      </c>
      <c r="H41" s="188" t="s">
        <v>612</v>
      </c>
      <c r="I41" s="188" t="s">
        <v>613</v>
      </c>
      <c r="J41" s="188" t="s">
        <v>614</v>
      </c>
      <c r="K41" s="189">
        <v>4.9000000000000004</v>
      </c>
      <c r="L41" s="189">
        <v>5.4</v>
      </c>
      <c r="M41" s="189">
        <v>5.4</v>
      </c>
      <c r="N41" s="189">
        <v>5.4</v>
      </c>
      <c r="P41" s="190">
        <v>2018</v>
      </c>
      <c r="Q41" s="185">
        <v>261.39999999999998</v>
      </c>
      <c r="R41" s="185">
        <v>528.9</v>
      </c>
      <c r="S41" s="185">
        <v>499.3</v>
      </c>
      <c r="T41" s="185">
        <v>520.1</v>
      </c>
      <c r="U41" s="186">
        <v>2.6</v>
      </c>
      <c r="V41" s="186">
        <v>3.5</v>
      </c>
      <c r="W41" s="186">
        <v>2.7</v>
      </c>
      <c r="X41" s="186">
        <v>2.9</v>
      </c>
      <c r="Y41" s="186">
        <v>20.3</v>
      </c>
      <c r="Z41" s="186">
        <v>21.3</v>
      </c>
      <c r="AA41" s="186">
        <v>21.4</v>
      </c>
      <c r="AB41" s="186">
        <v>22.4</v>
      </c>
      <c r="AC41" s="186">
        <v>2.5</v>
      </c>
      <c r="AD41" s="186">
        <v>2.9</v>
      </c>
      <c r="AE41" s="186">
        <v>2.9</v>
      </c>
      <c r="AF41" s="186">
        <v>2.9</v>
      </c>
    </row>
    <row r="42" spans="2:32">
      <c r="B42" s="136">
        <v>2019</v>
      </c>
      <c r="C42" s="187">
        <v>55.6</v>
      </c>
      <c r="D42" s="187">
        <v>532.79999999999995</v>
      </c>
      <c r="E42" s="187">
        <v>125.7</v>
      </c>
      <c r="F42" s="187">
        <v>535.4</v>
      </c>
      <c r="G42" s="188" t="s">
        <v>615</v>
      </c>
      <c r="H42" s="188" t="s">
        <v>616</v>
      </c>
      <c r="I42" s="188" t="s">
        <v>617</v>
      </c>
      <c r="J42" s="188" t="s">
        <v>618</v>
      </c>
      <c r="K42" s="189">
        <v>5.6</v>
      </c>
      <c r="L42" s="189">
        <v>4.7</v>
      </c>
      <c r="M42" s="189">
        <v>4.7</v>
      </c>
      <c r="N42" s="189">
        <v>4.7</v>
      </c>
      <c r="P42" s="190">
        <v>2019</v>
      </c>
      <c r="Q42" s="185">
        <v>261.7</v>
      </c>
      <c r="R42" s="185">
        <v>519.29999999999995</v>
      </c>
      <c r="S42" s="185">
        <v>529.79999999999995</v>
      </c>
      <c r="T42" s="185">
        <v>575.9</v>
      </c>
      <c r="U42" s="186">
        <v>3.2</v>
      </c>
      <c r="V42" s="186">
        <v>3.1</v>
      </c>
      <c r="W42" s="186">
        <v>2.4</v>
      </c>
      <c r="X42" s="186">
        <v>3.7</v>
      </c>
      <c r="Y42" s="186">
        <v>20.399999999999999</v>
      </c>
      <c r="Z42" s="186">
        <v>21.1</v>
      </c>
      <c r="AA42" s="186">
        <v>22.3</v>
      </c>
      <c r="AB42" s="186">
        <v>22.6</v>
      </c>
      <c r="AC42" s="186">
        <v>2.4</v>
      </c>
      <c r="AD42" s="186">
        <v>3.1</v>
      </c>
      <c r="AE42" s="186">
        <v>3.1</v>
      </c>
      <c r="AF42" s="186">
        <v>3.1</v>
      </c>
    </row>
    <row r="43" spans="2:32">
      <c r="B43" s="136">
        <v>2020</v>
      </c>
      <c r="C43" s="187">
        <v>312.8</v>
      </c>
      <c r="D43" s="187">
        <v>986.5</v>
      </c>
      <c r="E43" s="187">
        <v>448.8</v>
      </c>
      <c r="F43" s="187">
        <v>333.8</v>
      </c>
      <c r="G43" s="188" t="s">
        <v>619</v>
      </c>
      <c r="H43" s="188" t="s">
        <v>620</v>
      </c>
      <c r="I43" s="188" t="s">
        <v>621</v>
      </c>
      <c r="J43" s="188" t="s">
        <v>622</v>
      </c>
      <c r="K43" s="189">
        <v>5.4</v>
      </c>
      <c r="L43" s="189">
        <v>4.3</v>
      </c>
      <c r="M43" s="189">
        <v>4.3</v>
      </c>
      <c r="N43" s="189">
        <v>4.3</v>
      </c>
      <c r="P43" s="190">
        <v>2020</v>
      </c>
      <c r="Q43" s="185">
        <v>252.2</v>
      </c>
      <c r="R43" s="185">
        <v>506</v>
      </c>
      <c r="S43" s="185">
        <v>498.3</v>
      </c>
      <c r="T43" s="185">
        <v>523.29999999999995</v>
      </c>
      <c r="U43" s="186">
        <v>2.8</v>
      </c>
      <c r="V43" s="186">
        <v>3.5</v>
      </c>
      <c r="W43" s="186">
        <v>2.5</v>
      </c>
      <c r="X43" s="186">
        <v>2.8</v>
      </c>
      <c r="Y43" s="186">
        <v>18.899999999999999</v>
      </c>
      <c r="Z43" s="186">
        <v>21.5</v>
      </c>
      <c r="AA43" s="186">
        <v>22</v>
      </c>
      <c r="AB43" s="186">
        <v>22.7</v>
      </c>
      <c r="AC43" s="186">
        <v>2.5</v>
      </c>
      <c r="AD43" s="186">
        <v>2.7</v>
      </c>
      <c r="AE43" s="186">
        <v>2.7</v>
      </c>
      <c r="AF43" s="186">
        <v>2.7</v>
      </c>
    </row>
    <row r="44" spans="2:32">
      <c r="B44" s="136">
        <v>2021</v>
      </c>
      <c r="C44" s="187">
        <v>244</v>
      </c>
      <c r="D44" s="187">
        <v>1750.5</v>
      </c>
      <c r="E44" s="187">
        <v>118.5</v>
      </c>
      <c r="F44" s="187">
        <v>901.1</v>
      </c>
      <c r="G44" s="188" t="s">
        <v>623</v>
      </c>
      <c r="H44" s="188" t="s">
        <v>624</v>
      </c>
      <c r="I44" s="188" t="s">
        <v>625</v>
      </c>
      <c r="J44" s="188" t="s">
        <v>626</v>
      </c>
      <c r="K44" s="189">
        <v>5.4</v>
      </c>
      <c r="L44" s="189">
        <v>5.0999999999999996</v>
      </c>
      <c r="M44" s="189">
        <v>5.0999999999999996</v>
      </c>
      <c r="N44" s="189">
        <v>5.0999999999999996</v>
      </c>
      <c r="P44" s="190">
        <v>2021</v>
      </c>
      <c r="Q44" s="185">
        <v>260.89999999999998</v>
      </c>
      <c r="R44" s="185">
        <v>458.1</v>
      </c>
      <c r="S44" s="185">
        <v>493.1</v>
      </c>
      <c r="T44" s="185">
        <v>511</v>
      </c>
      <c r="U44" s="186">
        <v>2.9</v>
      </c>
      <c r="V44" s="186">
        <v>2.8</v>
      </c>
      <c r="W44" s="186">
        <v>2.5</v>
      </c>
      <c r="X44" s="186">
        <v>2.2999999999999998</v>
      </c>
      <c r="Y44" s="186">
        <v>19.8</v>
      </c>
      <c r="Z44" s="186">
        <v>20.9</v>
      </c>
      <c r="AA44" s="186">
        <v>22.2</v>
      </c>
      <c r="AB44" s="186">
        <v>23</v>
      </c>
      <c r="AC44" s="186">
        <v>2.4</v>
      </c>
      <c r="AD44" s="186">
        <v>2.6</v>
      </c>
      <c r="AE44" s="186">
        <v>2.6</v>
      </c>
      <c r="AF44" s="186">
        <v>2.6</v>
      </c>
    </row>
    <row r="45" spans="2:32">
      <c r="B45" s="136">
        <v>2022</v>
      </c>
      <c r="C45" s="187">
        <v>630.4</v>
      </c>
      <c r="D45" s="187">
        <v>1120.5</v>
      </c>
      <c r="E45" s="187">
        <v>279.8</v>
      </c>
      <c r="F45" s="187">
        <v>374.3</v>
      </c>
      <c r="G45" s="188" t="s">
        <v>627</v>
      </c>
      <c r="H45" s="188" t="s">
        <v>628</v>
      </c>
      <c r="I45" s="188" t="s">
        <v>629</v>
      </c>
      <c r="J45" s="188" t="s">
        <v>630</v>
      </c>
      <c r="K45" s="189">
        <v>5.0999999999999996</v>
      </c>
      <c r="L45" s="189">
        <v>4.2</v>
      </c>
      <c r="M45" s="189">
        <v>4.2</v>
      </c>
      <c r="N45" s="189">
        <v>4.2</v>
      </c>
      <c r="P45" s="190">
        <v>2022</v>
      </c>
      <c r="Q45" s="185">
        <v>254.9</v>
      </c>
      <c r="R45" s="185">
        <v>463.6</v>
      </c>
      <c r="S45" s="185">
        <v>489.4</v>
      </c>
      <c r="T45" s="185">
        <v>498.6</v>
      </c>
      <c r="U45" s="186">
        <v>2.8</v>
      </c>
      <c r="V45" s="186">
        <v>3.1</v>
      </c>
      <c r="W45" s="186">
        <v>2.9</v>
      </c>
      <c r="X45" s="186">
        <v>2.7</v>
      </c>
      <c r="Y45" s="186">
        <v>20.5</v>
      </c>
      <c r="Z45" s="186">
        <v>21.4</v>
      </c>
      <c r="AA45" s="186">
        <v>22.5</v>
      </c>
      <c r="AB45" s="186">
        <v>23</v>
      </c>
      <c r="AC45" s="186">
        <v>2</v>
      </c>
      <c r="AD45" s="186">
        <v>2.4</v>
      </c>
      <c r="AE45" s="186">
        <v>2.4</v>
      </c>
      <c r="AF45" s="186">
        <v>2.4</v>
      </c>
    </row>
    <row r="46" spans="2:32">
      <c r="B46" s="165">
        <v>2023</v>
      </c>
      <c r="C46" s="191">
        <v>990.5</v>
      </c>
      <c r="D46" s="191">
        <v>1600.5</v>
      </c>
      <c r="E46" s="191">
        <v>101</v>
      </c>
      <c r="F46" s="191">
        <v>163</v>
      </c>
      <c r="G46" s="192" t="s">
        <v>631</v>
      </c>
      <c r="H46" s="192" t="s">
        <v>632</v>
      </c>
      <c r="I46" s="192" t="s">
        <v>633</v>
      </c>
      <c r="J46" s="192" t="s">
        <v>634</v>
      </c>
      <c r="K46" s="193">
        <v>6.1</v>
      </c>
      <c r="L46" s="193">
        <v>5.8</v>
      </c>
      <c r="M46" s="193">
        <v>5.8</v>
      </c>
      <c r="N46" s="193">
        <v>5.8</v>
      </c>
      <c r="P46" s="181">
        <v>2023</v>
      </c>
      <c r="Q46" s="194">
        <v>265.39999999999998</v>
      </c>
      <c r="R46" s="194">
        <v>504</v>
      </c>
      <c r="S46" s="194">
        <v>552.20000000000005</v>
      </c>
      <c r="T46" s="194">
        <v>575.5</v>
      </c>
      <c r="U46" s="195">
        <v>2.2999999999999998</v>
      </c>
      <c r="V46" s="195">
        <v>2.7</v>
      </c>
      <c r="W46" s="195">
        <v>2.9</v>
      </c>
      <c r="X46" s="195">
        <v>3.2</v>
      </c>
      <c r="Y46" s="195">
        <v>20.2</v>
      </c>
      <c r="Z46" s="195">
        <v>21</v>
      </c>
      <c r="AA46" s="195">
        <v>22.2</v>
      </c>
      <c r="AB46" s="195">
        <v>22.7</v>
      </c>
      <c r="AC46" s="195">
        <v>2.9</v>
      </c>
      <c r="AD46" s="195">
        <v>3.1</v>
      </c>
      <c r="AE46" s="195">
        <v>3.1</v>
      </c>
      <c r="AF46" s="195">
        <v>3.1</v>
      </c>
    </row>
    <row r="47" spans="2:32">
      <c r="B47" s="266" t="s">
        <v>131</v>
      </c>
      <c r="C47" s="266"/>
      <c r="D47" s="266"/>
      <c r="E47" s="266"/>
      <c r="F47" s="266"/>
      <c r="G47" s="266"/>
      <c r="H47" s="266"/>
      <c r="I47" s="266"/>
      <c r="J47" s="266"/>
      <c r="K47" s="266"/>
      <c r="L47" s="266"/>
      <c r="M47" s="266"/>
      <c r="N47" s="266"/>
    </row>
    <row r="48" spans="2:32">
      <c r="B48" s="267"/>
      <c r="C48" s="267"/>
      <c r="D48" s="267"/>
      <c r="E48" s="267"/>
      <c r="F48" s="267"/>
      <c r="G48" s="267"/>
      <c r="H48" s="267"/>
      <c r="I48" s="267"/>
      <c r="J48" s="267"/>
      <c r="K48" s="267"/>
      <c r="L48" s="267"/>
      <c r="M48" s="267"/>
      <c r="N48" s="267"/>
    </row>
  </sheetData>
  <mergeCells count="10">
    <mergeCell ref="U3:X3"/>
    <mergeCell ref="Y3:AB3"/>
    <mergeCell ref="AC3:AF3"/>
    <mergeCell ref="B47:N48"/>
    <mergeCell ref="B3:B4"/>
    <mergeCell ref="C3:F3"/>
    <mergeCell ref="G3:J3"/>
    <mergeCell ref="K3:N3"/>
    <mergeCell ref="P3:P4"/>
    <mergeCell ref="Q3:T3"/>
  </mergeCells>
  <phoneticPr fontId="5"/>
  <pageMargins left="0.23622047244094491" right="0" top="0.35433070866141736" bottom="0" header="0" footer="0"/>
  <pageSetup paperSize="9" fitToWidth="0"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9E2A7-7CC6-461C-BBB0-3DAFED4968F7}">
  <sheetPr codeName="Sheet51"/>
  <dimension ref="B1:I17"/>
  <sheetViews>
    <sheetView showGridLines="0" workbookViewId="0">
      <selection activeCell="I40" sqref="I40"/>
    </sheetView>
  </sheetViews>
  <sheetFormatPr defaultColWidth="11.42578125" defaultRowHeight="13.5"/>
  <cols>
    <col min="1" max="1" width="3.7109375" customWidth="1"/>
    <col min="2" max="2" width="11.42578125" style="54"/>
    <col min="4" max="8" width="11.42578125" style="99"/>
  </cols>
  <sheetData>
    <row r="1" spans="2:9">
      <c r="B1" s="54" t="s">
        <v>110</v>
      </c>
    </row>
    <row r="3" spans="2:9">
      <c r="B3" s="196"/>
      <c r="C3" s="60" t="s">
        <v>111</v>
      </c>
      <c r="D3" s="119" t="s">
        <v>112</v>
      </c>
      <c r="E3" s="120" t="s">
        <v>676</v>
      </c>
      <c r="F3" s="119" t="s">
        <v>113</v>
      </c>
      <c r="G3" s="120" t="s">
        <v>677</v>
      </c>
      <c r="H3" s="119" t="s">
        <v>114</v>
      </c>
      <c r="I3" s="68" t="s">
        <v>678</v>
      </c>
    </row>
    <row r="4" spans="2:9">
      <c r="B4" s="54" t="s">
        <v>115</v>
      </c>
      <c r="C4" s="69">
        <v>1</v>
      </c>
      <c r="D4" s="121" t="s">
        <v>116</v>
      </c>
      <c r="E4" s="121" t="s">
        <v>116</v>
      </c>
      <c r="F4" s="121" t="s">
        <v>41</v>
      </c>
      <c r="G4" s="121" t="s">
        <v>41</v>
      </c>
      <c r="H4" s="121" t="s">
        <v>41</v>
      </c>
      <c r="I4" s="6">
        <v>0</v>
      </c>
    </row>
    <row r="5" spans="2:9">
      <c r="C5">
        <v>2</v>
      </c>
      <c r="D5" s="99" t="s">
        <v>116</v>
      </c>
      <c r="E5" s="99" t="s">
        <v>116</v>
      </c>
      <c r="F5" s="99" t="s">
        <v>116</v>
      </c>
      <c r="G5" s="99" t="s">
        <v>41</v>
      </c>
      <c r="H5" s="99" t="s">
        <v>41</v>
      </c>
      <c r="I5" s="6">
        <v>0.89100000000000001</v>
      </c>
    </row>
    <row r="6" spans="2:9">
      <c r="C6">
        <v>3</v>
      </c>
      <c r="D6" s="99" t="s">
        <v>116</v>
      </c>
      <c r="E6" s="99" t="s">
        <v>116</v>
      </c>
      <c r="F6" s="99" t="s">
        <v>116</v>
      </c>
      <c r="G6" s="99" t="s">
        <v>41</v>
      </c>
      <c r="H6" s="99" t="s">
        <v>116</v>
      </c>
      <c r="I6" s="6">
        <v>2.8319999999999999</v>
      </c>
    </row>
    <row r="7" spans="2:9">
      <c r="C7">
        <v>4</v>
      </c>
      <c r="D7" s="99" t="s">
        <v>116</v>
      </c>
      <c r="E7" s="99" t="s">
        <v>116</v>
      </c>
      <c r="F7" s="99" t="s">
        <v>116</v>
      </c>
      <c r="G7" s="99" t="s">
        <v>116</v>
      </c>
      <c r="H7" s="99" t="s">
        <v>41</v>
      </c>
      <c r="I7" s="6">
        <v>2.8479999999999999</v>
      </c>
    </row>
    <row r="8" spans="2:9">
      <c r="C8">
        <v>5</v>
      </c>
      <c r="D8" s="99" t="s">
        <v>116</v>
      </c>
      <c r="E8" s="99" t="s">
        <v>116</v>
      </c>
      <c r="F8" s="99" t="s">
        <v>116</v>
      </c>
      <c r="G8" s="99" t="s">
        <v>116</v>
      </c>
      <c r="H8" s="99" t="s">
        <v>116</v>
      </c>
      <c r="I8" s="6">
        <v>4.6280000000000001</v>
      </c>
    </row>
    <row r="9" spans="2:9">
      <c r="B9" s="54" t="s">
        <v>117</v>
      </c>
      <c r="C9" s="69">
        <v>1</v>
      </c>
      <c r="D9" s="121" t="s">
        <v>116</v>
      </c>
      <c r="E9" s="121" t="s">
        <v>116</v>
      </c>
      <c r="F9" s="121" t="s">
        <v>41</v>
      </c>
      <c r="G9" s="121" t="s">
        <v>41</v>
      </c>
      <c r="H9" s="121" t="s">
        <v>41</v>
      </c>
      <c r="I9" s="6">
        <v>0</v>
      </c>
    </row>
    <row r="10" spans="2:9">
      <c r="C10">
        <v>2</v>
      </c>
      <c r="D10" s="99" t="s">
        <v>116</v>
      </c>
      <c r="E10" s="99" t="s">
        <v>116</v>
      </c>
      <c r="F10" s="99" t="s">
        <v>116</v>
      </c>
      <c r="G10" s="99" t="s">
        <v>41</v>
      </c>
      <c r="H10" s="99" t="s">
        <v>41</v>
      </c>
      <c r="I10">
        <v>0.85299999999999998</v>
      </c>
    </row>
    <row r="11" spans="2:9">
      <c r="C11">
        <v>3</v>
      </c>
      <c r="D11" s="99" t="s">
        <v>116</v>
      </c>
      <c r="E11" s="99" t="s">
        <v>116</v>
      </c>
      <c r="F11" s="99" t="s">
        <v>116</v>
      </c>
      <c r="G11" s="99" t="s">
        <v>116</v>
      </c>
      <c r="H11" s="99" t="s">
        <v>41</v>
      </c>
      <c r="I11" s="101">
        <v>1.08</v>
      </c>
    </row>
    <row r="12" spans="2:9">
      <c r="C12">
        <v>4</v>
      </c>
      <c r="D12" s="99" t="s">
        <v>116</v>
      </c>
      <c r="E12" s="99" t="s">
        <v>116</v>
      </c>
      <c r="F12" s="99" t="s">
        <v>116</v>
      </c>
      <c r="G12" s="99" t="s">
        <v>41</v>
      </c>
      <c r="H12" s="99" t="s">
        <v>116</v>
      </c>
      <c r="I12">
        <v>1.1879999999999999</v>
      </c>
    </row>
    <row r="13" spans="2:9">
      <c r="B13" s="170"/>
      <c r="C13" s="59">
        <v>5</v>
      </c>
      <c r="D13" s="100" t="s">
        <v>116</v>
      </c>
      <c r="E13" s="100" t="s">
        <v>41</v>
      </c>
      <c r="F13" s="100" t="s">
        <v>41</v>
      </c>
      <c r="G13" s="100" t="s">
        <v>41</v>
      </c>
      <c r="H13" s="100" t="s">
        <v>41</v>
      </c>
      <c r="I13" s="59">
        <v>1.5880000000000001</v>
      </c>
    </row>
    <row r="14" spans="2:9">
      <c r="B14" s="54" t="s">
        <v>118</v>
      </c>
    </row>
    <row r="15" spans="2:9">
      <c r="B15" s="197" t="s">
        <v>711</v>
      </c>
    </row>
    <row r="17" spans="4:4">
      <c r="D17" s="122"/>
    </row>
  </sheetData>
  <phoneticPr fontId="5"/>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4165-F3A5-4912-991F-7482C3C10273}">
  <sheetPr codeName="Sheet39"/>
  <dimension ref="B1:H40"/>
  <sheetViews>
    <sheetView showGridLines="0" zoomScale="90" zoomScaleNormal="90" workbookViewId="0">
      <selection activeCell="I40" sqref="I40"/>
    </sheetView>
  </sheetViews>
  <sheetFormatPr defaultColWidth="11.42578125" defaultRowHeight="13.5"/>
  <cols>
    <col min="1" max="1" width="11.42578125" style="6"/>
    <col min="2" max="2" width="5.85546875" style="6" customWidth="1"/>
    <col min="3" max="3" width="11.28515625" style="6" customWidth="1"/>
    <col min="4" max="4" width="12.5703125" style="6" customWidth="1"/>
    <col min="5" max="5" width="13.42578125" style="6" customWidth="1"/>
    <col min="6" max="6" width="14.42578125" style="6" customWidth="1"/>
    <col min="7" max="7" width="17.28515625" style="6" customWidth="1"/>
    <col min="8" max="8" width="16.5703125" style="6" customWidth="1"/>
    <col min="9" max="16384" width="11.42578125" style="6"/>
  </cols>
  <sheetData>
    <row r="1" spans="2:8">
      <c r="B1" s="57" t="s">
        <v>635</v>
      </c>
    </row>
    <row r="2" spans="2:8">
      <c r="B2" s="7"/>
      <c r="C2" s="7"/>
      <c r="D2" s="7"/>
      <c r="E2" s="7"/>
      <c r="F2" s="7"/>
      <c r="G2" s="7"/>
      <c r="H2" s="7"/>
    </row>
    <row r="3" spans="2:8" ht="33" customHeight="1">
      <c r="B3" s="259" t="s">
        <v>122</v>
      </c>
      <c r="C3" s="273" t="s">
        <v>636</v>
      </c>
      <c r="D3" s="274"/>
      <c r="E3" s="274"/>
      <c r="F3" s="274"/>
      <c r="G3" s="275" t="s">
        <v>637</v>
      </c>
      <c r="H3" s="276"/>
    </row>
    <row r="4" spans="2:8" ht="32.1" customHeight="1">
      <c r="B4" s="272"/>
      <c r="C4" s="82" t="s">
        <v>638</v>
      </c>
      <c r="D4" s="45" t="s">
        <v>639</v>
      </c>
      <c r="E4" s="13" t="s">
        <v>640</v>
      </c>
      <c r="F4" s="13" t="s">
        <v>641</v>
      </c>
      <c r="G4" s="45" t="s">
        <v>642</v>
      </c>
      <c r="H4" s="45" t="s">
        <v>643</v>
      </c>
    </row>
    <row r="5" spans="2:8">
      <c r="B5" s="8">
        <v>1988</v>
      </c>
      <c r="C5" s="9">
        <v>1057</v>
      </c>
      <c r="D5" s="9">
        <v>51</v>
      </c>
      <c r="E5" s="9">
        <v>20.7</v>
      </c>
      <c r="F5" s="9">
        <v>73.3</v>
      </c>
      <c r="G5" s="9"/>
      <c r="H5" s="9"/>
    </row>
    <row r="6" spans="2:8">
      <c r="B6" s="8">
        <v>1989</v>
      </c>
      <c r="C6" s="9">
        <v>8198</v>
      </c>
      <c r="D6" s="9">
        <v>264</v>
      </c>
      <c r="E6" s="9">
        <v>31.1</v>
      </c>
      <c r="F6" s="9">
        <v>147</v>
      </c>
      <c r="G6" s="9"/>
      <c r="H6" s="9"/>
    </row>
    <row r="7" spans="2:8">
      <c r="B7" s="8">
        <v>1990</v>
      </c>
      <c r="C7" s="9">
        <v>59993</v>
      </c>
      <c r="D7" s="9">
        <v>1419</v>
      </c>
      <c r="E7" s="9">
        <v>42.3</v>
      </c>
      <c r="F7" s="9">
        <v>53.9</v>
      </c>
      <c r="G7" s="9"/>
      <c r="H7" s="9"/>
    </row>
    <row r="8" spans="2:8">
      <c r="B8" s="8">
        <v>1991</v>
      </c>
      <c r="C8" s="9">
        <v>71394</v>
      </c>
      <c r="D8" s="9">
        <v>1319</v>
      </c>
      <c r="E8" s="9">
        <v>54.1</v>
      </c>
      <c r="F8" s="9">
        <v>287.8</v>
      </c>
      <c r="G8" s="9"/>
      <c r="H8" s="9"/>
    </row>
    <row r="9" spans="2:8">
      <c r="B9" s="8">
        <v>1992</v>
      </c>
      <c r="C9" s="9">
        <v>74394</v>
      </c>
      <c r="D9" s="9">
        <v>1135</v>
      </c>
      <c r="E9" s="9">
        <v>65.5</v>
      </c>
      <c r="F9" s="9">
        <v>208.7</v>
      </c>
      <c r="G9" s="9"/>
      <c r="H9" s="9"/>
    </row>
    <row r="10" spans="2:8">
      <c r="B10" s="8">
        <v>1993</v>
      </c>
      <c r="C10" s="9">
        <v>23366</v>
      </c>
      <c r="D10" s="9">
        <v>757</v>
      </c>
      <c r="E10" s="9">
        <v>30.9</v>
      </c>
      <c r="F10" s="9">
        <v>620.29999999999995</v>
      </c>
      <c r="G10" s="9"/>
      <c r="H10" s="9"/>
    </row>
    <row r="11" spans="2:8">
      <c r="B11" s="8">
        <v>1994</v>
      </c>
      <c r="C11" s="9">
        <v>25636.5</v>
      </c>
      <c r="D11" s="9">
        <v>765</v>
      </c>
      <c r="E11" s="9">
        <v>33.5</v>
      </c>
      <c r="F11" s="9">
        <v>353.3</v>
      </c>
      <c r="G11" s="9"/>
      <c r="H11" s="9"/>
    </row>
    <row r="12" spans="2:8">
      <c r="B12" s="8">
        <v>1995</v>
      </c>
      <c r="C12" s="9">
        <v>39439</v>
      </c>
      <c r="D12" s="9">
        <v>1235</v>
      </c>
      <c r="E12" s="9">
        <v>31.9</v>
      </c>
      <c r="F12" s="9">
        <v>135.9</v>
      </c>
      <c r="G12" s="9"/>
      <c r="H12" s="9"/>
    </row>
    <row r="13" spans="2:8">
      <c r="B13" s="8">
        <v>1996</v>
      </c>
      <c r="C13" s="9">
        <v>92344</v>
      </c>
      <c r="D13" s="9">
        <v>1390</v>
      </c>
      <c r="E13" s="9">
        <v>66.400000000000006</v>
      </c>
      <c r="F13" s="9">
        <v>241.1</v>
      </c>
      <c r="G13" s="9"/>
      <c r="H13" s="9"/>
    </row>
    <row r="14" spans="2:8">
      <c r="B14" s="8">
        <v>1997</v>
      </c>
      <c r="C14" s="9">
        <v>24775.5</v>
      </c>
      <c r="D14" s="9">
        <v>686</v>
      </c>
      <c r="E14" s="9">
        <v>36.1</v>
      </c>
      <c r="F14" s="9">
        <v>160</v>
      </c>
      <c r="G14" s="9"/>
      <c r="H14" s="9"/>
    </row>
    <row r="15" spans="2:8">
      <c r="B15" s="8">
        <v>1998</v>
      </c>
      <c r="C15" s="9">
        <v>143807.5</v>
      </c>
      <c r="D15" s="9">
        <v>1538</v>
      </c>
      <c r="E15" s="9">
        <v>93.5</v>
      </c>
      <c r="F15" s="9">
        <v>436.5</v>
      </c>
      <c r="G15" s="9"/>
      <c r="H15" s="9"/>
    </row>
    <row r="16" spans="2:8">
      <c r="B16" s="8">
        <v>1999</v>
      </c>
      <c r="C16" s="9">
        <v>109905.2</v>
      </c>
      <c r="D16" s="9">
        <v>1411</v>
      </c>
      <c r="E16" s="9">
        <v>77.900000000000006</v>
      </c>
      <c r="F16" s="9">
        <v>608.1</v>
      </c>
      <c r="G16" s="9"/>
      <c r="H16" s="9"/>
    </row>
    <row r="17" spans="2:8">
      <c r="B17" s="8">
        <v>2000</v>
      </c>
      <c r="C17" s="9">
        <v>76550</v>
      </c>
      <c r="D17" s="9">
        <v>1246</v>
      </c>
      <c r="E17" s="9">
        <v>61.4</v>
      </c>
      <c r="F17" s="9">
        <v>396.7</v>
      </c>
      <c r="G17" s="9"/>
      <c r="H17" s="9"/>
    </row>
    <row r="18" spans="2:8">
      <c r="B18" s="8">
        <v>2001</v>
      </c>
      <c r="C18" s="9">
        <v>64887.5</v>
      </c>
      <c r="D18" s="9">
        <v>1592</v>
      </c>
      <c r="E18" s="9">
        <v>40.799999999999997</v>
      </c>
      <c r="F18" s="9">
        <v>712.1</v>
      </c>
      <c r="G18" s="9"/>
      <c r="H18" s="9"/>
    </row>
    <row r="19" spans="2:8">
      <c r="B19" s="8">
        <v>2002</v>
      </c>
      <c r="C19" s="9">
        <v>87135.9</v>
      </c>
      <c r="D19" s="9">
        <v>2242</v>
      </c>
      <c r="E19" s="9">
        <v>38.9</v>
      </c>
      <c r="F19" s="9">
        <v>823.9</v>
      </c>
      <c r="G19" s="9"/>
      <c r="H19" s="9"/>
    </row>
    <row r="20" spans="2:8">
      <c r="B20" s="8">
        <v>2003</v>
      </c>
      <c r="C20" s="9">
        <v>122550</v>
      </c>
      <c r="D20" s="9">
        <v>2453</v>
      </c>
      <c r="E20" s="9">
        <v>50</v>
      </c>
      <c r="F20" s="9">
        <v>1129.2</v>
      </c>
      <c r="G20" s="9"/>
      <c r="H20" s="9"/>
    </row>
    <row r="21" spans="2:8">
      <c r="B21" s="8">
        <v>2004</v>
      </c>
      <c r="C21" s="9">
        <v>110835.5</v>
      </c>
      <c r="D21" s="9">
        <v>2247</v>
      </c>
      <c r="E21" s="9">
        <v>49.3</v>
      </c>
      <c r="F21" s="9">
        <v>680.8</v>
      </c>
      <c r="G21" s="9"/>
      <c r="H21" s="9"/>
    </row>
    <row r="22" spans="2:8">
      <c r="B22" s="8">
        <v>2005</v>
      </c>
      <c r="C22" s="9">
        <v>52187</v>
      </c>
      <c r="D22" s="9">
        <v>710</v>
      </c>
      <c r="E22" s="9">
        <v>73.5</v>
      </c>
      <c r="F22" s="9">
        <v>551.20000000000005</v>
      </c>
      <c r="G22" s="9">
        <v>1107.7</v>
      </c>
      <c r="H22" s="9">
        <v>1261.0999999999999</v>
      </c>
    </row>
    <row r="23" spans="2:8">
      <c r="B23" s="8">
        <v>2006</v>
      </c>
      <c r="C23" s="9">
        <v>50277</v>
      </c>
      <c r="D23" s="9">
        <v>994</v>
      </c>
      <c r="E23" s="9">
        <v>50.6</v>
      </c>
      <c r="F23" s="9">
        <v>853.1</v>
      </c>
      <c r="G23" s="9">
        <v>4080.7</v>
      </c>
      <c r="H23" s="9">
        <v>4586.8999999999996</v>
      </c>
    </row>
    <row r="24" spans="2:8">
      <c r="B24" s="8">
        <v>2007</v>
      </c>
      <c r="C24" s="9">
        <v>53686.400000000001</v>
      </c>
      <c r="D24" s="9">
        <v>1572</v>
      </c>
      <c r="E24" s="9">
        <v>34.200000000000003</v>
      </c>
      <c r="F24" s="9">
        <v>604.20000000000005</v>
      </c>
      <c r="G24" s="9">
        <v>132.9</v>
      </c>
      <c r="H24" s="9">
        <v>1183.0999999999999</v>
      </c>
    </row>
    <row r="25" spans="2:8">
      <c r="B25" s="8">
        <v>2008</v>
      </c>
      <c r="C25" s="9">
        <v>23459.5</v>
      </c>
      <c r="D25" s="9">
        <v>621</v>
      </c>
      <c r="E25" s="9">
        <v>37.799999999999997</v>
      </c>
      <c r="F25" s="9">
        <v>418.4</v>
      </c>
      <c r="G25" s="9">
        <v>3571</v>
      </c>
      <c r="H25" s="9">
        <v>2429.1</v>
      </c>
    </row>
    <row r="26" spans="2:8">
      <c r="B26" s="8">
        <v>2009</v>
      </c>
      <c r="C26" s="9">
        <v>19189</v>
      </c>
      <c r="D26" s="9">
        <v>476</v>
      </c>
      <c r="E26" s="9">
        <v>40.299999999999997</v>
      </c>
      <c r="F26" s="9">
        <v>630.20000000000005</v>
      </c>
      <c r="G26" s="9">
        <v>2159.6999999999998</v>
      </c>
      <c r="H26" s="9">
        <v>1471.4</v>
      </c>
    </row>
    <row r="27" spans="2:8">
      <c r="B27" s="8">
        <v>2010</v>
      </c>
      <c r="C27" s="9">
        <v>26662</v>
      </c>
      <c r="D27" s="9">
        <v>553</v>
      </c>
      <c r="E27" s="9">
        <v>48.2</v>
      </c>
      <c r="F27" s="9">
        <v>577.6</v>
      </c>
      <c r="G27" s="9">
        <v>1005.4</v>
      </c>
      <c r="H27" s="9">
        <v>1812.3</v>
      </c>
    </row>
    <row r="28" spans="2:8">
      <c r="B28" s="8">
        <v>2011</v>
      </c>
      <c r="C28" s="9">
        <v>23234.5</v>
      </c>
      <c r="D28" s="9">
        <v>584</v>
      </c>
      <c r="E28" s="9">
        <v>39.799999999999997</v>
      </c>
      <c r="F28" s="9">
        <v>392.5</v>
      </c>
      <c r="G28" s="9">
        <v>5205.3999999999996</v>
      </c>
      <c r="H28" s="9">
        <v>1110.0999999999999</v>
      </c>
    </row>
    <row r="29" spans="2:8">
      <c r="B29" s="8">
        <v>2012</v>
      </c>
      <c r="C29" s="9">
        <v>707</v>
      </c>
      <c r="D29" s="9">
        <v>17</v>
      </c>
      <c r="E29" s="9">
        <v>41.6</v>
      </c>
      <c r="F29" s="9">
        <v>302.7</v>
      </c>
      <c r="G29" s="9">
        <v>294.5</v>
      </c>
      <c r="H29" s="9">
        <v>1563.4</v>
      </c>
    </row>
    <row r="30" spans="2:8">
      <c r="B30" s="8">
        <v>2013</v>
      </c>
      <c r="C30" s="9">
        <v>1162</v>
      </c>
      <c r="D30" s="9">
        <v>40</v>
      </c>
      <c r="E30" s="9">
        <v>29.1</v>
      </c>
      <c r="F30" s="9">
        <v>117.8</v>
      </c>
      <c r="G30" s="9">
        <v>4.4000000000000004</v>
      </c>
      <c r="H30" s="9">
        <v>403.2</v>
      </c>
    </row>
    <row r="31" spans="2:8">
      <c r="B31" s="8">
        <v>2014</v>
      </c>
      <c r="C31" s="9">
        <v>32.5</v>
      </c>
      <c r="D31" s="9">
        <v>2</v>
      </c>
      <c r="E31" s="9">
        <v>16.3</v>
      </c>
      <c r="F31" s="9">
        <v>16.3</v>
      </c>
      <c r="G31" s="9">
        <v>0.1</v>
      </c>
      <c r="H31" s="9">
        <v>54.3</v>
      </c>
    </row>
    <row r="32" spans="2:8">
      <c r="B32" s="8">
        <v>2015</v>
      </c>
      <c r="C32" s="9">
        <v>13.5</v>
      </c>
      <c r="D32" s="9">
        <v>4</v>
      </c>
      <c r="E32" s="9">
        <v>3.4</v>
      </c>
      <c r="F32" s="9">
        <v>1</v>
      </c>
      <c r="G32" s="9">
        <v>0.1</v>
      </c>
      <c r="H32" s="9">
        <v>19.2</v>
      </c>
    </row>
    <row r="33" spans="2:8">
      <c r="B33" s="8">
        <v>2016</v>
      </c>
      <c r="C33" s="9">
        <v>0</v>
      </c>
      <c r="D33" s="9">
        <v>0</v>
      </c>
      <c r="E33" s="9"/>
      <c r="F33" s="9">
        <v>0</v>
      </c>
      <c r="G33" s="9">
        <v>0.8</v>
      </c>
      <c r="H33" s="9">
        <v>29.9</v>
      </c>
    </row>
    <row r="34" spans="2:8">
      <c r="B34" s="8">
        <v>2017</v>
      </c>
      <c r="C34" s="9">
        <v>20</v>
      </c>
      <c r="D34" s="9">
        <v>1</v>
      </c>
      <c r="E34" s="9">
        <v>20</v>
      </c>
      <c r="F34" s="9">
        <v>20</v>
      </c>
      <c r="G34" s="9">
        <v>0.3</v>
      </c>
      <c r="H34" s="9">
        <v>1.9</v>
      </c>
    </row>
    <row r="35" spans="2:8">
      <c r="B35" s="8">
        <v>2018</v>
      </c>
      <c r="C35" s="9">
        <v>0</v>
      </c>
      <c r="D35" s="9">
        <v>0</v>
      </c>
      <c r="E35" s="9"/>
      <c r="F35" s="9">
        <v>0</v>
      </c>
      <c r="G35" s="9">
        <v>0.6</v>
      </c>
      <c r="H35" s="9">
        <v>0.4</v>
      </c>
    </row>
    <row r="36" spans="2:8">
      <c r="B36" s="8">
        <v>2019</v>
      </c>
      <c r="C36" s="9">
        <v>0</v>
      </c>
      <c r="D36" s="9">
        <v>0</v>
      </c>
      <c r="E36" s="9"/>
      <c r="F36" s="9">
        <v>0</v>
      </c>
      <c r="G36" s="9">
        <v>1280.3</v>
      </c>
      <c r="H36" s="9">
        <v>49.9</v>
      </c>
    </row>
    <row r="37" spans="2:8">
      <c r="B37" s="8">
        <v>2020</v>
      </c>
      <c r="C37" s="9">
        <v>23</v>
      </c>
      <c r="D37" s="9">
        <v>1</v>
      </c>
      <c r="E37" s="9">
        <v>23</v>
      </c>
      <c r="F37" s="9">
        <v>0</v>
      </c>
      <c r="G37" s="9">
        <v>3239.3</v>
      </c>
      <c r="H37" s="9">
        <v>8</v>
      </c>
    </row>
    <row r="38" spans="2:8">
      <c r="B38" s="8">
        <v>2021</v>
      </c>
      <c r="C38" s="9">
        <v>0</v>
      </c>
      <c r="D38" s="9">
        <v>0</v>
      </c>
      <c r="E38" s="9"/>
      <c r="F38" s="9">
        <v>0</v>
      </c>
      <c r="G38" s="9">
        <v>5908.6</v>
      </c>
      <c r="H38" s="9">
        <v>337.8</v>
      </c>
    </row>
    <row r="39" spans="2:8">
      <c r="B39" s="8">
        <v>2022</v>
      </c>
      <c r="C39" s="9">
        <v>0</v>
      </c>
      <c r="D39" s="9">
        <v>0</v>
      </c>
      <c r="E39" s="9"/>
      <c r="F39" s="9">
        <v>0</v>
      </c>
      <c r="G39" s="9">
        <v>2369.6999999999998</v>
      </c>
      <c r="H39" s="9">
        <v>163</v>
      </c>
    </row>
    <row r="40" spans="2:8">
      <c r="B40" s="10">
        <v>2023</v>
      </c>
      <c r="C40" s="11">
        <v>1</v>
      </c>
      <c r="D40" s="11">
        <v>2</v>
      </c>
      <c r="E40" s="11">
        <v>0.5</v>
      </c>
      <c r="F40" s="11">
        <v>0.5</v>
      </c>
      <c r="G40" s="11">
        <v>0.1</v>
      </c>
      <c r="H40" s="11">
        <v>0.4</v>
      </c>
    </row>
  </sheetData>
  <mergeCells count="3">
    <mergeCell ref="B3:B4"/>
    <mergeCell ref="C3:F3"/>
    <mergeCell ref="G3:H3"/>
  </mergeCells>
  <phoneticPr fontId="5"/>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0BCD1-312B-442E-90A0-2BE8F67E8F8F}">
  <sheetPr codeName="Sheet40"/>
  <dimension ref="B1:E29"/>
  <sheetViews>
    <sheetView showGridLines="0" zoomScale="90" zoomScaleNormal="90" workbookViewId="0">
      <selection activeCell="I40" sqref="I40"/>
    </sheetView>
  </sheetViews>
  <sheetFormatPr defaultColWidth="11.42578125" defaultRowHeight="13.5"/>
  <cols>
    <col min="1" max="1" width="3.28515625" style="6" customWidth="1"/>
    <col min="2" max="2" width="5.85546875" style="6" customWidth="1"/>
    <col min="3" max="3" width="23" style="6" customWidth="1"/>
    <col min="4" max="4" width="24.140625" style="6" customWidth="1"/>
    <col min="5" max="5" width="48.42578125" style="6" bestFit="1" customWidth="1"/>
    <col min="6" max="16384" width="11.42578125" style="6"/>
  </cols>
  <sheetData>
    <row r="1" spans="2:5">
      <c r="B1" s="57" t="s">
        <v>644</v>
      </c>
    </row>
    <row r="2" spans="2:5">
      <c r="B2" s="7"/>
      <c r="C2" s="7"/>
      <c r="D2" s="7"/>
      <c r="E2" s="7"/>
    </row>
    <row r="3" spans="2:5" ht="40.5">
      <c r="B3" s="259" t="s">
        <v>122</v>
      </c>
      <c r="C3" s="273" t="s">
        <v>645</v>
      </c>
      <c r="D3" s="274"/>
      <c r="E3" s="44" t="s">
        <v>646</v>
      </c>
    </row>
    <row r="4" spans="2:5" ht="27">
      <c r="B4" s="272"/>
      <c r="C4" s="45" t="s">
        <v>647</v>
      </c>
      <c r="D4" s="45" t="s">
        <v>648</v>
      </c>
      <c r="E4" s="13" t="s">
        <v>649</v>
      </c>
    </row>
    <row r="5" spans="2:5">
      <c r="B5" s="8">
        <v>1999</v>
      </c>
      <c r="C5" s="9">
        <v>873.3</v>
      </c>
      <c r="D5" s="9">
        <v>817.2</v>
      </c>
      <c r="E5" s="9"/>
    </row>
    <row r="6" spans="2:5">
      <c r="B6" s="8">
        <v>2000</v>
      </c>
      <c r="C6" s="9">
        <v>443.5</v>
      </c>
      <c r="D6" s="9">
        <v>738.4</v>
      </c>
      <c r="E6" s="9"/>
    </row>
    <row r="7" spans="2:5">
      <c r="B7" s="8">
        <v>2001</v>
      </c>
      <c r="C7" s="9">
        <v>218.1</v>
      </c>
      <c r="D7" s="9">
        <v>1212.3</v>
      </c>
      <c r="E7" s="9"/>
    </row>
    <row r="8" spans="2:5">
      <c r="B8" s="8">
        <v>2002</v>
      </c>
      <c r="C8" s="9">
        <v>948.7</v>
      </c>
      <c r="D8" s="9">
        <v>612.9</v>
      </c>
      <c r="E8" s="9"/>
    </row>
    <row r="9" spans="2:5">
      <c r="B9" s="8">
        <v>2003</v>
      </c>
      <c r="C9" s="9">
        <v>1193.3</v>
      </c>
      <c r="D9" s="9">
        <v>1309.5999999999999</v>
      </c>
      <c r="E9" s="9"/>
    </row>
    <row r="10" spans="2:5">
      <c r="B10" s="8">
        <v>2004</v>
      </c>
      <c r="C10" s="9">
        <v>1073.5999999999999</v>
      </c>
      <c r="D10" s="9">
        <v>1136.3</v>
      </c>
      <c r="E10" s="9"/>
    </row>
    <row r="11" spans="2:5">
      <c r="B11" s="8">
        <v>2005</v>
      </c>
      <c r="C11" s="9">
        <v>428.5</v>
      </c>
      <c r="D11" s="9">
        <v>1026.9000000000001</v>
      </c>
      <c r="E11" s="9"/>
    </row>
    <row r="12" spans="2:5">
      <c r="B12" s="8">
        <v>2006</v>
      </c>
      <c r="C12" s="9">
        <v>783.5</v>
      </c>
      <c r="D12" s="9">
        <v>402.6</v>
      </c>
      <c r="E12" s="9"/>
    </row>
    <row r="13" spans="2:5">
      <c r="B13" s="8">
        <v>2007</v>
      </c>
      <c r="C13" s="9">
        <v>553.1</v>
      </c>
      <c r="D13" s="9">
        <v>925</v>
      </c>
      <c r="E13" s="9"/>
    </row>
    <row r="14" spans="2:5">
      <c r="B14" s="8">
        <v>2008</v>
      </c>
      <c r="C14" s="9">
        <v>178.5</v>
      </c>
      <c r="D14" s="9">
        <v>582.5</v>
      </c>
      <c r="E14" s="9">
        <v>29.9</v>
      </c>
    </row>
    <row r="15" spans="2:5">
      <c r="B15" s="8">
        <v>2009</v>
      </c>
      <c r="C15" s="9">
        <v>670.3</v>
      </c>
      <c r="D15" s="9">
        <v>284</v>
      </c>
      <c r="E15" s="9">
        <v>39.200000000000003</v>
      </c>
    </row>
    <row r="16" spans="2:5">
      <c r="B16" s="8">
        <v>2010</v>
      </c>
      <c r="C16" s="9">
        <v>383.2</v>
      </c>
      <c r="D16" s="9">
        <v>746.3</v>
      </c>
      <c r="E16" s="9">
        <v>41.4</v>
      </c>
    </row>
    <row r="17" spans="2:5">
      <c r="B17" s="8">
        <v>2011</v>
      </c>
      <c r="C17" s="9">
        <v>235</v>
      </c>
      <c r="D17" s="9">
        <v>388.6</v>
      </c>
      <c r="E17" s="9">
        <v>32.200000000000003</v>
      </c>
    </row>
    <row r="18" spans="2:5">
      <c r="B18" s="8">
        <v>2012</v>
      </c>
      <c r="C18" s="9">
        <v>466.7</v>
      </c>
      <c r="D18" s="9">
        <v>205.1</v>
      </c>
      <c r="E18" s="9">
        <v>39.799999999999997</v>
      </c>
    </row>
    <row r="19" spans="2:5">
      <c r="B19" s="8">
        <v>2013</v>
      </c>
      <c r="C19" s="9">
        <v>121.5</v>
      </c>
      <c r="D19" s="9">
        <v>361.6</v>
      </c>
      <c r="E19" s="9">
        <v>28.2</v>
      </c>
    </row>
    <row r="20" spans="2:5">
      <c r="B20" s="8">
        <v>2014</v>
      </c>
      <c r="C20" s="9">
        <v>155.9</v>
      </c>
      <c r="D20" s="9">
        <v>122.5</v>
      </c>
      <c r="E20" s="9">
        <v>16.8</v>
      </c>
    </row>
    <row r="21" spans="2:5">
      <c r="B21" s="8">
        <v>2015</v>
      </c>
      <c r="C21" s="9">
        <v>50.6</v>
      </c>
      <c r="D21" s="9">
        <v>47.5</v>
      </c>
      <c r="E21" s="9">
        <v>12.1</v>
      </c>
    </row>
    <row r="22" spans="2:5">
      <c r="B22" s="8">
        <v>2016</v>
      </c>
      <c r="C22" s="9">
        <v>60.2</v>
      </c>
      <c r="D22" s="9">
        <v>1.3</v>
      </c>
      <c r="E22" s="9">
        <v>8.5</v>
      </c>
    </row>
    <row r="23" spans="2:5">
      <c r="B23" s="8">
        <v>2017</v>
      </c>
      <c r="C23" s="9">
        <v>39.799999999999997</v>
      </c>
      <c r="D23" s="9">
        <v>3.1</v>
      </c>
      <c r="E23" s="9">
        <v>8.6</v>
      </c>
    </row>
    <row r="24" spans="2:5">
      <c r="B24" s="8">
        <v>2018</v>
      </c>
      <c r="C24" s="9">
        <v>40.4</v>
      </c>
      <c r="D24" s="9">
        <v>0.5</v>
      </c>
      <c r="E24" s="9">
        <v>8.1999999999999993</v>
      </c>
    </row>
    <row r="25" spans="2:5">
      <c r="B25" s="8">
        <v>2019</v>
      </c>
      <c r="C25" s="9">
        <v>32.5</v>
      </c>
      <c r="D25" s="9">
        <v>0.1</v>
      </c>
      <c r="E25" s="9">
        <v>7.6</v>
      </c>
    </row>
    <row r="26" spans="2:5">
      <c r="B26" s="8">
        <v>2020</v>
      </c>
      <c r="C26" s="9">
        <v>41.8</v>
      </c>
      <c r="D26" s="9">
        <v>2.7</v>
      </c>
      <c r="E26" s="9">
        <v>10.9</v>
      </c>
    </row>
    <row r="27" spans="2:5">
      <c r="B27" s="8">
        <v>2021</v>
      </c>
      <c r="C27" s="9">
        <v>37.4</v>
      </c>
      <c r="D27" s="9">
        <v>1.4</v>
      </c>
      <c r="E27" s="9">
        <v>8.3000000000000007</v>
      </c>
    </row>
    <row r="28" spans="2:5">
      <c r="B28" s="8">
        <v>2022</v>
      </c>
      <c r="C28" s="9">
        <v>22</v>
      </c>
      <c r="D28" s="9">
        <v>0.7</v>
      </c>
      <c r="E28" s="9">
        <v>6.5</v>
      </c>
    </row>
    <row r="29" spans="2:5">
      <c r="B29" s="10">
        <v>2023</v>
      </c>
      <c r="C29" s="11">
        <v>40.799999999999997</v>
      </c>
      <c r="D29" s="11">
        <v>4.5</v>
      </c>
      <c r="E29" s="11">
        <v>9.6</v>
      </c>
    </row>
  </sheetData>
  <mergeCells count="2">
    <mergeCell ref="B3:B4"/>
    <mergeCell ref="C3:D3"/>
  </mergeCells>
  <phoneticPr fontId="5"/>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49A83-0EB9-41ED-AD4D-ECB74259FA04}">
  <sheetPr codeName="Sheet52"/>
  <dimension ref="B1:G28"/>
  <sheetViews>
    <sheetView showGridLines="0" workbookViewId="0">
      <selection activeCell="I40" sqref="I40"/>
    </sheetView>
  </sheetViews>
  <sheetFormatPr defaultColWidth="11.42578125" defaultRowHeight="13.5"/>
  <sheetData>
    <row r="1" spans="2:7">
      <c r="B1" t="s">
        <v>119</v>
      </c>
    </row>
    <row r="3" spans="2:7">
      <c r="B3" t="s">
        <v>120</v>
      </c>
    </row>
    <row r="4" spans="2:7">
      <c r="B4" s="78"/>
      <c r="C4" s="277" t="s">
        <v>122</v>
      </c>
      <c r="D4" s="278"/>
      <c r="E4" s="278"/>
      <c r="F4" s="278"/>
      <c r="G4" s="279"/>
    </row>
    <row r="5" spans="2:7">
      <c r="B5" s="79" t="s">
        <v>123</v>
      </c>
      <c r="C5" s="80">
        <v>2021</v>
      </c>
      <c r="D5" s="80">
        <v>2022</v>
      </c>
      <c r="E5" s="80">
        <v>2023</v>
      </c>
      <c r="F5" s="80">
        <v>2024</v>
      </c>
      <c r="G5" s="81">
        <v>2025</v>
      </c>
    </row>
    <row r="6" spans="2:7">
      <c r="B6" s="70">
        <v>2021</v>
      </c>
      <c r="C6" s="71">
        <v>35</v>
      </c>
      <c r="D6" s="71">
        <v>38</v>
      </c>
      <c r="E6" s="71">
        <v>71</v>
      </c>
      <c r="F6" s="71">
        <v>99</v>
      </c>
      <c r="G6" s="72">
        <v>118</v>
      </c>
    </row>
    <row r="7" spans="2:7">
      <c r="B7" s="70">
        <v>2022</v>
      </c>
      <c r="C7" s="73">
        <v>79</v>
      </c>
      <c r="D7" s="71">
        <v>156</v>
      </c>
      <c r="E7" s="71">
        <v>191</v>
      </c>
      <c r="F7" s="71">
        <v>155</v>
      </c>
      <c r="G7" s="72">
        <v>143</v>
      </c>
    </row>
    <row r="8" spans="2:7">
      <c r="B8" s="70">
        <v>2023</v>
      </c>
      <c r="C8" s="73">
        <v>77</v>
      </c>
      <c r="D8" s="73">
        <v>127</v>
      </c>
      <c r="E8" s="71">
        <v>123</v>
      </c>
      <c r="F8" s="71">
        <v>151</v>
      </c>
      <c r="G8" s="72">
        <v>143</v>
      </c>
    </row>
    <row r="9" spans="2:7">
      <c r="B9" s="70">
        <v>2024</v>
      </c>
      <c r="C9" s="73">
        <v>31</v>
      </c>
      <c r="D9" s="73">
        <v>87</v>
      </c>
      <c r="E9" s="73">
        <v>98</v>
      </c>
      <c r="F9" s="71">
        <v>111</v>
      </c>
      <c r="G9" s="72">
        <v>150</v>
      </c>
    </row>
    <row r="11" spans="2:7">
      <c r="B11" t="s">
        <v>124</v>
      </c>
    </row>
    <row r="12" spans="2:7">
      <c r="B12" s="78"/>
      <c r="C12" s="277" t="s">
        <v>122</v>
      </c>
      <c r="D12" s="278"/>
      <c r="E12" s="278"/>
      <c r="F12" s="278"/>
      <c r="G12" s="279"/>
    </row>
    <row r="13" spans="2:7">
      <c r="B13" s="79" t="s">
        <v>123</v>
      </c>
      <c r="C13" s="80">
        <v>2021</v>
      </c>
      <c r="D13" s="80">
        <v>2022</v>
      </c>
      <c r="E13" s="80">
        <v>2023</v>
      </c>
      <c r="F13" s="80">
        <v>2024</v>
      </c>
      <c r="G13" s="81">
        <v>2025</v>
      </c>
    </row>
    <row r="14" spans="2:7">
      <c r="B14" s="70">
        <v>2021</v>
      </c>
      <c r="C14" s="74">
        <v>22062</v>
      </c>
      <c r="D14" s="74">
        <v>22760</v>
      </c>
      <c r="E14" s="74">
        <v>30874</v>
      </c>
      <c r="F14" s="74">
        <v>35621</v>
      </c>
      <c r="G14" s="75">
        <v>37612</v>
      </c>
    </row>
    <row r="15" spans="2:7">
      <c r="B15" s="70">
        <v>2022</v>
      </c>
      <c r="C15" s="76">
        <v>42736</v>
      </c>
      <c r="D15" s="74">
        <v>41717</v>
      </c>
      <c r="E15" s="74">
        <v>43636</v>
      </c>
      <c r="F15" s="74">
        <v>41244</v>
      </c>
      <c r="G15" s="75">
        <v>40506</v>
      </c>
    </row>
    <row r="16" spans="2:7">
      <c r="B16" s="70">
        <v>2023</v>
      </c>
      <c r="C16" s="76">
        <v>46551</v>
      </c>
      <c r="D16" s="76">
        <v>21459</v>
      </c>
      <c r="E16" s="74">
        <v>39011</v>
      </c>
      <c r="F16" s="74">
        <v>41035</v>
      </c>
      <c r="G16" s="75">
        <v>40237</v>
      </c>
    </row>
    <row r="17" spans="2:7">
      <c r="B17" s="70">
        <v>2024</v>
      </c>
      <c r="C17" s="76">
        <v>44322</v>
      </c>
      <c r="D17" s="76">
        <v>20532</v>
      </c>
      <c r="E17" s="76">
        <v>30018</v>
      </c>
      <c r="F17" s="74">
        <v>37858</v>
      </c>
      <c r="G17" s="75">
        <v>41154</v>
      </c>
    </row>
    <row r="19" spans="2:7">
      <c r="B19" t="s">
        <v>126</v>
      </c>
    </row>
    <row r="20" spans="2:7">
      <c r="B20" s="78"/>
      <c r="C20" s="277" t="s">
        <v>122</v>
      </c>
      <c r="D20" s="278"/>
      <c r="E20" s="278"/>
      <c r="F20" s="278"/>
      <c r="G20" s="279"/>
    </row>
    <row r="21" spans="2:7">
      <c r="B21" s="79" t="s">
        <v>123</v>
      </c>
      <c r="C21" s="80">
        <v>2021</v>
      </c>
      <c r="D21" s="80">
        <v>2022</v>
      </c>
      <c r="E21" s="80">
        <v>2023</v>
      </c>
      <c r="F21" s="80">
        <v>2024</v>
      </c>
      <c r="G21" s="81">
        <v>2025</v>
      </c>
    </row>
    <row r="22" spans="2:7">
      <c r="B22" s="70">
        <v>2021</v>
      </c>
      <c r="C22" s="77">
        <v>54</v>
      </c>
      <c r="D22" s="71">
        <v>31</v>
      </c>
      <c r="E22" s="71">
        <v>49</v>
      </c>
      <c r="F22" s="71">
        <v>63</v>
      </c>
      <c r="G22" s="72">
        <v>71</v>
      </c>
    </row>
    <row r="23" spans="2:7">
      <c r="B23" s="70">
        <v>2022</v>
      </c>
      <c r="C23" s="73">
        <v>40</v>
      </c>
      <c r="D23" s="77">
        <v>45</v>
      </c>
      <c r="E23" s="71">
        <v>101</v>
      </c>
      <c r="F23" s="71">
        <v>87</v>
      </c>
      <c r="G23" s="72">
        <v>82</v>
      </c>
    </row>
    <row r="24" spans="2:7">
      <c r="B24" s="70">
        <v>2023</v>
      </c>
      <c r="C24" s="73">
        <v>42</v>
      </c>
      <c r="D24" s="73">
        <v>40</v>
      </c>
      <c r="E24" s="77">
        <v>43</v>
      </c>
      <c r="F24" s="71">
        <v>86</v>
      </c>
      <c r="G24" s="72">
        <v>82</v>
      </c>
    </row>
    <row r="25" spans="2:7">
      <c r="B25" s="70">
        <v>2024</v>
      </c>
      <c r="C25" s="73">
        <v>42</v>
      </c>
      <c r="D25" s="73">
        <v>40</v>
      </c>
      <c r="E25" s="73">
        <v>41</v>
      </c>
      <c r="F25" s="77">
        <v>45</v>
      </c>
      <c r="G25" s="72">
        <v>85</v>
      </c>
    </row>
    <row r="26" spans="2:7">
      <c r="B26" s="280" t="s">
        <v>127</v>
      </c>
      <c r="C26" s="280"/>
      <c r="D26" s="280"/>
      <c r="E26" s="280"/>
      <c r="F26" s="280"/>
      <c r="G26" s="280"/>
    </row>
    <row r="27" spans="2:7">
      <c r="B27" s="281"/>
      <c r="C27" s="281"/>
      <c r="D27" s="281"/>
      <c r="E27" s="281"/>
      <c r="F27" s="281"/>
      <c r="G27" s="281"/>
    </row>
    <row r="28" spans="2:7">
      <c r="B28" s="281"/>
      <c r="C28" s="281"/>
      <c r="D28" s="281"/>
      <c r="E28" s="281"/>
      <c r="F28" s="281"/>
      <c r="G28" s="281"/>
    </row>
  </sheetData>
  <mergeCells count="4">
    <mergeCell ref="C4:G4"/>
    <mergeCell ref="C12:G12"/>
    <mergeCell ref="C20:G20"/>
    <mergeCell ref="B26:G28"/>
  </mergeCells>
  <phoneticPr fontId="5"/>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4D89-B185-4D92-94E9-7B7BEA53DA26}">
  <sheetPr codeName="Sheet41"/>
  <dimension ref="B1:J7"/>
  <sheetViews>
    <sheetView showGridLines="0" zoomScale="90" zoomScaleNormal="90" workbookViewId="0">
      <selection activeCell="I40" sqref="I40"/>
    </sheetView>
  </sheetViews>
  <sheetFormatPr defaultColWidth="11.42578125" defaultRowHeight="13.5"/>
  <cols>
    <col min="1" max="1" width="11.42578125" style="54"/>
    <col min="2" max="2" width="9.42578125" style="54" customWidth="1"/>
    <col min="3" max="3" width="10.85546875" style="54" customWidth="1"/>
    <col min="4" max="4" width="8.42578125" style="54" bestFit="1" customWidth="1"/>
    <col min="5" max="5" width="10.85546875" style="54" bestFit="1" customWidth="1"/>
    <col min="6" max="6" width="7.42578125" style="54" bestFit="1" customWidth="1"/>
    <col min="7" max="7" width="22" style="54" bestFit="1" customWidth="1"/>
    <col min="8" max="8" width="10.28515625" style="54" customWidth="1"/>
    <col min="9" max="16384" width="11.42578125" style="54"/>
  </cols>
  <sheetData>
    <row r="1" spans="2:10" ht="17.25">
      <c r="B1" s="131" t="s">
        <v>712</v>
      </c>
    </row>
    <row r="2" spans="2:10">
      <c r="J2" s="132"/>
    </row>
    <row r="3" spans="2:10" ht="30">
      <c r="B3" s="135" t="s">
        <v>650</v>
      </c>
      <c r="C3" s="134" t="s">
        <v>651</v>
      </c>
      <c r="D3" s="135" t="s">
        <v>2</v>
      </c>
      <c r="E3" s="135" t="s">
        <v>713</v>
      </c>
      <c r="F3" s="135" t="s">
        <v>3</v>
      </c>
      <c r="G3" s="198" t="s">
        <v>714</v>
      </c>
      <c r="H3" s="198" t="s">
        <v>652</v>
      </c>
      <c r="J3" s="199"/>
    </row>
    <row r="4" spans="2:10">
      <c r="B4" s="136" t="s">
        <v>4</v>
      </c>
      <c r="C4" s="200">
        <v>-20.6783</v>
      </c>
      <c r="D4" s="200">
        <v>50.3322</v>
      </c>
      <c r="E4" s="200">
        <v>1.72E-2</v>
      </c>
      <c r="F4" s="200">
        <v>0.31669999999999998</v>
      </c>
      <c r="G4" s="200">
        <v>0.25019999999999998</v>
      </c>
      <c r="H4" s="200">
        <v>1.0255000000000001</v>
      </c>
      <c r="I4" s="201"/>
    </row>
    <row r="5" spans="2:10">
      <c r="B5" s="136" t="s">
        <v>5</v>
      </c>
      <c r="C5" s="200">
        <v>-21.4801</v>
      </c>
      <c r="D5" s="200">
        <v>51.9358</v>
      </c>
      <c r="E5" s="200">
        <v>1.5100000000000001E-2</v>
      </c>
      <c r="F5" s="200">
        <v>0.3453</v>
      </c>
      <c r="G5" s="200">
        <v>0.29480000000000001</v>
      </c>
      <c r="H5" s="200">
        <v>1.0710999999999999</v>
      </c>
      <c r="I5" s="201"/>
    </row>
    <row r="6" spans="2:10">
      <c r="B6" s="139" t="s">
        <v>6</v>
      </c>
      <c r="C6" s="202">
        <v>-20.0245</v>
      </c>
      <c r="D6" s="202">
        <v>49.0246</v>
      </c>
      <c r="E6" s="202">
        <v>1.9300000000000001E-2</v>
      </c>
      <c r="F6" s="202">
        <v>0.2797</v>
      </c>
      <c r="G6" s="202">
        <v>0.39700000000000002</v>
      </c>
      <c r="H6" s="202">
        <v>0.96579999999999999</v>
      </c>
      <c r="I6" s="201"/>
      <c r="J6" s="203"/>
    </row>
    <row r="7" spans="2:10">
      <c r="B7" s="54" t="s">
        <v>132</v>
      </c>
    </row>
  </sheetData>
  <phoneticPr fontId="5"/>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A989-211D-4093-A78F-2893647C0A81}">
  <sheetPr codeName="Sheet42"/>
  <dimension ref="B1:X50"/>
  <sheetViews>
    <sheetView showGridLines="0" zoomScale="90" zoomScaleNormal="90" workbookViewId="0">
      <selection activeCell="I40" sqref="I40"/>
    </sheetView>
  </sheetViews>
  <sheetFormatPr defaultColWidth="11.42578125" defaultRowHeight="13.5"/>
  <cols>
    <col min="1" max="1" width="2.28515625" style="54" customWidth="1"/>
    <col min="2" max="2" width="5.7109375" style="54" customWidth="1"/>
    <col min="3" max="20" width="10.140625" style="54" customWidth="1"/>
    <col min="21" max="24" width="12.140625" style="54" customWidth="1"/>
    <col min="25" max="16384" width="11.42578125" style="54"/>
  </cols>
  <sheetData>
    <row r="1" spans="2:24">
      <c r="B1" s="131" t="s">
        <v>715</v>
      </c>
      <c r="L1" s="132"/>
    </row>
    <row r="3" spans="2:24">
      <c r="B3" s="282" t="s">
        <v>122</v>
      </c>
      <c r="C3" s="204" t="s">
        <v>653</v>
      </c>
      <c r="D3" s="205"/>
      <c r="E3" s="205"/>
      <c r="F3" s="206"/>
      <c r="G3" s="205" t="s">
        <v>654</v>
      </c>
      <c r="H3" s="205"/>
      <c r="I3" s="205"/>
      <c r="J3" s="206"/>
      <c r="K3" s="205" t="s">
        <v>655</v>
      </c>
      <c r="L3" s="205"/>
      <c r="M3" s="205"/>
      <c r="N3" s="205"/>
      <c r="O3" s="207"/>
      <c r="P3" s="282" t="s">
        <v>656</v>
      </c>
      <c r="Q3" s="205" t="s">
        <v>657</v>
      </c>
      <c r="R3" s="205"/>
      <c r="S3" s="205"/>
      <c r="T3" s="205"/>
      <c r="U3" s="284" t="s">
        <v>658</v>
      </c>
      <c r="V3" s="230" t="s">
        <v>659</v>
      </c>
      <c r="W3" s="230" t="s">
        <v>658</v>
      </c>
      <c r="X3" s="230" t="s">
        <v>660</v>
      </c>
    </row>
    <row r="4" spans="2:24">
      <c r="B4" s="283"/>
      <c r="C4" s="209" t="s">
        <v>147</v>
      </c>
      <c r="D4" s="209" t="s">
        <v>148</v>
      </c>
      <c r="E4" s="209" t="s">
        <v>149</v>
      </c>
      <c r="F4" s="208" t="s">
        <v>150</v>
      </c>
      <c r="G4" s="209" t="s">
        <v>147</v>
      </c>
      <c r="H4" s="209" t="s">
        <v>148</v>
      </c>
      <c r="I4" s="209" t="s">
        <v>149</v>
      </c>
      <c r="J4" s="208" t="s">
        <v>150</v>
      </c>
      <c r="K4" s="209" t="s">
        <v>147</v>
      </c>
      <c r="L4" s="209" t="s">
        <v>148</v>
      </c>
      <c r="M4" s="209" t="s">
        <v>149</v>
      </c>
      <c r="N4" s="209" t="s">
        <v>150</v>
      </c>
      <c r="O4" s="190"/>
      <c r="P4" s="283"/>
      <c r="Q4" s="209" t="s">
        <v>147</v>
      </c>
      <c r="R4" s="209" t="s">
        <v>148</v>
      </c>
      <c r="S4" s="209" t="s">
        <v>149</v>
      </c>
      <c r="T4" s="209" t="s">
        <v>150</v>
      </c>
      <c r="U4" s="285"/>
      <c r="V4" s="269"/>
      <c r="W4" s="269"/>
      <c r="X4" s="269"/>
    </row>
    <row r="5" spans="2:24">
      <c r="B5" s="210">
        <v>1978</v>
      </c>
      <c r="C5" s="211">
        <v>103745.1</v>
      </c>
      <c r="D5" s="211">
        <v>23090.5</v>
      </c>
      <c r="E5" s="211">
        <v>3638.1</v>
      </c>
      <c r="F5" s="212">
        <v>1264.7</v>
      </c>
      <c r="G5" s="213">
        <v>0.08</v>
      </c>
      <c r="H5" s="213">
        <v>0.32</v>
      </c>
      <c r="I5" s="213">
        <v>0.22</v>
      </c>
      <c r="J5" s="214">
        <v>7.0000000000000007E-2</v>
      </c>
      <c r="K5" s="213">
        <v>0.81</v>
      </c>
      <c r="L5" s="213">
        <v>0.81</v>
      </c>
      <c r="M5" s="213">
        <v>0.81</v>
      </c>
      <c r="N5" s="213">
        <v>0.81</v>
      </c>
      <c r="P5" s="215">
        <v>1978</v>
      </c>
      <c r="Q5" s="211">
        <v>522.6</v>
      </c>
      <c r="R5" s="211">
        <v>195.1</v>
      </c>
      <c r="S5" s="211">
        <v>66.3</v>
      </c>
      <c r="T5" s="212">
        <v>32.200000000000003</v>
      </c>
      <c r="U5" s="211">
        <v>816.2</v>
      </c>
      <c r="V5" s="211">
        <v>293.7</v>
      </c>
      <c r="W5" s="211">
        <v>43</v>
      </c>
      <c r="X5" s="211">
        <v>5.3</v>
      </c>
    </row>
    <row r="6" spans="2:24">
      <c r="B6" s="210">
        <v>1979</v>
      </c>
      <c r="C6" s="211">
        <v>58981.4</v>
      </c>
      <c r="D6" s="211">
        <v>15361.9</v>
      </c>
      <c r="E6" s="211">
        <v>2690.4</v>
      </c>
      <c r="F6" s="212">
        <v>466.9</v>
      </c>
      <c r="G6" s="213">
        <v>0.25</v>
      </c>
      <c r="H6" s="213">
        <v>0.24</v>
      </c>
      <c r="I6" s="213">
        <v>0.26</v>
      </c>
      <c r="J6" s="214">
        <v>0.08</v>
      </c>
      <c r="K6" s="213">
        <v>0.51</v>
      </c>
      <c r="L6" s="213">
        <v>0.51</v>
      </c>
      <c r="M6" s="213">
        <v>0.51</v>
      </c>
      <c r="N6" s="213">
        <v>0.51</v>
      </c>
      <c r="P6" s="215">
        <v>1979</v>
      </c>
      <c r="Q6" s="211">
        <v>298.3</v>
      </c>
      <c r="R6" s="211">
        <v>207.1</v>
      </c>
      <c r="S6" s="211">
        <v>53.3</v>
      </c>
      <c r="T6" s="212">
        <v>11.2</v>
      </c>
      <c r="U6" s="211">
        <v>569.9</v>
      </c>
      <c r="V6" s="211">
        <v>271.7</v>
      </c>
      <c r="W6" s="211">
        <v>57.4</v>
      </c>
      <c r="X6" s="211">
        <v>10.1</v>
      </c>
    </row>
    <row r="7" spans="2:24">
      <c r="B7" s="210">
        <v>1980</v>
      </c>
      <c r="C7" s="211">
        <v>24420.5</v>
      </c>
      <c r="D7" s="211">
        <v>9934.4</v>
      </c>
      <c r="E7" s="211">
        <v>2605.9</v>
      </c>
      <c r="F7" s="212">
        <v>449.8</v>
      </c>
      <c r="G7" s="213">
        <v>0.35</v>
      </c>
      <c r="H7" s="213">
        <v>1.25</v>
      </c>
      <c r="I7" s="213">
        <v>0.54</v>
      </c>
      <c r="J7" s="214">
        <v>0.17</v>
      </c>
      <c r="K7" s="213">
        <v>0.31</v>
      </c>
      <c r="L7" s="213">
        <v>0.31</v>
      </c>
      <c r="M7" s="213">
        <v>0.31</v>
      </c>
      <c r="N7" s="213">
        <v>0.31</v>
      </c>
      <c r="P7" s="215">
        <v>1980</v>
      </c>
      <c r="Q7" s="211">
        <v>137.9</v>
      </c>
      <c r="R7" s="211">
        <v>94.4</v>
      </c>
      <c r="S7" s="211">
        <v>45.3</v>
      </c>
      <c r="T7" s="212">
        <v>10.199999999999999</v>
      </c>
      <c r="U7" s="211">
        <v>287.8</v>
      </c>
      <c r="V7" s="211">
        <v>149.9</v>
      </c>
      <c r="W7" s="211">
        <v>66</v>
      </c>
      <c r="X7" s="211">
        <v>22.9</v>
      </c>
    </row>
    <row r="8" spans="2:24">
      <c r="B8" s="210">
        <v>1981</v>
      </c>
      <c r="C8" s="211">
        <v>36835.800000000003</v>
      </c>
      <c r="D8" s="211">
        <v>4500.5</v>
      </c>
      <c r="E8" s="211">
        <v>749.3</v>
      </c>
      <c r="F8" s="212">
        <v>396.4</v>
      </c>
      <c r="G8" s="213">
        <v>0.43</v>
      </c>
      <c r="H8" s="213">
        <v>1.03</v>
      </c>
      <c r="I8" s="213">
        <v>1.08</v>
      </c>
      <c r="J8" s="214">
        <v>0.34</v>
      </c>
      <c r="K8" s="213">
        <v>0.32</v>
      </c>
      <c r="L8" s="213">
        <v>0.32</v>
      </c>
      <c r="M8" s="213">
        <v>0.32</v>
      </c>
      <c r="N8" s="213">
        <v>0.32</v>
      </c>
      <c r="P8" s="215">
        <v>1981</v>
      </c>
      <c r="Q8" s="211">
        <v>157.5</v>
      </c>
      <c r="R8" s="211">
        <v>46.9</v>
      </c>
      <c r="S8" s="211">
        <v>15.9</v>
      </c>
      <c r="T8" s="212">
        <v>10.9</v>
      </c>
      <c r="U8" s="211">
        <v>231.2</v>
      </c>
      <c r="V8" s="211">
        <v>73.7</v>
      </c>
      <c r="W8" s="211">
        <v>50.6</v>
      </c>
      <c r="X8" s="211">
        <v>21.9</v>
      </c>
    </row>
    <row r="9" spans="2:24">
      <c r="B9" s="210">
        <v>1982</v>
      </c>
      <c r="C9" s="211">
        <v>40201.1</v>
      </c>
      <c r="D9" s="211">
        <v>6213</v>
      </c>
      <c r="E9" s="211">
        <v>418.1</v>
      </c>
      <c r="F9" s="212">
        <v>66.5</v>
      </c>
      <c r="G9" s="213">
        <v>0.56000000000000005</v>
      </c>
      <c r="H9" s="213">
        <v>0.7</v>
      </c>
      <c r="I9" s="213">
        <v>0.59</v>
      </c>
      <c r="J9" s="214">
        <v>0.19</v>
      </c>
      <c r="K9" s="213">
        <v>0.31</v>
      </c>
      <c r="L9" s="213">
        <v>0.31</v>
      </c>
      <c r="M9" s="213">
        <v>0.31</v>
      </c>
      <c r="N9" s="213">
        <v>0.31</v>
      </c>
      <c r="P9" s="215">
        <v>1982</v>
      </c>
      <c r="Q9" s="211">
        <v>141.5</v>
      </c>
      <c r="R9" s="211">
        <v>56.4</v>
      </c>
      <c r="S9" s="211">
        <v>7.7</v>
      </c>
      <c r="T9" s="212">
        <v>1.7</v>
      </c>
      <c r="U9" s="211">
        <v>207.3</v>
      </c>
      <c r="V9" s="211">
        <v>65.8</v>
      </c>
      <c r="W9" s="211">
        <v>47.5</v>
      </c>
      <c r="X9" s="211">
        <v>22.9</v>
      </c>
    </row>
    <row r="10" spans="2:24">
      <c r="B10" s="210">
        <v>1983</v>
      </c>
      <c r="C10" s="211">
        <v>64947.199999999997</v>
      </c>
      <c r="D10" s="211">
        <v>6075.8</v>
      </c>
      <c r="E10" s="211">
        <v>811</v>
      </c>
      <c r="F10" s="212">
        <v>61.2</v>
      </c>
      <c r="G10" s="213">
        <v>0.25</v>
      </c>
      <c r="H10" s="213">
        <v>1.1499999999999999</v>
      </c>
      <c r="I10" s="213">
        <v>0.49</v>
      </c>
      <c r="J10" s="214">
        <v>0.16</v>
      </c>
      <c r="K10" s="213">
        <v>0.25</v>
      </c>
      <c r="L10" s="213">
        <v>0.25</v>
      </c>
      <c r="M10" s="213">
        <v>0.25</v>
      </c>
      <c r="N10" s="213">
        <v>0.25</v>
      </c>
      <c r="P10" s="215">
        <v>1983</v>
      </c>
      <c r="Q10" s="211">
        <v>275.2</v>
      </c>
      <c r="R10" s="211">
        <v>56.6</v>
      </c>
      <c r="S10" s="211">
        <v>13</v>
      </c>
      <c r="T10" s="212">
        <v>1.3</v>
      </c>
      <c r="U10" s="211">
        <v>346</v>
      </c>
      <c r="V10" s="211">
        <v>70.900000000000006</v>
      </c>
      <c r="W10" s="211">
        <v>55.2</v>
      </c>
      <c r="X10" s="211">
        <v>16</v>
      </c>
    </row>
    <row r="11" spans="2:24">
      <c r="B11" s="210">
        <v>1984</v>
      </c>
      <c r="C11" s="211">
        <v>59711.4</v>
      </c>
      <c r="D11" s="211">
        <v>14083.5</v>
      </c>
      <c r="E11" s="211">
        <v>538.29999999999995</v>
      </c>
      <c r="F11" s="212">
        <v>138</v>
      </c>
      <c r="G11" s="213">
        <v>0.56000000000000005</v>
      </c>
      <c r="H11" s="213">
        <v>2.2400000000000002</v>
      </c>
      <c r="I11" s="213">
        <v>1.95</v>
      </c>
      <c r="J11" s="214">
        <v>0.62</v>
      </c>
      <c r="K11" s="213">
        <v>0.3</v>
      </c>
      <c r="L11" s="213">
        <v>0.3</v>
      </c>
      <c r="M11" s="213">
        <v>0.3</v>
      </c>
      <c r="N11" s="213">
        <v>0.3</v>
      </c>
      <c r="P11" s="215">
        <v>1984</v>
      </c>
      <c r="Q11" s="211">
        <v>198.3</v>
      </c>
      <c r="R11" s="211">
        <v>89.6</v>
      </c>
      <c r="S11" s="211">
        <v>9.6999999999999993</v>
      </c>
      <c r="T11" s="212">
        <v>3.6</v>
      </c>
      <c r="U11" s="211">
        <v>301.2</v>
      </c>
      <c r="V11" s="211">
        <v>102.9</v>
      </c>
      <c r="W11" s="211">
        <v>90</v>
      </c>
      <c r="X11" s="211">
        <v>29.9</v>
      </c>
    </row>
    <row r="12" spans="2:24">
      <c r="B12" s="210">
        <v>1985</v>
      </c>
      <c r="C12" s="211">
        <v>66121.3</v>
      </c>
      <c r="D12" s="211">
        <v>9031.7000000000007</v>
      </c>
      <c r="E12" s="211">
        <v>395.4</v>
      </c>
      <c r="F12" s="212">
        <v>20.2</v>
      </c>
      <c r="G12" s="213">
        <v>0.26</v>
      </c>
      <c r="H12" s="213">
        <v>1.26</v>
      </c>
      <c r="I12" s="213">
        <v>0.78</v>
      </c>
      <c r="J12" s="214">
        <v>0.25</v>
      </c>
      <c r="K12" s="213">
        <v>0.3</v>
      </c>
      <c r="L12" s="213">
        <v>0.3</v>
      </c>
      <c r="M12" s="213">
        <v>0.3</v>
      </c>
      <c r="N12" s="213">
        <v>0.3</v>
      </c>
      <c r="P12" s="215">
        <v>1985</v>
      </c>
      <c r="Q12" s="211">
        <v>288.8</v>
      </c>
      <c r="R12" s="211">
        <v>68.2</v>
      </c>
      <c r="S12" s="211">
        <v>6.1</v>
      </c>
      <c r="T12" s="212">
        <v>0.4</v>
      </c>
      <c r="U12" s="211">
        <v>363.3</v>
      </c>
      <c r="V12" s="211">
        <v>74.599999999999994</v>
      </c>
      <c r="W12" s="211">
        <v>61.4</v>
      </c>
      <c r="X12" s="211">
        <v>16.899999999999999</v>
      </c>
    </row>
    <row r="13" spans="2:24">
      <c r="B13" s="210">
        <v>1986</v>
      </c>
      <c r="C13" s="211">
        <v>75694.399999999994</v>
      </c>
      <c r="D13" s="211">
        <v>13519.4</v>
      </c>
      <c r="E13" s="211">
        <v>682.4</v>
      </c>
      <c r="F13" s="212">
        <v>48.4</v>
      </c>
      <c r="G13" s="213">
        <v>0.17</v>
      </c>
      <c r="H13" s="213">
        <v>0.71</v>
      </c>
      <c r="I13" s="213">
        <v>0.72</v>
      </c>
      <c r="J13" s="214">
        <v>0.23</v>
      </c>
      <c r="K13" s="213">
        <v>0.21</v>
      </c>
      <c r="L13" s="213">
        <v>0.21</v>
      </c>
      <c r="M13" s="213">
        <v>0.21</v>
      </c>
      <c r="N13" s="213">
        <v>0.21</v>
      </c>
      <c r="P13" s="215">
        <v>1986</v>
      </c>
      <c r="Q13" s="211">
        <v>366.7</v>
      </c>
      <c r="R13" s="211">
        <v>118.3</v>
      </c>
      <c r="S13" s="211">
        <v>8.5</v>
      </c>
      <c r="T13" s="212">
        <v>1.3</v>
      </c>
      <c r="U13" s="211">
        <v>494.9</v>
      </c>
      <c r="V13" s="211">
        <v>128.19999999999999</v>
      </c>
      <c r="W13" s="211">
        <v>66.099999999999994</v>
      </c>
      <c r="X13" s="211">
        <v>13.3</v>
      </c>
    </row>
    <row r="14" spans="2:24">
      <c r="B14" s="210">
        <v>1987</v>
      </c>
      <c r="C14" s="211">
        <v>48886.6</v>
      </c>
      <c r="D14" s="211">
        <v>18461.3</v>
      </c>
      <c r="E14" s="211">
        <v>1923.5</v>
      </c>
      <c r="F14" s="212">
        <v>96.3</v>
      </c>
      <c r="G14" s="213">
        <v>0.15</v>
      </c>
      <c r="H14" s="213">
        <v>0.49</v>
      </c>
      <c r="I14" s="213">
        <v>0.22</v>
      </c>
      <c r="J14" s="214">
        <v>7.0000000000000007E-2</v>
      </c>
      <c r="K14" s="213">
        <v>0.14000000000000001</v>
      </c>
      <c r="L14" s="213">
        <v>0.14000000000000001</v>
      </c>
      <c r="M14" s="213">
        <v>0.14000000000000001</v>
      </c>
      <c r="N14" s="213">
        <v>0.14000000000000001</v>
      </c>
      <c r="P14" s="215">
        <v>1987</v>
      </c>
      <c r="Q14" s="211">
        <v>291.8</v>
      </c>
      <c r="R14" s="211">
        <v>170.3</v>
      </c>
      <c r="S14" s="211">
        <v>27.5</v>
      </c>
      <c r="T14" s="212">
        <v>2.2999999999999998</v>
      </c>
      <c r="U14" s="211">
        <v>491.9</v>
      </c>
      <c r="V14" s="211">
        <v>200.1</v>
      </c>
      <c r="W14" s="211">
        <v>62.7</v>
      </c>
      <c r="X14" s="211">
        <v>12.8</v>
      </c>
    </row>
    <row r="15" spans="2:24">
      <c r="B15" s="210">
        <v>1988</v>
      </c>
      <c r="C15" s="211">
        <v>111743.2</v>
      </c>
      <c r="D15" s="211">
        <v>13078.4</v>
      </c>
      <c r="E15" s="211">
        <v>3508.3</v>
      </c>
      <c r="F15" s="212">
        <v>478.6</v>
      </c>
      <c r="G15" s="213">
        <v>0.13</v>
      </c>
      <c r="H15" s="213">
        <v>0.6</v>
      </c>
      <c r="I15" s="213">
        <v>0.17</v>
      </c>
      <c r="J15" s="214">
        <v>0.05</v>
      </c>
      <c r="K15" s="213">
        <v>0.08</v>
      </c>
      <c r="L15" s="213">
        <v>0.08</v>
      </c>
      <c r="M15" s="213">
        <v>0.08</v>
      </c>
      <c r="N15" s="213">
        <v>0.08</v>
      </c>
      <c r="P15" s="215">
        <v>1988</v>
      </c>
      <c r="Q15" s="211">
        <v>393.3</v>
      </c>
      <c r="R15" s="211">
        <v>134.69999999999999</v>
      </c>
      <c r="S15" s="211">
        <v>56.5</v>
      </c>
      <c r="T15" s="212">
        <v>10.4</v>
      </c>
      <c r="U15" s="211">
        <v>595</v>
      </c>
      <c r="V15" s="211">
        <v>201.6</v>
      </c>
      <c r="W15" s="211">
        <v>68.099999999999994</v>
      </c>
      <c r="X15" s="211">
        <v>11.4</v>
      </c>
    </row>
    <row r="16" spans="2:24">
      <c r="B16" s="210">
        <v>1989</v>
      </c>
      <c r="C16" s="211">
        <v>166288.79999999999</v>
      </c>
      <c r="D16" s="211">
        <v>32461.8</v>
      </c>
      <c r="E16" s="211">
        <v>2384.1</v>
      </c>
      <c r="F16" s="212">
        <v>979.6</v>
      </c>
      <c r="G16" s="213">
        <v>7.0000000000000007E-2</v>
      </c>
      <c r="H16" s="213">
        <v>0.2</v>
      </c>
      <c r="I16" s="213">
        <v>0.37</v>
      </c>
      <c r="J16" s="214">
        <v>0.12</v>
      </c>
      <c r="K16" s="213">
        <v>0.04</v>
      </c>
      <c r="L16" s="213">
        <v>0.04</v>
      </c>
      <c r="M16" s="213">
        <v>0.04</v>
      </c>
      <c r="N16" s="213">
        <v>0.04</v>
      </c>
      <c r="P16" s="215">
        <v>1989</v>
      </c>
      <c r="Q16" s="211">
        <v>952.8</v>
      </c>
      <c r="R16" s="211">
        <v>389</v>
      </c>
      <c r="S16" s="211">
        <v>48.3</v>
      </c>
      <c r="T16" s="212">
        <v>27.6</v>
      </c>
      <c r="U16" s="211">
        <v>1417.7</v>
      </c>
      <c r="V16" s="211">
        <v>464.9</v>
      </c>
      <c r="W16" s="211">
        <v>87.8</v>
      </c>
      <c r="X16" s="211">
        <v>6.2</v>
      </c>
    </row>
    <row r="17" spans="2:24">
      <c r="B17" s="210">
        <v>1990</v>
      </c>
      <c r="C17" s="211">
        <v>156038.70000000001</v>
      </c>
      <c r="D17" s="211">
        <v>53488.4</v>
      </c>
      <c r="E17" s="211">
        <v>9102.6</v>
      </c>
      <c r="F17" s="212">
        <v>567.70000000000005</v>
      </c>
      <c r="G17" s="213">
        <v>0.06</v>
      </c>
      <c r="H17" s="213">
        <v>0.32</v>
      </c>
      <c r="I17" s="213">
        <v>0.44</v>
      </c>
      <c r="J17" s="214">
        <v>0.14000000000000001</v>
      </c>
      <c r="K17" s="213">
        <v>0.04</v>
      </c>
      <c r="L17" s="213">
        <v>0.04</v>
      </c>
      <c r="M17" s="213">
        <v>0.04</v>
      </c>
      <c r="N17" s="213">
        <v>0.04</v>
      </c>
      <c r="P17" s="215">
        <v>1990</v>
      </c>
      <c r="Q17" s="211">
        <v>1474.4</v>
      </c>
      <c r="R17" s="211">
        <v>811.3</v>
      </c>
      <c r="S17" s="211">
        <v>161.5</v>
      </c>
      <c r="T17" s="212">
        <v>12.8</v>
      </c>
      <c r="U17" s="211">
        <v>2459.9</v>
      </c>
      <c r="V17" s="211">
        <v>985.5</v>
      </c>
      <c r="W17" s="211">
        <v>215.9</v>
      </c>
      <c r="X17" s="211">
        <v>8.8000000000000007</v>
      </c>
    </row>
    <row r="18" spans="2:24">
      <c r="B18" s="210">
        <v>1991</v>
      </c>
      <c r="C18" s="211">
        <v>125148.3</v>
      </c>
      <c r="D18" s="211">
        <v>50614.7</v>
      </c>
      <c r="E18" s="211">
        <v>13323.9</v>
      </c>
      <c r="F18" s="212">
        <v>2025.1</v>
      </c>
      <c r="G18" s="213">
        <v>7.0000000000000007E-2</v>
      </c>
      <c r="H18" s="213">
        <v>0.28000000000000003</v>
      </c>
      <c r="I18" s="213">
        <v>0.45</v>
      </c>
      <c r="J18" s="214">
        <v>0.14000000000000001</v>
      </c>
      <c r="K18" s="213">
        <v>0.06</v>
      </c>
      <c r="L18" s="213">
        <v>0.06</v>
      </c>
      <c r="M18" s="213">
        <v>0.06</v>
      </c>
      <c r="N18" s="213">
        <v>0.06</v>
      </c>
      <c r="P18" s="215">
        <v>1991</v>
      </c>
      <c r="Q18" s="211">
        <v>851.4</v>
      </c>
      <c r="R18" s="211">
        <v>779.6</v>
      </c>
      <c r="S18" s="211">
        <v>266.3</v>
      </c>
      <c r="T18" s="212">
        <v>46.6</v>
      </c>
      <c r="U18" s="211">
        <v>1944</v>
      </c>
      <c r="V18" s="211">
        <v>1092.5999999999999</v>
      </c>
      <c r="W18" s="211">
        <v>202.3</v>
      </c>
      <c r="X18" s="211">
        <v>10.4</v>
      </c>
    </row>
    <row r="19" spans="2:24">
      <c r="B19" s="210">
        <v>1992</v>
      </c>
      <c r="C19" s="211">
        <v>142029.6</v>
      </c>
      <c r="D19" s="211">
        <v>39265.5</v>
      </c>
      <c r="E19" s="211">
        <v>12925.7</v>
      </c>
      <c r="F19" s="212">
        <v>2874.1</v>
      </c>
      <c r="G19" s="213">
        <v>0.06</v>
      </c>
      <c r="H19" s="213">
        <v>0.27</v>
      </c>
      <c r="I19" s="213">
        <v>0.64</v>
      </c>
      <c r="J19" s="214">
        <v>0.2</v>
      </c>
      <c r="K19" s="213">
        <v>0.13</v>
      </c>
      <c r="L19" s="213">
        <v>0.13</v>
      </c>
      <c r="M19" s="213">
        <v>0.13</v>
      </c>
      <c r="N19" s="213">
        <v>0.13</v>
      </c>
      <c r="P19" s="215">
        <v>1992</v>
      </c>
      <c r="Q19" s="211">
        <v>938</v>
      </c>
      <c r="R19" s="211">
        <v>557.79999999999995</v>
      </c>
      <c r="S19" s="211">
        <v>259.8</v>
      </c>
      <c r="T19" s="212">
        <v>64.8</v>
      </c>
      <c r="U19" s="211">
        <v>1820.4</v>
      </c>
      <c r="V19" s="211">
        <v>882.3</v>
      </c>
      <c r="W19" s="211">
        <v>178.3</v>
      </c>
      <c r="X19" s="211">
        <v>9.8000000000000007</v>
      </c>
    </row>
    <row r="20" spans="2:24">
      <c r="B20" s="210">
        <v>1993</v>
      </c>
      <c r="C20" s="211">
        <v>104019.1</v>
      </c>
      <c r="D20" s="211">
        <v>42349.599999999999</v>
      </c>
      <c r="E20" s="211">
        <v>9512.7000000000007</v>
      </c>
      <c r="F20" s="212">
        <v>2157.6</v>
      </c>
      <c r="G20" s="213">
        <v>0.09</v>
      </c>
      <c r="H20" s="213">
        <v>0.16</v>
      </c>
      <c r="I20" s="213">
        <v>0.26</v>
      </c>
      <c r="J20" s="214">
        <v>0.08</v>
      </c>
      <c r="K20" s="213">
        <v>0.09</v>
      </c>
      <c r="L20" s="213">
        <v>0.09</v>
      </c>
      <c r="M20" s="213">
        <v>0.09</v>
      </c>
      <c r="N20" s="213">
        <v>0.09</v>
      </c>
      <c r="P20" s="215">
        <v>1993</v>
      </c>
      <c r="Q20" s="211">
        <v>551.1</v>
      </c>
      <c r="R20" s="211">
        <v>556.4</v>
      </c>
      <c r="S20" s="211">
        <v>177.8</v>
      </c>
      <c r="T20" s="212">
        <v>48.7</v>
      </c>
      <c r="U20" s="211">
        <v>1333.9</v>
      </c>
      <c r="V20" s="211">
        <v>782.9</v>
      </c>
      <c r="W20" s="211">
        <v>100.5</v>
      </c>
      <c r="X20" s="211">
        <v>7.5</v>
      </c>
    </row>
    <row r="21" spans="2:24">
      <c r="B21" s="210">
        <v>1994</v>
      </c>
      <c r="C21" s="211">
        <v>100394</v>
      </c>
      <c r="D21" s="211">
        <v>31267.599999999999</v>
      </c>
      <c r="E21" s="211">
        <v>11806.6</v>
      </c>
      <c r="F21" s="212">
        <v>2422.6</v>
      </c>
      <c r="G21" s="213">
        <v>0.06</v>
      </c>
      <c r="H21" s="213">
        <v>0.25</v>
      </c>
      <c r="I21" s="213">
        <v>0.22</v>
      </c>
      <c r="J21" s="214">
        <v>7.0000000000000007E-2</v>
      </c>
      <c r="K21" s="213">
        <v>0.05</v>
      </c>
      <c r="L21" s="213">
        <v>0.05</v>
      </c>
      <c r="M21" s="213">
        <v>0.05</v>
      </c>
      <c r="N21" s="213">
        <v>0.05</v>
      </c>
      <c r="P21" s="215">
        <v>1994</v>
      </c>
      <c r="Q21" s="211">
        <v>575.20000000000005</v>
      </c>
      <c r="R21" s="211">
        <v>472.1</v>
      </c>
      <c r="S21" s="211">
        <v>231.5</v>
      </c>
      <c r="T21" s="212">
        <v>60.4</v>
      </c>
      <c r="U21" s="211">
        <v>1339.3</v>
      </c>
      <c r="V21" s="211">
        <v>764.1</v>
      </c>
      <c r="W21" s="211">
        <v>110.4</v>
      </c>
      <c r="X21" s="211">
        <v>8.1999999999999993</v>
      </c>
    </row>
    <row r="22" spans="2:24">
      <c r="B22" s="210">
        <v>1995</v>
      </c>
      <c r="C22" s="211">
        <v>83560.600000000006</v>
      </c>
      <c r="D22" s="211">
        <v>32183</v>
      </c>
      <c r="E22" s="211">
        <v>8253.9</v>
      </c>
      <c r="F22" s="212">
        <v>3208.4</v>
      </c>
      <c r="G22" s="213">
        <v>7.0000000000000007E-2</v>
      </c>
      <c r="H22" s="213">
        <v>0.28000000000000003</v>
      </c>
      <c r="I22" s="213">
        <v>0.51</v>
      </c>
      <c r="J22" s="214">
        <v>0.16</v>
      </c>
      <c r="K22" s="213">
        <v>0.1</v>
      </c>
      <c r="L22" s="213">
        <v>0.1</v>
      </c>
      <c r="M22" s="213">
        <v>0.1</v>
      </c>
      <c r="N22" s="213">
        <v>0.1</v>
      </c>
      <c r="P22" s="215">
        <v>1995</v>
      </c>
      <c r="Q22" s="211">
        <v>535</v>
      </c>
      <c r="R22" s="211">
        <v>514.4</v>
      </c>
      <c r="S22" s="211">
        <v>181.6</v>
      </c>
      <c r="T22" s="212">
        <v>87.3</v>
      </c>
      <c r="U22" s="211">
        <v>1318.3</v>
      </c>
      <c r="V22" s="211">
        <v>783.3</v>
      </c>
      <c r="W22" s="211">
        <v>141.69999999999999</v>
      </c>
      <c r="X22" s="211">
        <v>10.7</v>
      </c>
    </row>
    <row r="23" spans="2:24">
      <c r="B23" s="210">
        <v>1996</v>
      </c>
      <c r="C23" s="211">
        <v>126360.6</v>
      </c>
      <c r="D23" s="211">
        <v>25293.4</v>
      </c>
      <c r="E23" s="211">
        <v>7877</v>
      </c>
      <c r="F23" s="212">
        <v>1612.7</v>
      </c>
      <c r="G23" s="213">
        <v>0.08</v>
      </c>
      <c r="H23" s="213">
        <v>0.61</v>
      </c>
      <c r="I23" s="213">
        <v>1.08</v>
      </c>
      <c r="J23" s="214">
        <v>0.34</v>
      </c>
      <c r="K23" s="213">
        <v>0.16</v>
      </c>
      <c r="L23" s="213">
        <v>0.16</v>
      </c>
      <c r="M23" s="213">
        <v>0.16</v>
      </c>
      <c r="N23" s="213">
        <v>0.16</v>
      </c>
      <c r="P23" s="215">
        <v>1996</v>
      </c>
      <c r="Q23" s="211">
        <v>954.9</v>
      </c>
      <c r="R23" s="211">
        <v>398.6</v>
      </c>
      <c r="S23" s="211">
        <v>163.30000000000001</v>
      </c>
      <c r="T23" s="212">
        <v>40</v>
      </c>
      <c r="U23" s="211">
        <v>1556.8</v>
      </c>
      <c r="V23" s="211">
        <v>601.9</v>
      </c>
      <c r="W23" s="211">
        <v>207.9</v>
      </c>
      <c r="X23" s="211">
        <v>13.4</v>
      </c>
    </row>
    <row r="24" spans="2:24">
      <c r="B24" s="210">
        <v>1997</v>
      </c>
      <c r="C24" s="211">
        <v>182384.7</v>
      </c>
      <c r="D24" s="211">
        <v>35407.699999999997</v>
      </c>
      <c r="E24" s="211">
        <v>4197.2</v>
      </c>
      <c r="F24" s="212">
        <v>812.7</v>
      </c>
      <c r="G24" s="213">
        <v>0.04</v>
      </c>
      <c r="H24" s="213">
        <v>0.19</v>
      </c>
      <c r="I24" s="213">
        <v>0.98</v>
      </c>
      <c r="J24" s="214">
        <v>0.31</v>
      </c>
      <c r="K24" s="213">
        <v>0.12</v>
      </c>
      <c r="L24" s="213">
        <v>0.12</v>
      </c>
      <c r="M24" s="213">
        <v>0.12</v>
      </c>
      <c r="N24" s="213">
        <v>0.12</v>
      </c>
      <c r="P24" s="215">
        <v>1997</v>
      </c>
      <c r="Q24" s="211">
        <v>1672.1</v>
      </c>
      <c r="R24" s="211">
        <v>581.20000000000005</v>
      </c>
      <c r="S24" s="211">
        <v>92.3</v>
      </c>
      <c r="T24" s="212">
        <v>20.6</v>
      </c>
      <c r="U24" s="211">
        <v>2366.3000000000002</v>
      </c>
      <c r="V24" s="211">
        <v>694.2</v>
      </c>
      <c r="W24" s="211">
        <v>134.5</v>
      </c>
      <c r="X24" s="211">
        <v>5.7</v>
      </c>
    </row>
    <row r="25" spans="2:24">
      <c r="B25" s="210">
        <v>1998</v>
      </c>
      <c r="C25" s="211">
        <v>249746.2</v>
      </c>
      <c r="D25" s="211">
        <v>55560.1</v>
      </c>
      <c r="E25" s="211">
        <v>9290.2000000000007</v>
      </c>
      <c r="F25" s="212">
        <v>502.1</v>
      </c>
      <c r="G25" s="213">
        <v>0.06</v>
      </c>
      <c r="H25" s="213">
        <v>0.46</v>
      </c>
      <c r="I25" s="213">
        <v>0.77</v>
      </c>
      <c r="J25" s="214">
        <v>0.24</v>
      </c>
      <c r="K25" s="213">
        <v>0.09</v>
      </c>
      <c r="L25" s="213">
        <v>0.09</v>
      </c>
      <c r="M25" s="213">
        <v>0.09</v>
      </c>
      <c r="N25" s="213">
        <v>0.09</v>
      </c>
      <c r="P25" s="215">
        <v>1998</v>
      </c>
      <c r="Q25" s="211">
        <v>2222.4</v>
      </c>
      <c r="R25" s="211">
        <v>890.4</v>
      </c>
      <c r="S25" s="211">
        <v>167.8</v>
      </c>
      <c r="T25" s="212">
        <v>10.8</v>
      </c>
      <c r="U25" s="211">
        <v>3291.5</v>
      </c>
      <c r="V25" s="211">
        <v>1069.0999999999999</v>
      </c>
      <c r="W25" s="211">
        <v>319.39999999999998</v>
      </c>
      <c r="X25" s="211">
        <v>9.6999999999999993</v>
      </c>
    </row>
    <row r="26" spans="2:24">
      <c r="B26" s="210">
        <v>1999</v>
      </c>
      <c r="C26" s="211">
        <v>163259.70000000001</v>
      </c>
      <c r="D26" s="211">
        <v>76931.5</v>
      </c>
      <c r="E26" s="211">
        <v>11508.9</v>
      </c>
      <c r="F26" s="212">
        <v>1410.2</v>
      </c>
      <c r="G26" s="213">
        <v>0.09</v>
      </c>
      <c r="H26" s="213">
        <v>0.39</v>
      </c>
      <c r="I26" s="213">
        <v>0.74</v>
      </c>
      <c r="J26" s="214">
        <v>0.23</v>
      </c>
      <c r="K26" s="213">
        <v>0.1</v>
      </c>
      <c r="L26" s="213">
        <v>0.1</v>
      </c>
      <c r="M26" s="213">
        <v>0.1</v>
      </c>
      <c r="N26" s="213">
        <v>0.1</v>
      </c>
      <c r="P26" s="215">
        <v>1999</v>
      </c>
      <c r="Q26" s="211">
        <v>1339</v>
      </c>
      <c r="R26" s="211">
        <v>1056.9000000000001</v>
      </c>
      <c r="S26" s="211">
        <v>221.9</v>
      </c>
      <c r="T26" s="212">
        <v>33.6</v>
      </c>
      <c r="U26" s="211">
        <v>2651.5</v>
      </c>
      <c r="V26" s="211">
        <v>1312.4</v>
      </c>
      <c r="W26" s="211">
        <v>328</v>
      </c>
      <c r="X26" s="211">
        <v>12.4</v>
      </c>
    </row>
    <row r="27" spans="2:24">
      <c r="B27" s="210">
        <v>2000</v>
      </c>
      <c r="C27" s="211">
        <v>151967.4</v>
      </c>
      <c r="D27" s="211">
        <v>48733.3</v>
      </c>
      <c r="E27" s="211">
        <v>16918.3</v>
      </c>
      <c r="F27" s="212">
        <v>1789.5</v>
      </c>
      <c r="G27" s="213">
        <v>0.05</v>
      </c>
      <c r="H27" s="213">
        <v>0.27</v>
      </c>
      <c r="I27" s="213">
        <v>0.44</v>
      </c>
      <c r="J27" s="214">
        <v>0.14000000000000001</v>
      </c>
      <c r="K27" s="213">
        <v>0.09</v>
      </c>
      <c r="L27" s="213">
        <v>0.09</v>
      </c>
      <c r="M27" s="213">
        <v>0.09</v>
      </c>
      <c r="N27" s="213">
        <v>0.09</v>
      </c>
      <c r="P27" s="215">
        <v>2000</v>
      </c>
      <c r="Q27" s="211">
        <v>1128.5</v>
      </c>
      <c r="R27" s="211">
        <v>846.3</v>
      </c>
      <c r="S27" s="211">
        <v>331.3</v>
      </c>
      <c r="T27" s="212">
        <v>43.3</v>
      </c>
      <c r="U27" s="211">
        <v>2349.3000000000002</v>
      </c>
      <c r="V27" s="211">
        <v>1220.9000000000001</v>
      </c>
      <c r="W27" s="211">
        <v>213.1</v>
      </c>
      <c r="X27" s="211">
        <v>9.1</v>
      </c>
    </row>
    <row r="28" spans="2:24">
      <c r="B28" s="210">
        <v>2001</v>
      </c>
      <c r="C28" s="211">
        <v>231771.4</v>
      </c>
      <c r="D28" s="211">
        <v>47516</v>
      </c>
      <c r="E28" s="211">
        <v>12222.2</v>
      </c>
      <c r="F28" s="212">
        <v>3581</v>
      </c>
      <c r="G28" s="213">
        <v>0.02</v>
      </c>
      <c r="H28" s="213">
        <v>0.28999999999999998</v>
      </c>
      <c r="I28" s="213">
        <v>0.56999999999999995</v>
      </c>
      <c r="J28" s="214">
        <v>0.18</v>
      </c>
      <c r="K28" s="213">
        <v>0.09</v>
      </c>
      <c r="L28" s="213">
        <v>0.09</v>
      </c>
      <c r="M28" s="213">
        <v>0.09</v>
      </c>
      <c r="N28" s="213">
        <v>0.09</v>
      </c>
      <c r="P28" s="215">
        <v>2001</v>
      </c>
      <c r="Q28" s="211">
        <v>1670.8</v>
      </c>
      <c r="R28" s="211">
        <v>735.5</v>
      </c>
      <c r="S28" s="211">
        <v>263.7</v>
      </c>
      <c r="T28" s="212">
        <v>90.4</v>
      </c>
      <c r="U28" s="211">
        <v>2760.4</v>
      </c>
      <c r="V28" s="211">
        <v>1089.5999999999999</v>
      </c>
      <c r="W28" s="211">
        <v>197.9</v>
      </c>
      <c r="X28" s="211">
        <v>7.2</v>
      </c>
    </row>
    <row r="29" spans="2:24">
      <c r="B29" s="210">
        <v>2002</v>
      </c>
      <c r="C29" s="211">
        <v>240261.1</v>
      </c>
      <c r="D29" s="211">
        <v>74721.2</v>
      </c>
      <c r="E29" s="211">
        <v>11714.3</v>
      </c>
      <c r="F29" s="212">
        <v>2266.6</v>
      </c>
      <c r="G29" s="213">
        <v>0.04</v>
      </c>
      <c r="H29" s="213">
        <v>0.47</v>
      </c>
      <c r="I29" s="213">
        <v>0.63</v>
      </c>
      <c r="J29" s="214">
        <v>0.2</v>
      </c>
      <c r="K29" s="213">
        <v>0.1</v>
      </c>
      <c r="L29" s="213">
        <v>0.1</v>
      </c>
      <c r="M29" s="213">
        <v>0.1</v>
      </c>
      <c r="N29" s="213">
        <v>0.1</v>
      </c>
      <c r="P29" s="215">
        <v>2002</v>
      </c>
      <c r="Q29" s="211">
        <v>1985.3</v>
      </c>
      <c r="R29" s="211">
        <v>1040</v>
      </c>
      <c r="S29" s="211">
        <v>229.6</v>
      </c>
      <c r="T29" s="212">
        <v>58.3</v>
      </c>
      <c r="U29" s="211">
        <v>3313.2</v>
      </c>
      <c r="V29" s="211">
        <v>1327.9</v>
      </c>
      <c r="W29" s="211">
        <v>334.4</v>
      </c>
      <c r="X29" s="211">
        <v>10.1</v>
      </c>
    </row>
    <row r="30" spans="2:24">
      <c r="B30" s="210">
        <v>2003</v>
      </c>
      <c r="C30" s="211">
        <v>223323.2</v>
      </c>
      <c r="D30" s="211">
        <v>75016.600000000006</v>
      </c>
      <c r="E30" s="211">
        <v>15232.7</v>
      </c>
      <c r="F30" s="212">
        <v>2036.5</v>
      </c>
      <c r="G30" s="213">
        <v>0.04</v>
      </c>
      <c r="H30" s="213">
        <v>0.46</v>
      </c>
      <c r="I30" s="213">
        <v>1.03</v>
      </c>
      <c r="J30" s="214">
        <v>0.33</v>
      </c>
      <c r="K30" s="213">
        <v>0.09</v>
      </c>
      <c r="L30" s="213">
        <v>0.09</v>
      </c>
      <c r="M30" s="213">
        <v>0.09</v>
      </c>
      <c r="N30" s="213">
        <v>0.09</v>
      </c>
      <c r="P30" s="215">
        <v>2003</v>
      </c>
      <c r="Q30" s="211">
        <v>1899.6</v>
      </c>
      <c r="R30" s="211">
        <v>1173.9000000000001</v>
      </c>
      <c r="S30" s="211">
        <v>290.39999999999998</v>
      </c>
      <c r="T30" s="212">
        <v>48.6</v>
      </c>
      <c r="U30" s="211">
        <v>3412.5</v>
      </c>
      <c r="V30" s="211">
        <v>1512.9</v>
      </c>
      <c r="W30" s="211">
        <v>408</v>
      </c>
      <c r="X30" s="211">
        <v>12</v>
      </c>
    </row>
    <row r="31" spans="2:24">
      <c r="B31" s="210">
        <v>2004</v>
      </c>
      <c r="C31" s="211">
        <v>177503.4</v>
      </c>
      <c r="D31" s="211">
        <v>70326.5</v>
      </c>
      <c r="E31" s="211">
        <v>15493.6</v>
      </c>
      <c r="F31" s="212">
        <v>1789.4</v>
      </c>
      <c r="G31" s="213">
        <v>0.04</v>
      </c>
      <c r="H31" s="213">
        <v>0.61</v>
      </c>
      <c r="I31" s="213">
        <v>1.02</v>
      </c>
      <c r="J31" s="214">
        <v>0.32</v>
      </c>
      <c r="K31" s="213">
        <v>0.25</v>
      </c>
      <c r="L31" s="213">
        <v>0.25</v>
      </c>
      <c r="M31" s="213">
        <v>0.25</v>
      </c>
      <c r="N31" s="213">
        <v>0.25</v>
      </c>
      <c r="P31" s="215">
        <v>2004</v>
      </c>
      <c r="Q31" s="211">
        <v>1841.2</v>
      </c>
      <c r="R31" s="211">
        <v>1070.4000000000001</v>
      </c>
      <c r="S31" s="211">
        <v>294.89999999999998</v>
      </c>
      <c r="T31" s="212">
        <v>40.4</v>
      </c>
      <c r="U31" s="211">
        <v>3246.9</v>
      </c>
      <c r="V31" s="211">
        <v>1405.7</v>
      </c>
      <c r="W31" s="211">
        <v>401.9</v>
      </c>
      <c r="X31" s="211">
        <v>12.4</v>
      </c>
    </row>
    <row r="32" spans="2:24">
      <c r="B32" s="210">
        <v>2005</v>
      </c>
      <c r="C32" s="211">
        <v>234205.9</v>
      </c>
      <c r="D32" s="211">
        <v>47745.1</v>
      </c>
      <c r="E32" s="211">
        <v>10715.8</v>
      </c>
      <c r="F32" s="212">
        <v>1563.2</v>
      </c>
      <c r="G32" s="213">
        <v>0.03</v>
      </c>
      <c r="H32" s="213">
        <v>0.36</v>
      </c>
      <c r="I32" s="213">
        <v>1.21</v>
      </c>
      <c r="J32" s="214">
        <v>0.38</v>
      </c>
      <c r="K32" s="213">
        <v>0.26</v>
      </c>
      <c r="L32" s="213">
        <v>0.26</v>
      </c>
      <c r="M32" s="213">
        <v>0.26</v>
      </c>
      <c r="N32" s="213">
        <v>0.26</v>
      </c>
      <c r="P32" s="215">
        <v>2005</v>
      </c>
      <c r="Q32" s="211">
        <v>1505.2</v>
      </c>
      <c r="R32" s="211">
        <v>793.9</v>
      </c>
      <c r="S32" s="211">
        <v>216.6</v>
      </c>
      <c r="T32" s="212">
        <v>37.1</v>
      </c>
      <c r="U32" s="211">
        <v>2552.6999999999998</v>
      </c>
      <c r="V32" s="211">
        <v>1047.5999999999999</v>
      </c>
      <c r="W32" s="211">
        <v>237.7</v>
      </c>
      <c r="X32" s="211">
        <v>9.3000000000000007</v>
      </c>
    </row>
    <row r="33" spans="2:24">
      <c r="B33" s="210">
        <v>2006</v>
      </c>
      <c r="C33" s="211">
        <v>165071.6</v>
      </c>
      <c r="D33" s="211">
        <v>62818.5</v>
      </c>
      <c r="E33" s="211">
        <v>9273.2000000000007</v>
      </c>
      <c r="F33" s="212">
        <v>883.5</v>
      </c>
      <c r="G33" s="213">
        <v>7.0000000000000007E-2</v>
      </c>
      <c r="H33" s="213">
        <v>0.56999999999999995</v>
      </c>
      <c r="I33" s="213">
        <v>0.76</v>
      </c>
      <c r="J33" s="214">
        <v>0.24</v>
      </c>
      <c r="K33" s="213">
        <v>0.22</v>
      </c>
      <c r="L33" s="213">
        <v>0.22</v>
      </c>
      <c r="M33" s="213">
        <v>0.22</v>
      </c>
      <c r="N33" s="213">
        <v>0.22</v>
      </c>
      <c r="P33" s="215">
        <v>2006</v>
      </c>
      <c r="Q33" s="211">
        <v>1439.5</v>
      </c>
      <c r="R33" s="211">
        <v>857.4</v>
      </c>
      <c r="S33" s="211">
        <v>173.8</v>
      </c>
      <c r="T33" s="212">
        <v>20.7</v>
      </c>
      <c r="U33" s="211">
        <v>2491.4</v>
      </c>
      <c r="V33" s="211">
        <v>1051.9000000000001</v>
      </c>
      <c r="W33" s="211">
        <v>303.39999999999998</v>
      </c>
      <c r="X33" s="211">
        <v>12.2</v>
      </c>
    </row>
    <row r="34" spans="2:24">
      <c r="B34" s="210">
        <v>2007</v>
      </c>
      <c r="C34" s="211">
        <v>223943</v>
      </c>
      <c r="D34" s="211">
        <v>44312.9</v>
      </c>
      <c r="E34" s="211">
        <v>10282.1</v>
      </c>
      <c r="F34" s="212">
        <v>1245</v>
      </c>
      <c r="G34" s="213">
        <v>0.03</v>
      </c>
      <c r="H34" s="213">
        <v>0.55000000000000004</v>
      </c>
      <c r="I34" s="213">
        <v>0.71</v>
      </c>
      <c r="J34" s="214">
        <v>0.22</v>
      </c>
      <c r="K34" s="213">
        <v>0.2</v>
      </c>
      <c r="L34" s="213">
        <v>0.2</v>
      </c>
      <c r="M34" s="213">
        <v>0.2</v>
      </c>
      <c r="N34" s="213">
        <v>0.2</v>
      </c>
      <c r="P34" s="215">
        <v>2007</v>
      </c>
      <c r="Q34" s="211">
        <v>1333.2</v>
      </c>
      <c r="R34" s="211">
        <v>699.8</v>
      </c>
      <c r="S34" s="211">
        <v>200.3</v>
      </c>
      <c r="T34" s="212">
        <v>28.4</v>
      </c>
      <c r="U34" s="211">
        <v>2261.6999999999998</v>
      </c>
      <c r="V34" s="211">
        <v>928.5</v>
      </c>
      <c r="W34" s="211">
        <v>242.5</v>
      </c>
      <c r="X34" s="211">
        <v>10.7</v>
      </c>
    </row>
    <row r="35" spans="2:24">
      <c r="B35" s="210">
        <v>2008</v>
      </c>
      <c r="C35" s="211">
        <v>286121.90000000002</v>
      </c>
      <c r="D35" s="211">
        <v>63526.400000000001</v>
      </c>
      <c r="E35" s="211">
        <v>7504.5</v>
      </c>
      <c r="F35" s="212">
        <v>1487.5</v>
      </c>
      <c r="G35" s="213">
        <v>0.09</v>
      </c>
      <c r="H35" s="213">
        <v>0.21</v>
      </c>
      <c r="I35" s="213">
        <v>0.61</v>
      </c>
      <c r="J35" s="214">
        <v>0.19</v>
      </c>
      <c r="K35" s="213">
        <v>0.16</v>
      </c>
      <c r="L35" s="213">
        <v>0.16</v>
      </c>
      <c r="M35" s="213">
        <v>0.16</v>
      </c>
      <c r="N35" s="213">
        <v>0.16</v>
      </c>
      <c r="P35" s="215">
        <v>2008</v>
      </c>
      <c r="Q35" s="211">
        <v>1419</v>
      </c>
      <c r="R35" s="211">
        <v>933.2</v>
      </c>
      <c r="S35" s="211">
        <v>157.4</v>
      </c>
      <c r="T35" s="212">
        <v>35.700000000000003</v>
      </c>
      <c r="U35" s="211">
        <v>2545.1999999999998</v>
      </c>
      <c r="V35" s="211">
        <v>1126.3</v>
      </c>
      <c r="W35" s="211">
        <v>209.1</v>
      </c>
      <c r="X35" s="211">
        <v>8.1999999999999993</v>
      </c>
    </row>
    <row r="36" spans="2:24">
      <c r="B36" s="210">
        <v>2009</v>
      </c>
      <c r="C36" s="211">
        <v>241649.8</v>
      </c>
      <c r="D36" s="211">
        <v>80046</v>
      </c>
      <c r="E36" s="211">
        <v>15737.5</v>
      </c>
      <c r="F36" s="212">
        <v>1253.3</v>
      </c>
      <c r="G36" s="213">
        <v>0.03</v>
      </c>
      <c r="H36" s="213">
        <v>0.31</v>
      </c>
      <c r="I36" s="213">
        <v>0.32</v>
      </c>
      <c r="J36" s="214">
        <v>0.1</v>
      </c>
      <c r="K36" s="213">
        <v>0.23</v>
      </c>
      <c r="L36" s="213">
        <v>0.23</v>
      </c>
      <c r="M36" s="213">
        <v>0.23</v>
      </c>
      <c r="N36" s="213">
        <v>0.23</v>
      </c>
      <c r="P36" s="215">
        <v>2009</v>
      </c>
      <c r="Q36" s="211">
        <v>1925.7</v>
      </c>
      <c r="R36" s="211">
        <v>1164.2</v>
      </c>
      <c r="S36" s="211">
        <v>292.10000000000002</v>
      </c>
      <c r="T36" s="212">
        <v>27.4</v>
      </c>
      <c r="U36" s="211">
        <v>3409.5</v>
      </c>
      <c r="V36" s="211">
        <v>1483.8</v>
      </c>
      <c r="W36" s="211">
        <v>240.9</v>
      </c>
      <c r="X36" s="211">
        <v>7.1</v>
      </c>
    </row>
    <row r="37" spans="2:24">
      <c r="B37" s="210">
        <v>2010</v>
      </c>
      <c r="C37" s="211">
        <v>220504</v>
      </c>
      <c r="D37" s="211">
        <v>67116.800000000003</v>
      </c>
      <c r="E37" s="211">
        <v>16782.599999999999</v>
      </c>
      <c r="F37" s="212">
        <v>3255.4</v>
      </c>
      <c r="G37" s="213">
        <v>0.05</v>
      </c>
      <c r="H37" s="213">
        <v>0.3</v>
      </c>
      <c r="I37" s="213">
        <v>0.41</v>
      </c>
      <c r="J37" s="214">
        <v>0.13</v>
      </c>
      <c r="K37" s="213">
        <v>0.27</v>
      </c>
      <c r="L37" s="213">
        <v>0.27</v>
      </c>
      <c r="M37" s="213">
        <v>0.27</v>
      </c>
      <c r="N37" s="213">
        <v>0.27</v>
      </c>
      <c r="P37" s="215">
        <v>2010</v>
      </c>
      <c r="Q37" s="211">
        <v>1361.1</v>
      </c>
      <c r="R37" s="211">
        <v>1051.9000000000001</v>
      </c>
      <c r="S37" s="211">
        <v>345.6</v>
      </c>
      <c r="T37" s="212">
        <v>79.8</v>
      </c>
      <c r="U37" s="211">
        <v>2838.5</v>
      </c>
      <c r="V37" s="211">
        <v>1477.4</v>
      </c>
      <c r="W37" s="211">
        <v>247.6</v>
      </c>
      <c r="X37" s="211">
        <v>8.6999999999999993</v>
      </c>
    </row>
    <row r="38" spans="2:24">
      <c r="B38" s="210">
        <v>2011</v>
      </c>
      <c r="C38" s="211">
        <v>246699.2</v>
      </c>
      <c r="D38" s="211">
        <v>57444.6</v>
      </c>
      <c r="E38" s="211">
        <v>13645.2</v>
      </c>
      <c r="F38" s="212">
        <v>3070.2</v>
      </c>
      <c r="G38" s="213">
        <v>0.03</v>
      </c>
      <c r="H38" s="213">
        <v>0.24</v>
      </c>
      <c r="I38" s="213">
        <v>0.3</v>
      </c>
      <c r="J38" s="214">
        <v>0.09</v>
      </c>
      <c r="K38" s="213">
        <v>0.3</v>
      </c>
      <c r="L38" s="213">
        <v>0.3</v>
      </c>
      <c r="M38" s="213">
        <v>0.3</v>
      </c>
      <c r="N38" s="213">
        <v>0.3</v>
      </c>
      <c r="P38" s="215">
        <v>2011</v>
      </c>
      <c r="Q38" s="211">
        <v>1826.4</v>
      </c>
      <c r="R38" s="211">
        <v>830.9</v>
      </c>
      <c r="S38" s="211">
        <v>274.5</v>
      </c>
      <c r="T38" s="212">
        <v>74.7</v>
      </c>
      <c r="U38" s="211">
        <v>3006.5</v>
      </c>
      <c r="V38" s="211">
        <v>1180.0999999999999</v>
      </c>
      <c r="W38" s="211">
        <v>160</v>
      </c>
      <c r="X38" s="211">
        <v>5.3</v>
      </c>
    </row>
    <row r="39" spans="2:24">
      <c r="B39" s="210">
        <v>2012</v>
      </c>
      <c r="C39" s="211">
        <v>214426.8</v>
      </c>
      <c r="D39" s="211">
        <v>63466.3</v>
      </c>
      <c r="E39" s="211">
        <v>11942.7</v>
      </c>
      <c r="F39" s="212">
        <v>2685.8</v>
      </c>
      <c r="G39" s="213">
        <v>0.06</v>
      </c>
      <c r="H39" s="213">
        <v>0.25</v>
      </c>
      <c r="I39" s="213">
        <v>0.25</v>
      </c>
      <c r="J39" s="214">
        <v>0.08</v>
      </c>
      <c r="K39" s="213">
        <v>0.4</v>
      </c>
      <c r="L39" s="213">
        <v>0.4</v>
      </c>
      <c r="M39" s="213">
        <v>0.4</v>
      </c>
      <c r="N39" s="213">
        <v>0.4</v>
      </c>
      <c r="P39" s="215">
        <v>2012</v>
      </c>
      <c r="Q39" s="211">
        <v>1024.8</v>
      </c>
      <c r="R39" s="211">
        <v>888.8</v>
      </c>
      <c r="S39" s="211">
        <v>231.3</v>
      </c>
      <c r="T39" s="212">
        <v>67.8</v>
      </c>
      <c r="U39" s="211">
        <v>2212.6999999999998</v>
      </c>
      <c r="V39" s="211">
        <v>1187.9000000000001</v>
      </c>
      <c r="W39" s="211">
        <v>154.5</v>
      </c>
      <c r="X39" s="211">
        <v>7</v>
      </c>
    </row>
    <row r="40" spans="2:24">
      <c r="B40" s="210">
        <v>2013</v>
      </c>
      <c r="C40" s="211">
        <v>238179.3</v>
      </c>
      <c r="D40" s="211">
        <v>48461.5</v>
      </c>
      <c r="E40" s="211">
        <v>11835.9</v>
      </c>
      <c r="F40" s="212">
        <v>2224.6</v>
      </c>
      <c r="G40" s="213">
        <v>0.11</v>
      </c>
      <c r="H40" s="213">
        <v>0.43</v>
      </c>
      <c r="I40" s="213">
        <v>0.37</v>
      </c>
      <c r="J40" s="214">
        <v>0.12</v>
      </c>
      <c r="K40" s="213">
        <v>1.02</v>
      </c>
      <c r="L40" s="213">
        <v>1.02</v>
      </c>
      <c r="M40" s="213">
        <v>1.02</v>
      </c>
      <c r="N40" s="213">
        <v>1.02</v>
      </c>
      <c r="P40" s="215">
        <v>2013</v>
      </c>
      <c r="Q40" s="211">
        <v>1263.4000000000001</v>
      </c>
      <c r="R40" s="211">
        <v>641.1</v>
      </c>
      <c r="S40" s="211">
        <v>246.1</v>
      </c>
      <c r="T40" s="212">
        <v>53.6</v>
      </c>
      <c r="U40" s="211">
        <v>2204.1999999999998</v>
      </c>
      <c r="V40" s="211">
        <v>940.8</v>
      </c>
      <c r="W40" s="211">
        <v>156</v>
      </c>
      <c r="X40" s="211">
        <v>7.1</v>
      </c>
    </row>
    <row r="41" spans="2:24">
      <c r="B41" s="210">
        <v>2014</v>
      </c>
      <c r="C41" s="211">
        <v>109074.6</v>
      </c>
      <c r="D41" s="211">
        <v>27731.3</v>
      </c>
      <c r="E41" s="211">
        <v>4067.8</v>
      </c>
      <c r="F41" s="212">
        <v>1059.2</v>
      </c>
      <c r="G41" s="213">
        <v>0.49</v>
      </c>
      <c r="H41" s="213">
        <v>1.1399999999999999</v>
      </c>
      <c r="I41" s="213">
        <v>0.49</v>
      </c>
      <c r="J41" s="214">
        <v>0.15</v>
      </c>
      <c r="K41" s="213">
        <v>1.0900000000000001</v>
      </c>
      <c r="L41" s="213">
        <v>1.0900000000000001</v>
      </c>
      <c r="M41" s="213">
        <v>1.0900000000000001</v>
      </c>
      <c r="N41" s="213">
        <v>1.0900000000000001</v>
      </c>
      <c r="P41" s="215">
        <v>2014</v>
      </c>
      <c r="Q41" s="211">
        <v>484.4</v>
      </c>
      <c r="R41" s="211">
        <v>281.2</v>
      </c>
      <c r="S41" s="211">
        <v>81.8</v>
      </c>
      <c r="T41" s="212">
        <v>27.2</v>
      </c>
      <c r="U41" s="211">
        <v>874.6</v>
      </c>
      <c r="V41" s="211">
        <v>390.2</v>
      </c>
      <c r="W41" s="211">
        <v>144</v>
      </c>
      <c r="X41" s="211">
        <v>16.5</v>
      </c>
    </row>
    <row r="42" spans="2:24">
      <c r="B42" s="210">
        <v>2015</v>
      </c>
      <c r="C42" s="211">
        <v>121337.1</v>
      </c>
      <c r="D42" s="211">
        <v>8027.9</v>
      </c>
      <c r="E42" s="211">
        <v>1071.7</v>
      </c>
      <c r="F42" s="212">
        <v>301.2</v>
      </c>
      <c r="G42" s="213">
        <v>0.32</v>
      </c>
      <c r="H42" s="213">
        <v>0.9</v>
      </c>
      <c r="I42" s="213">
        <v>1.31</v>
      </c>
      <c r="J42" s="214">
        <v>0.42</v>
      </c>
      <c r="K42" s="213">
        <v>0.99</v>
      </c>
      <c r="L42" s="213">
        <v>0.99</v>
      </c>
      <c r="M42" s="213">
        <v>0.99</v>
      </c>
      <c r="N42" s="213">
        <v>0.99</v>
      </c>
      <c r="P42" s="215">
        <v>2015</v>
      </c>
      <c r="Q42" s="211">
        <v>417.3</v>
      </c>
      <c r="R42" s="211">
        <v>79.599999999999994</v>
      </c>
      <c r="S42" s="211">
        <v>22.5</v>
      </c>
      <c r="T42" s="212">
        <v>7.9</v>
      </c>
      <c r="U42" s="211">
        <v>527.29999999999995</v>
      </c>
      <c r="V42" s="211">
        <v>110</v>
      </c>
      <c r="W42" s="211">
        <v>66.5</v>
      </c>
      <c r="X42" s="211">
        <v>12.6</v>
      </c>
    </row>
    <row r="43" spans="2:24">
      <c r="B43" s="210">
        <v>2016</v>
      </c>
      <c r="C43" s="211">
        <v>80816.899999999994</v>
      </c>
      <c r="D43" s="211">
        <v>11732.5</v>
      </c>
      <c r="E43" s="211">
        <v>435.1</v>
      </c>
      <c r="F43" s="212">
        <v>38.6</v>
      </c>
      <c r="G43" s="213">
        <v>0.41</v>
      </c>
      <c r="H43" s="213">
        <v>1.8</v>
      </c>
      <c r="I43" s="213">
        <v>1.35</v>
      </c>
      <c r="J43" s="214">
        <v>0.43</v>
      </c>
      <c r="K43" s="213">
        <v>0.88</v>
      </c>
      <c r="L43" s="213">
        <v>0.88</v>
      </c>
      <c r="M43" s="213">
        <v>0.88</v>
      </c>
      <c r="N43" s="213">
        <v>0.88</v>
      </c>
      <c r="P43" s="215">
        <v>2016</v>
      </c>
      <c r="Q43" s="211">
        <v>355.6</v>
      </c>
      <c r="R43" s="211">
        <v>91.2</v>
      </c>
      <c r="S43" s="211">
        <v>7.5</v>
      </c>
      <c r="T43" s="212">
        <v>0.9</v>
      </c>
      <c r="U43" s="211">
        <v>455.2</v>
      </c>
      <c r="V43" s="211">
        <v>99.5</v>
      </c>
      <c r="W43" s="211">
        <v>77.7</v>
      </c>
      <c r="X43" s="211">
        <v>17.100000000000001</v>
      </c>
    </row>
    <row r="44" spans="2:24">
      <c r="B44" s="210">
        <v>2017</v>
      </c>
      <c r="C44" s="211">
        <v>49480.4</v>
      </c>
      <c r="D44" s="211">
        <v>7974.1</v>
      </c>
      <c r="E44" s="211">
        <v>287.5</v>
      </c>
      <c r="F44" s="212">
        <v>16.7</v>
      </c>
      <c r="G44" s="213">
        <v>0.5</v>
      </c>
      <c r="H44" s="213">
        <v>1.65</v>
      </c>
      <c r="I44" s="213">
        <v>1.61</v>
      </c>
      <c r="J44" s="214">
        <v>0.51</v>
      </c>
      <c r="K44" s="213">
        <v>0.77</v>
      </c>
      <c r="L44" s="213">
        <v>0.77</v>
      </c>
      <c r="M44" s="213">
        <v>0.77</v>
      </c>
      <c r="N44" s="213">
        <v>0.77</v>
      </c>
      <c r="P44" s="215">
        <v>2017</v>
      </c>
      <c r="Q44" s="211">
        <v>201.4</v>
      </c>
      <c r="R44" s="211">
        <v>62.2</v>
      </c>
      <c r="S44" s="211">
        <v>4.5</v>
      </c>
      <c r="T44" s="212">
        <v>0.4</v>
      </c>
      <c r="U44" s="211">
        <v>268.5</v>
      </c>
      <c r="V44" s="211">
        <v>67.099999999999994</v>
      </c>
      <c r="W44" s="211">
        <v>54.3</v>
      </c>
      <c r="X44" s="211">
        <v>20.2</v>
      </c>
    </row>
    <row r="45" spans="2:24">
      <c r="B45" s="210">
        <v>2018</v>
      </c>
      <c r="C45" s="211">
        <v>55717.2</v>
      </c>
      <c r="D45" s="211">
        <v>5013.1000000000004</v>
      </c>
      <c r="E45" s="211">
        <v>255.8</v>
      </c>
      <c r="F45" s="212">
        <v>9.6</v>
      </c>
      <c r="G45" s="213">
        <v>0.18</v>
      </c>
      <c r="H45" s="213">
        <v>1.37</v>
      </c>
      <c r="I45" s="213">
        <v>1.26</v>
      </c>
      <c r="J45" s="214">
        <v>0.4</v>
      </c>
      <c r="K45" s="213">
        <v>0.72</v>
      </c>
      <c r="L45" s="213">
        <v>0.72</v>
      </c>
      <c r="M45" s="213">
        <v>0.72</v>
      </c>
      <c r="N45" s="213">
        <v>0.72</v>
      </c>
      <c r="P45" s="215">
        <v>2018</v>
      </c>
      <c r="Q45" s="211">
        <v>235.8</v>
      </c>
      <c r="R45" s="211">
        <v>36.5</v>
      </c>
      <c r="S45" s="211">
        <v>3.8</v>
      </c>
      <c r="T45" s="212">
        <v>0.2</v>
      </c>
      <c r="U45" s="211">
        <v>276.3</v>
      </c>
      <c r="V45" s="211">
        <v>40.5</v>
      </c>
      <c r="W45" s="211">
        <v>29.1</v>
      </c>
      <c r="X45" s="211">
        <v>10.5</v>
      </c>
    </row>
    <row r="46" spans="2:24">
      <c r="B46" s="210">
        <v>2019</v>
      </c>
      <c r="C46" s="211">
        <v>94993.1</v>
      </c>
      <c r="D46" s="211">
        <v>8057.4</v>
      </c>
      <c r="E46" s="211">
        <v>220.4</v>
      </c>
      <c r="F46" s="212">
        <v>12.6</v>
      </c>
      <c r="G46" s="213">
        <v>0.3</v>
      </c>
      <c r="H46" s="213">
        <v>0.86</v>
      </c>
      <c r="I46" s="213">
        <v>0.28999999999999998</v>
      </c>
      <c r="J46" s="214">
        <v>0.09</v>
      </c>
      <c r="K46" s="213">
        <v>0.65</v>
      </c>
      <c r="L46" s="213">
        <v>0.65</v>
      </c>
      <c r="M46" s="213">
        <v>0.65</v>
      </c>
      <c r="N46" s="213">
        <v>0.65</v>
      </c>
      <c r="P46" s="215">
        <v>2019</v>
      </c>
      <c r="Q46" s="211">
        <v>272.5</v>
      </c>
      <c r="R46" s="211">
        <v>55.5</v>
      </c>
      <c r="S46" s="211">
        <v>2.8</v>
      </c>
      <c r="T46" s="212">
        <v>0.2</v>
      </c>
      <c r="U46" s="211">
        <v>331.1</v>
      </c>
      <c r="V46" s="211">
        <v>58.6</v>
      </c>
      <c r="W46" s="211">
        <v>44.3</v>
      </c>
      <c r="X46" s="211">
        <v>13.4</v>
      </c>
    </row>
    <row r="47" spans="2:24">
      <c r="B47" s="210">
        <v>2020</v>
      </c>
      <c r="C47" s="211">
        <v>127230.9</v>
      </c>
      <c r="D47" s="211">
        <v>13208.4</v>
      </c>
      <c r="E47" s="211">
        <v>635.5</v>
      </c>
      <c r="F47" s="212">
        <v>30.9</v>
      </c>
      <c r="G47" s="213">
        <v>0.14000000000000001</v>
      </c>
      <c r="H47" s="213">
        <v>0.44</v>
      </c>
      <c r="I47" s="213">
        <v>0.23</v>
      </c>
      <c r="J47" s="214">
        <v>7.0000000000000007E-2</v>
      </c>
      <c r="K47" s="213">
        <v>0.59</v>
      </c>
      <c r="L47" s="213">
        <v>0.59</v>
      </c>
      <c r="M47" s="213">
        <v>0.59</v>
      </c>
      <c r="N47" s="213">
        <v>0.59</v>
      </c>
      <c r="P47" s="215">
        <v>2020</v>
      </c>
      <c r="Q47" s="211">
        <v>660.2</v>
      </c>
      <c r="R47" s="211">
        <v>115.3</v>
      </c>
      <c r="S47" s="211">
        <v>11</v>
      </c>
      <c r="T47" s="212">
        <v>0.6</v>
      </c>
      <c r="U47" s="211">
        <v>787.1</v>
      </c>
      <c r="V47" s="211">
        <v>126.9</v>
      </c>
      <c r="W47" s="211">
        <v>57</v>
      </c>
      <c r="X47" s="211">
        <v>7.2</v>
      </c>
    </row>
    <row r="48" spans="2:24">
      <c r="B48" s="210">
        <v>2021</v>
      </c>
      <c r="C48" s="211">
        <v>412586.5</v>
      </c>
      <c r="D48" s="211">
        <v>22091.4</v>
      </c>
      <c r="E48" s="211">
        <v>1698.8</v>
      </c>
      <c r="F48" s="212">
        <v>101</v>
      </c>
      <c r="G48" s="213">
        <v>0.04</v>
      </c>
      <c r="H48" s="213">
        <v>0.19</v>
      </c>
      <c r="I48" s="213">
        <v>0.09</v>
      </c>
      <c r="J48" s="214">
        <v>0.03</v>
      </c>
      <c r="K48" s="213">
        <v>0.69</v>
      </c>
      <c r="L48" s="213">
        <v>0.69</v>
      </c>
      <c r="M48" s="213">
        <v>0.69</v>
      </c>
      <c r="N48" s="213">
        <v>0.69</v>
      </c>
      <c r="P48" s="215">
        <v>2021</v>
      </c>
      <c r="Q48" s="211">
        <v>1621.9</v>
      </c>
      <c r="R48" s="211">
        <v>162.4</v>
      </c>
      <c r="S48" s="211">
        <v>32.9</v>
      </c>
      <c r="T48" s="212">
        <v>2.2000000000000002</v>
      </c>
      <c r="U48" s="211">
        <v>1819.4</v>
      </c>
      <c r="V48" s="211">
        <v>197.5</v>
      </c>
      <c r="W48" s="211">
        <v>42.2</v>
      </c>
      <c r="X48" s="211">
        <v>2.2999999999999998</v>
      </c>
    </row>
    <row r="49" spans="2:24">
      <c r="B49" s="210">
        <v>2022</v>
      </c>
      <c r="C49" s="211">
        <v>151084.1</v>
      </c>
      <c r="D49" s="211">
        <v>71358.8</v>
      </c>
      <c r="E49" s="211">
        <v>3299.2</v>
      </c>
      <c r="F49" s="212">
        <v>281.7</v>
      </c>
      <c r="G49" s="213">
        <v>0.08</v>
      </c>
      <c r="H49" s="213">
        <v>7.0000000000000007E-2</v>
      </c>
      <c r="I49" s="213">
        <v>0.03</v>
      </c>
      <c r="J49" s="214">
        <v>0.01</v>
      </c>
      <c r="K49" s="213">
        <v>0.79</v>
      </c>
      <c r="L49" s="213">
        <v>0.79</v>
      </c>
      <c r="M49" s="213">
        <v>0.79</v>
      </c>
      <c r="N49" s="213">
        <v>0.79</v>
      </c>
      <c r="P49" s="215">
        <v>2022</v>
      </c>
      <c r="Q49" s="211">
        <v>847.6</v>
      </c>
      <c r="R49" s="211">
        <v>487</v>
      </c>
      <c r="S49" s="211">
        <v>54.2</v>
      </c>
      <c r="T49" s="212">
        <v>6.2</v>
      </c>
      <c r="U49" s="211">
        <v>1395.1</v>
      </c>
      <c r="V49" s="211">
        <v>547.4</v>
      </c>
      <c r="W49" s="211">
        <v>40.200000000000003</v>
      </c>
      <c r="X49" s="211">
        <v>2.9</v>
      </c>
    </row>
    <row r="50" spans="2:24">
      <c r="B50" s="216">
        <v>2023</v>
      </c>
      <c r="C50" s="217">
        <v>108220.5</v>
      </c>
      <c r="D50" s="217">
        <v>22712.9</v>
      </c>
      <c r="E50" s="217">
        <v>10830</v>
      </c>
      <c r="F50" s="218">
        <v>523.4</v>
      </c>
      <c r="G50" s="219">
        <v>0.09</v>
      </c>
      <c r="H50" s="219">
        <v>0.23</v>
      </c>
      <c r="I50" s="219">
        <v>0.02</v>
      </c>
      <c r="J50" s="220">
        <v>0.01</v>
      </c>
      <c r="K50" s="219">
        <v>0.72</v>
      </c>
      <c r="L50" s="219">
        <v>0.72</v>
      </c>
      <c r="M50" s="219">
        <v>0.72</v>
      </c>
      <c r="N50" s="219">
        <v>0.72</v>
      </c>
      <c r="P50" s="221">
        <v>2023</v>
      </c>
      <c r="Q50" s="217">
        <v>591.29999999999995</v>
      </c>
      <c r="R50" s="217">
        <v>225.4</v>
      </c>
      <c r="S50" s="217">
        <v>173.3</v>
      </c>
      <c r="T50" s="218">
        <v>9.1999999999999993</v>
      </c>
      <c r="U50" s="217">
        <v>999.3</v>
      </c>
      <c r="V50" s="217">
        <v>408</v>
      </c>
      <c r="W50" s="217">
        <v>41.2</v>
      </c>
      <c r="X50" s="217">
        <v>4.0999999999999996</v>
      </c>
    </row>
  </sheetData>
  <mergeCells count="6">
    <mergeCell ref="X3:X4"/>
    <mergeCell ref="B3:B4"/>
    <mergeCell ref="P3:P4"/>
    <mergeCell ref="U3:U4"/>
    <mergeCell ref="V3:V4"/>
    <mergeCell ref="W3:W4"/>
  </mergeCells>
  <phoneticPr fontId="5"/>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DFB8-27DC-40D8-B456-694D732BA151}">
  <sheetPr codeName="Sheet43"/>
  <dimension ref="B1:X50"/>
  <sheetViews>
    <sheetView showGridLines="0" zoomScale="90" zoomScaleNormal="90" workbookViewId="0">
      <selection activeCell="I40" sqref="I40"/>
    </sheetView>
  </sheetViews>
  <sheetFormatPr defaultColWidth="11.42578125" defaultRowHeight="13.5"/>
  <cols>
    <col min="1" max="1" width="4.28515625" style="6" customWidth="1"/>
    <col min="2" max="2" width="5.7109375" style="6" customWidth="1"/>
    <col min="3" max="3" width="9.85546875" style="6" customWidth="1"/>
    <col min="4" max="5" width="8.85546875" style="6" bestFit="1" customWidth="1"/>
    <col min="6" max="6" width="7.85546875" style="6" bestFit="1" customWidth="1"/>
    <col min="7" max="7" width="7" style="6" customWidth="1"/>
    <col min="8" max="10" width="7" style="6" bestFit="1" customWidth="1"/>
    <col min="11" max="14" width="8.5703125" style="6" customWidth="1"/>
    <col min="15" max="15" width="11.42578125" style="6"/>
    <col min="16" max="16" width="5.7109375" style="6" customWidth="1"/>
    <col min="17" max="20" width="8.7109375" style="6" customWidth="1"/>
    <col min="21" max="24" width="15.42578125" style="6" customWidth="1"/>
    <col min="25" max="16384" width="11.42578125" style="6"/>
  </cols>
  <sheetData>
    <row r="1" spans="2:24">
      <c r="B1" s="197" t="s">
        <v>716</v>
      </c>
      <c r="Q1" s="87"/>
    </row>
    <row r="3" spans="2:24">
      <c r="B3" s="287" t="s">
        <v>122</v>
      </c>
      <c r="C3" s="5" t="s">
        <v>653</v>
      </c>
      <c r="D3" s="5"/>
      <c r="E3" s="5"/>
      <c r="F3" s="16"/>
      <c r="G3" s="5" t="s">
        <v>654</v>
      </c>
      <c r="H3" s="5"/>
      <c r="I3" s="5"/>
      <c r="J3" s="16"/>
      <c r="K3" s="5" t="s">
        <v>655</v>
      </c>
      <c r="L3" s="5"/>
      <c r="M3" s="5"/>
      <c r="N3" s="5"/>
      <c r="O3" s="17"/>
      <c r="P3" s="287" t="s">
        <v>656</v>
      </c>
      <c r="Q3" s="5" t="s">
        <v>657</v>
      </c>
      <c r="R3" s="5"/>
      <c r="S3" s="5"/>
      <c r="T3" s="5"/>
      <c r="U3" s="289" t="s">
        <v>658</v>
      </c>
      <c r="V3" s="286" t="s">
        <v>659</v>
      </c>
      <c r="W3" s="286" t="s">
        <v>658</v>
      </c>
      <c r="X3" s="286" t="s">
        <v>660</v>
      </c>
    </row>
    <row r="4" spans="2:24">
      <c r="B4" s="288"/>
      <c r="C4" s="10" t="s">
        <v>147</v>
      </c>
      <c r="D4" s="10" t="s">
        <v>148</v>
      </c>
      <c r="E4" s="10" t="s">
        <v>149</v>
      </c>
      <c r="F4" s="18" t="s">
        <v>150</v>
      </c>
      <c r="G4" s="10" t="s">
        <v>147</v>
      </c>
      <c r="H4" s="10" t="s">
        <v>148</v>
      </c>
      <c r="I4" s="10" t="s">
        <v>149</v>
      </c>
      <c r="J4" s="18" t="s">
        <v>150</v>
      </c>
      <c r="K4" s="10" t="s">
        <v>147</v>
      </c>
      <c r="L4" s="10" t="s">
        <v>148</v>
      </c>
      <c r="M4" s="10" t="s">
        <v>149</v>
      </c>
      <c r="N4" s="10" t="s">
        <v>150</v>
      </c>
      <c r="O4" s="8"/>
      <c r="P4" s="288"/>
      <c r="Q4" s="10" t="s">
        <v>147</v>
      </c>
      <c r="R4" s="10" t="s">
        <v>148</v>
      </c>
      <c r="S4" s="10" t="s">
        <v>149</v>
      </c>
      <c r="T4" s="10" t="s">
        <v>150</v>
      </c>
      <c r="U4" s="290"/>
      <c r="V4" s="229"/>
      <c r="W4" s="229"/>
      <c r="X4" s="229"/>
    </row>
    <row r="5" spans="2:24">
      <c r="B5" s="20">
        <v>1978</v>
      </c>
      <c r="C5" s="9">
        <v>74701.8</v>
      </c>
      <c r="D5" s="9">
        <v>19946.2</v>
      </c>
      <c r="E5" s="9">
        <v>3502</v>
      </c>
      <c r="F5" s="21">
        <v>1228.0999999999999</v>
      </c>
      <c r="G5" s="22">
        <v>0.09</v>
      </c>
      <c r="H5" s="22">
        <v>0.34</v>
      </c>
      <c r="I5" s="22">
        <v>0.23</v>
      </c>
      <c r="J5" s="23">
        <v>0.08</v>
      </c>
      <c r="K5" s="22">
        <v>0.49</v>
      </c>
      <c r="L5" s="22">
        <v>0.61</v>
      </c>
      <c r="M5" s="22">
        <v>0.76</v>
      </c>
      <c r="N5" s="22">
        <v>0.95</v>
      </c>
      <c r="P5" s="24">
        <v>1978</v>
      </c>
      <c r="Q5" s="9">
        <v>376.3</v>
      </c>
      <c r="R5" s="9">
        <v>168.5</v>
      </c>
      <c r="S5" s="9">
        <v>63.8</v>
      </c>
      <c r="T5" s="21">
        <v>31.3</v>
      </c>
      <c r="U5" s="9">
        <v>640</v>
      </c>
      <c r="V5" s="9">
        <v>263.7</v>
      </c>
      <c r="W5" s="9">
        <v>43</v>
      </c>
      <c r="X5" s="9">
        <v>6.7</v>
      </c>
    </row>
    <row r="6" spans="2:24">
      <c r="B6" s="20">
        <v>1979</v>
      </c>
      <c r="C6" s="9">
        <v>50625.599999999999</v>
      </c>
      <c r="D6" s="9">
        <v>14307.6</v>
      </c>
      <c r="E6" s="9">
        <v>2634.6</v>
      </c>
      <c r="F6" s="21">
        <v>445.5</v>
      </c>
      <c r="G6" s="22">
        <v>0.27</v>
      </c>
      <c r="H6" s="22">
        <v>0.25</v>
      </c>
      <c r="I6" s="22">
        <v>0.27</v>
      </c>
      <c r="J6" s="23">
        <v>0.09</v>
      </c>
      <c r="K6" s="22">
        <v>0.31</v>
      </c>
      <c r="L6" s="22">
        <v>0.38</v>
      </c>
      <c r="M6" s="22">
        <v>0.48</v>
      </c>
      <c r="N6" s="22">
        <v>0.6</v>
      </c>
      <c r="P6" s="24">
        <v>1979</v>
      </c>
      <c r="Q6" s="9">
        <v>256</v>
      </c>
      <c r="R6" s="9">
        <v>192.9</v>
      </c>
      <c r="S6" s="9">
        <v>52.2</v>
      </c>
      <c r="T6" s="21">
        <v>10.7</v>
      </c>
      <c r="U6" s="9">
        <v>511.8</v>
      </c>
      <c r="V6" s="9">
        <v>255.8</v>
      </c>
      <c r="W6" s="9">
        <v>57.4</v>
      </c>
      <c r="X6" s="9">
        <v>11.2</v>
      </c>
    </row>
    <row r="7" spans="2:24">
      <c r="B7" s="20">
        <v>1980</v>
      </c>
      <c r="C7" s="9">
        <v>22459.7</v>
      </c>
      <c r="D7" s="9">
        <v>9737.7000000000007</v>
      </c>
      <c r="E7" s="9">
        <v>2603</v>
      </c>
      <c r="F7" s="21">
        <v>429.5</v>
      </c>
      <c r="G7" s="22">
        <v>0.37</v>
      </c>
      <c r="H7" s="22">
        <v>1.26</v>
      </c>
      <c r="I7" s="22">
        <v>0.56000000000000005</v>
      </c>
      <c r="J7" s="23">
        <v>0.19</v>
      </c>
      <c r="K7" s="22">
        <v>0.19</v>
      </c>
      <c r="L7" s="22">
        <v>0.24</v>
      </c>
      <c r="M7" s="22">
        <v>0.3</v>
      </c>
      <c r="N7" s="22">
        <v>0.37</v>
      </c>
      <c r="P7" s="24">
        <v>1980</v>
      </c>
      <c r="Q7" s="9">
        <v>126.8</v>
      </c>
      <c r="R7" s="9">
        <v>92.5</v>
      </c>
      <c r="S7" s="9">
        <v>45.3</v>
      </c>
      <c r="T7" s="21">
        <v>9.6999999999999993</v>
      </c>
      <c r="U7" s="9">
        <v>274.3</v>
      </c>
      <c r="V7" s="9">
        <v>147.5</v>
      </c>
      <c r="W7" s="9">
        <v>66</v>
      </c>
      <c r="X7" s="9">
        <v>24</v>
      </c>
    </row>
    <row r="8" spans="2:24">
      <c r="B8" s="20">
        <v>1981</v>
      </c>
      <c r="C8" s="9">
        <v>33995.9</v>
      </c>
      <c r="D8" s="9">
        <v>4392.3999999999996</v>
      </c>
      <c r="E8" s="9">
        <v>749.9</v>
      </c>
      <c r="F8" s="21">
        <v>381</v>
      </c>
      <c r="G8" s="22">
        <v>0.46</v>
      </c>
      <c r="H8" s="22">
        <v>1.04</v>
      </c>
      <c r="I8" s="22">
        <v>1.1000000000000001</v>
      </c>
      <c r="J8" s="23">
        <v>0.38</v>
      </c>
      <c r="K8" s="22">
        <v>0.19</v>
      </c>
      <c r="L8" s="22">
        <v>0.24</v>
      </c>
      <c r="M8" s="22">
        <v>0.3</v>
      </c>
      <c r="N8" s="22">
        <v>0.38</v>
      </c>
      <c r="P8" s="24">
        <v>1981</v>
      </c>
      <c r="Q8" s="9">
        <v>145.30000000000001</v>
      </c>
      <c r="R8" s="9">
        <v>45.8</v>
      </c>
      <c r="S8" s="9">
        <v>15.9</v>
      </c>
      <c r="T8" s="21">
        <v>10.5</v>
      </c>
      <c r="U8" s="9">
        <v>217.5</v>
      </c>
      <c r="V8" s="9">
        <v>72.2</v>
      </c>
      <c r="W8" s="9">
        <v>50.6</v>
      </c>
      <c r="X8" s="9">
        <v>23.3</v>
      </c>
    </row>
    <row r="9" spans="2:24">
      <c r="B9" s="20">
        <v>1982</v>
      </c>
      <c r="C9" s="9">
        <v>37649.5</v>
      </c>
      <c r="D9" s="9">
        <v>6085.4</v>
      </c>
      <c r="E9" s="9">
        <v>416</v>
      </c>
      <c r="F9" s="21">
        <v>63.1</v>
      </c>
      <c r="G9" s="22">
        <v>0.57999999999999996</v>
      </c>
      <c r="H9" s="22">
        <v>0.71</v>
      </c>
      <c r="I9" s="22">
        <v>0.6</v>
      </c>
      <c r="J9" s="23">
        <v>0.21</v>
      </c>
      <c r="K9" s="22">
        <v>0.19</v>
      </c>
      <c r="L9" s="22">
        <v>0.23</v>
      </c>
      <c r="M9" s="22">
        <v>0.28999999999999998</v>
      </c>
      <c r="N9" s="22">
        <v>0.36</v>
      </c>
      <c r="P9" s="24">
        <v>1982</v>
      </c>
      <c r="Q9" s="9">
        <v>132.5</v>
      </c>
      <c r="R9" s="9">
        <v>55.3</v>
      </c>
      <c r="S9" s="9">
        <v>7.7</v>
      </c>
      <c r="T9" s="21">
        <v>1.6</v>
      </c>
      <c r="U9" s="9">
        <v>197.1</v>
      </c>
      <c r="V9" s="9">
        <v>64.5</v>
      </c>
      <c r="W9" s="9">
        <v>47.5</v>
      </c>
      <c r="X9" s="9">
        <v>24.1</v>
      </c>
    </row>
    <row r="10" spans="2:24">
      <c r="B10" s="20">
        <v>1983</v>
      </c>
      <c r="C10" s="9">
        <v>60918.9</v>
      </c>
      <c r="D10" s="9">
        <v>6015.7</v>
      </c>
      <c r="E10" s="9">
        <v>813.8</v>
      </c>
      <c r="F10" s="21">
        <v>58.3</v>
      </c>
      <c r="G10" s="22">
        <v>0.26</v>
      </c>
      <c r="H10" s="22">
        <v>1.1499999999999999</v>
      </c>
      <c r="I10" s="22">
        <v>0.5</v>
      </c>
      <c r="J10" s="23">
        <v>0.17</v>
      </c>
      <c r="K10" s="22">
        <v>0.15</v>
      </c>
      <c r="L10" s="22">
        <v>0.19</v>
      </c>
      <c r="M10" s="22">
        <v>0.24</v>
      </c>
      <c r="N10" s="22">
        <v>0.3</v>
      </c>
      <c r="P10" s="24">
        <v>1983</v>
      </c>
      <c r="Q10" s="9">
        <v>258.10000000000002</v>
      </c>
      <c r="R10" s="9">
        <v>56</v>
      </c>
      <c r="S10" s="9">
        <v>13</v>
      </c>
      <c r="T10" s="21">
        <v>1.2</v>
      </c>
      <c r="U10" s="9">
        <v>328.4</v>
      </c>
      <c r="V10" s="9">
        <v>70.3</v>
      </c>
      <c r="W10" s="9">
        <v>55.2</v>
      </c>
      <c r="X10" s="9">
        <v>16.8</v>
      </c>
    </row>
    <row r="11" spans="2:24">
      <c r="B11" s="20">
        <v>1984</v>
      </c>
      <c r="C11" s="9">
        <v>55287.1</v>
      </c>
      <c r="D11" s="9">
        <v>13807</v>
      </c>
      <c r="E11" s="9">
        <v>540</v>
      </c>
      <c r="F11" s="21">
        <v>133.19999999999999</v>
      </c>
      <c r="G11" s="22">
        <v>0.59</v>
      </c>
      <c r="H11" s="22">
        <v>2.29</v>
      </c>
      <c r="I11" s="22">
        <v>2.02</v>
      </c>
      <c r="J11" s="23">
        <v>0.7</v>
      </c>
      <c r="K11" s="22">
        <v>0.18</v>
      </c>
      <c r="L11" s="22">
        <v>0.23</v>
      </c>
      <c r="M11" s="22">
        <v>0.28999999999999998</v>
      </c>
      <c r="N11" s="22">
        <v>0.36</v>
      </c>
      <c r="P11" s="24">
        <v>1984</v>
      </c>
      <c r="Q11" s="9">
        <v>183.6</v>
      </c>
      <c r="R11" s="9">
        <v>87.9</v>
      </c>
      <c r="S11" s="9">
        <v>9.6999999999999993</v>
      </c>
      <c r="T11" s="21">
        <v>3.5</v>
      </c>
      <c r="U11" s="9">
        <v>284.7</v>
      </c>
      <c r="V11" s="9">
        <v>101.1</v>
      </c>
      <c r="W11" s="9">
        <v>90</v>
      </c>
      <c r="X11" s="9">
        <v>31.6</v>
      </c>
    </row>
    <row r="12" spans="2:24">
      <c r="B12" s="20">
        <v>1985</v>
      </c>
      <c r="C12" s="9">
        <v>59788.7</v>
      </c>
      <c r="D12" s="9">
        <v>8743.7000000000007</v>
      </c>
      <c r="E12" s="9">
        <v>381.6</v>
      </c>
      <c r="F12" s="21">
        <v>18.399999999999999</v>
      </c>
      <c r="G12" s="22">
        <v>0.28000000000000003</v>
      </c>
      <c r="H12" s="22">
        <v>1.31</v>
      </c>
      <c r="I12" s="22">
        <v>0.84</v>
      </c>
      <c r="J12" s="23">
        <v>0.28999999999999998</v>
      </c>
      <c r="K12" s="22">
        <v>0.18</v>
      </c>
      <c r="L12" s="22">
        <v>0.22</v>
      </c>
      <c r="M12" s="22">
        <v>0.28000000000000003</v>
      </c>
      <c r="N12" s="22">
        <v>0.35</v>
      </c>
      <c r="P12" s="24">
        <v>1985</v>
      </c>
      <c r="Q12" s="9">
        <v>261.10000000000002</v>
      </c>
      <c r="R12" s="9">
        <v>66</v>
      </c>
      <c r="S12" s="9">
        <v>5.9</v>
      </c>
      <c r="T12" s="21">
        <v>0.3</v>
      </c>
      <c r="U12" s="9">
        <v>333.3</v>
      </c>
      <c r="V12" s="9">
        <v>72.2</v>
      </c>
      <c r="W12" s="9">
        <v>61.4</v>
      </c>
      <c r="X12" s="9">
        <v>18.399999999999999</v>
      </c>
    </row>
    <row r="13" spans="2:24">
      <c r="B13" s="20">
        <v>1986</v>
      </c>
      <c r="C13" s="9">
        <v>70776.399999999994</v>
      </c>
      <c r="D13" s="9">
        <v>12883</v>
      </c>
      <c r="E13" s="9">
        <v>647.20000000000005</v>
      </c>
      <c r="F13" s="21">
        <v>42.6</v>
      </c>
      <c r="G13" s="22">
        <v>0.18</v>
      </c>
      <c r="H13" s="22">
        <v>0.76</v>
      </c>
      <c r="I13" s="22">
        <v>0.8</v>
      </c>
      <c r="J13" s="23">
        <v>0.28000000000000003</v>
      </c>
      <c r="K13" s="22">
        <v>0.13</v>
      </c>
      <c r="L13" s="22">
        <v>0.16</v>
      </c>
      <c r="M13" s="22">
        <v>0.2</v>
      </c>
      <c r="N13" s="22">
        <v>0.25</v>
      </c>
      <c r="P13" s="24">
        <v>1986</v>
      </c>
      <c r="Q13" s="9">
        <v>342.9</v>
      </c>
      <c r="R13" s="9">
        <v>112.7</v>
      </c>
      <c r="S13" s="9">
        <v>8.1</v>
      </c>
      <c r="T13" s="21">
        <v>1.2</v>
      </c>
      <c r="U13" s="9">
        <v>464.9</v>
      </c>
      <c r="V13" s="9">
        <v>122</v>
      </c>
      <c r="W13" s="9">
        <v>66.099999999999994</v>
      </c>
      <c r="X13" s="9">
        <v>14.2</v>
      </c>
    </row>
    <row r="14" spans="2:24">
      <c r="B14" s="20">
        <v>1987</v>
      </c>
      <c r="C14" s="9">
        <v>48100.1</v>
      </c>
      <c r="D14" s="9">
        <v>17786.8</v>
      </c>
      <c r="E14" s="9">
        <v>1758.2</v>
      </c>
      <c r="F14" s="21">
        <v>81.599999999999994</v>
      </c>
      <c r="G14" s="22">
        <v>0.15</v>
      </c>
      <c r="H14" s="22">
        <v>0.52</v>
      </c>
      <c r="I14" s="22">
        <v>0.25</v>
      </c>
      <c r="J14" s="23">
        <v>0.09</v>
      </c>
      <c r="K14" s="22">
        <v>0.09</v>
      </c>
      <c r="L14" s="22">
        <v>0.11</v>
      </c>
      <c r="M14" s="22">
        <v>0.13</v>
      </c>
      <c r="N14" s="22">
        <v>0.17</v>
      </c>
      <c r="P14" s="24">
        <v>1987</v>
      </c>
      <c r="Q14" s="9">
        <v>287.10000000000002</v>
      </c>
      <c r="R14" s="9">
        <v>164.1</v>
      </c>
      <c r="S14" s="9">
        <v>25.1</v>
      </c>
      <c r="T14" s="21">
        <v>1.9</v>
      </c>
      <c r="U14" s="9">
        <v>478.2</v>
      </c>
      <c r="V14" s="9">
        <v>191.1</v>
      </c>
      <c r="W14" s="9">
        <v>62.7</v>
      </c>
      <c r="X14" s="9">
        <v>13.1</v>
      </c>
    </row>
    <row r="15" spans="2:24">
      <c r="B15" s="20">
        <v>1988</v>
      </c>
      <c r="C15" s="9">
        <v>113158.39999999999</v>
      </c>
      <c r="D15" s="9">
        <v>12988.7</v>
      </c>
      <c r="E15" s="9">
        <v>3252.7</v>
      </c>
      <c r="F15" s="21">
        <v>409.3</v>
      </c>
      <c r="G15" s="22">
        <v>0.13</v>
      </c>
      <c r="H15" s="22">
        <v>0.61</v>
      </c>
      <c r="I15" s="22">
        <v>0.19</v>
      </c>
      <c r="J15" s="23">
        <v>7.0000000000000007E-2</v>
      </c>
      <c r="K15" s="22">
        <v>0.05</v>
      </c>
      <c r="L15" s="22">
        <v>0.06</v>
      </c>
      <c r="M15" s="22">
        <v>7.0000000000000007E-2</v>
      </c>
      <c r="N15" s="22">
        <v>0.09</v>
      </c>
      <c r="P15" s="24">
        <v>1988</v>
      </c>
      <c r="Q15" s="9">
        <v>398.3</v>
      </c>
      <c r="R15" s="9">
        <v>133.80000000000001</v>
      </c>
      <c r="S15" s="9">
        <v>52.4</v>
      </c>
      <c r="T15" s="21">
        <v>8.9</v>
      </c>
      <c r="U15" s="9">
        <v>593.4</v>
      </c>
      <c r="V15" s="9">
        <v>195.1</v>
      </c>
      <c r="W15" s="9">
        <v>68.099999999999994</v>
      </c>
      <c r="X15" s="9">
        <v>11.5</v>
      </c>
    </row>
    <row r="16" spans="2:24">
      <c r="B16" s="20">
        <v>1989</v>
      </c>
      <c r="C16" s="9">
        <v>171704</v>
      </c>
      <c r="D16" s="9">
        <v>32438.400000000001</v>
      </c>
      <c r="E16" s="9">
        <v>2268.9</v>
      </c>
      <c r="F16" s="21">
        <v>855.3</v>
      </c>
      <c r="G16" s="22">
        <v>0.06</v>
      </c>
      <c r="H16" s="22">
        <v>0.21</v>
      </c>
      <c r="I16" s="22">
        <v>0.4</v>
      </c>
      <c r="J16" s="23">
        <v>0.14000000000000001</v>
      </c>
      <c r="K16" s="22">
        <v>0.03</v>
      </c>
      <c r="L16" s="22">
        <v>0.03</v>
      </c>
      <c r="M16" s="22">
        <v>0.04</v>
      </c>
      <c r="N16" s="22">
        <v>0.05</v>
      </c>
      <c r="P16" s="24">
        <v>1989</v>
      </c>
      <c r="Q16" s="9">
        <v>983.8</v>
      </c>
      <c r="R16" s="9">
        <v>388.8</v>
      </c>
      <c r="S16" s="9">
        <v>46</v>
      </c>
      <c r="T16" s="21">
        <v>24.1</v>
      </c>
      <c r="U16" s="9">
        <v>1442.6</v>
      </c>
      <c r="V16" s="9">
        <v>458.8</v>
      </c>
      <c r="W16" s="9">
        <v>87.8</v>
      </c>
      <c r="X16" s="9">
        <v>6.1</v>
      </c>
    </row>
    <row r="17" spans="2:24">
      <c r="B17" s="20">
        <v>1990</v>
      </c>
      <c r="C17" s="9">
        <v>160620.70000000001</v>
      </c>
      <c r="D17" s="9">
        <v>53741.7</v>
      </c>
      <c r="E17" s="9">
        <v>8746.7000000000007</v>
      </c>
      <c r="F17" s="21">
        <v>500.6</v>
      </c>
      <c r="G17" s="22">
        <v>0.06</v>
      </c>
      <c r="H17" s="22">
        <v>0.33</v>
      </c>
      <c r="I17" s="22">
        <v>0.47</v>
      </c>
      <c r="J17" s="23">
        <v>0.16</v>
      </c>
      <c r="K17" s="22">
        <v>0.02</v>
      </c>
      <c r="L17" s="22">
        <v>0.03</v>
      </c>
      <c r="M17" s="22">
        <v>0.04</v>
      </c>
      <c r="N17" s="22">
        <v>0.05</v>
      </c>
      <c r="P17" s="24">
        <v>1990</v>
      </c>
      <c r="Q17" s="9">
        <v>1517.7</v>
      </c>
      <c r="R17" s="9">
        <v>815.1</v>
      </c>
      <c r="S17" s="9">
        <v>155.1</v>
      </c>
      <c r="T17" s="21">
        <v>11.3</v>
      </c>
      <c r="U17" s="9">
        <v>2499.1999999999998</v>
      </c>
      <c r="V17" s="9">
        <v>981.5</v>
      </c>
      <c r="W17" s="9">
        <v>215.9</v>
      </c>
      <c r="X17" s="9">
        <v>8.6</v>
      </c>
    </row>
    <row r="18" spans="2:24">
      <c r="B18" s="20">
        <v>1991</v>
      </c>
      <c r="C18" s="9">
        <v>125164.6</v>
      </c>
      <c r="D18" s="9">
        <v>50636</v>
      </c>
      <c r="E18" s="9">
        <v>12854.5</v>
      </c>
      <c r="F18" s="21">
        <v>1798.7</v>
      </c>
      <c r="G18" s="22">
        <v>7.0000000000000007E-2</v>
      </c>
      <c r="H18" s="22">
        <v>0.28000000000000003</v>
      </c>
      <c r="I18" s="22">
        <v>0.48</v>
      </c>
      <c r="J18" s="23">
        <v>0.17</v>
      </c>
      <c r="K18" s="22">
        <v>0.04</v>
      </c>
      <c r="L18" s="22">
        <v>0.05</v>
      </c>
      <c r="M18" s="22">
        <v>0.06</v>
      </c>
      <c r="N18" s="22">
        <v>7.0000000000000007E-2</v>
      </c>
      <c r="P18" s="24">
        <v>1991</v>
      </c>
      <c r="Q18" s="9">
        <v>851.6</v>
      </c>
      <c r="R18" s="9">
        <v>780</v>
      </c>
      <c r="S18" s="9">
        <v>256.89999999999998</v>
      </c>
      <c r="T18" s="21">
        <v>41.4</v>
      </c>
      <c r="U18" s="9">
        <v>1929.9</v>
      </c>
      <c r="V18" s="9">
        <v>1078.3</v>
      </c>
      <c r="W18" s="9">
        <v>202.3</v>
      </c>
      <c r="X18" s="9">
        <v>10.5</v>
      </c>
    </row>
    <row r="19" spans="2:24">
      <c r="B19" s="20">
        <v>1992</v>
      </c>
      <c r="C19" s="9">
        <v>141624.1</v>
      </c>
      <c r="D19" s="9">
        <v>38436.400000000001</v>
      </c>
      <c r="E19" s="9">
        <v>12487.5</v>
      </c>
      <c r="F19" s="21">
        <v>2571.4</v>
      </c>
      <c r="G19" s="22">
        <v>0.06</v>
      </c>
      <c r="H19" s="22">
        <v>0.27</v>
      </c>
      <c r="I19" s="22">
        <v>0.69</v>
      </c>
      <c r="J19" s="23">
        <v>0.24</v>
      </c>
      <c r="K19" s="22">
        <v>0.08</v>
      </c>
      <c r="L19" s="22">
        <v>0.1</v>
      </c>
      <c r="M19" s="22">
        <v>0.12</v>
      </c>
      <c r="N19" s="22">
        <v>0.15</v>
      </c>
      <c r="P19" s="24">
        <v>1992</v>
      </c>
      <c r="Q19" s="9">
        <v>935.4</v>
      </c>
      <c r="R19" s="9">
        <v>546</v>
      </c>
      <c r="S19" s="9">
        <v>251</v>
      </c>
      <c r="T19" s="21">
        <v>57.9</v>
      </c>
      <c r="U19" s="9">
        <v>1790.3</v>
      </c>
      <c r="V19" s="9">
        <v>854.9</v>
      </c>
      <c r="W19" s="9">
        <v>178.3</v>
      </c>
      <c r="X19" s="9">
        <v>10</v>
      </c>
    </row>
    <row r="20" spans="2:24">
      <c r="B20" s="20">
        <v>1993</v>
      </c>
      <c r="C20" s="9">
        <v>107498.3</v>
      </c>
      <c r="D20" s="9">
        <v>42424.4</v>
      </c>
      <c r="E20" s="9">
        <v>9097.2999999999993</v>
      </c>
      <c r="F20" s="21">
        <v>1907.4</v>
      </c>
      <c r="G20" s="22">
        <v>0.09</v>
      </c>
      <c r="H20" s="22">
        <v>0.17</v>
      </c>
      <c r="I20" s="22">
        <v>0.27</v>
      </c>
      <c r="J20" s="23">
        <v>0.09</v>
      </c>
      <c r="K20" s="22">
        <v>0.05</v>
      </c>
      <c r="L20" s="22">
        <v>7.0000000000000007E-2</v>
      </c>
      <c r="M20" s="22">
        <v>0.08</v>
      </c>
      <c r="N20" s="22">
        <v>0.1</v>
      </c>
      <c r="P20" s="24">
        <v>1993</v>
      </c>
      <c r="Q20" s="9">
        <v>569.5</v>
      </c>
      <c r="R20" s="9">
        <v>557.4</v>
      </c>
      <c r="S20" s="9">
        <v>170</v>
      </c>
      <c r="T20" s="21">
        <v>43</v>
      </c>
      <c r="U20" s="9">
        <v>1339.9</v>
      </c>
      <c r="V20" s="9">
        <v>770.4</v>
      </c>
      <c r="W20" s="9">
        <v>100.5</v>
      </c>
      <c r="X20" s="9">
        <v>7.5</v>
      </c>
    </row>
    <row r="21" spans="2:24">
      <c r="B21" s="20">
        <v>1994</v>
      </c>
      <c r="C21" s="9">
        <v>104567</v>
      </c>
      <c r="D21" s="9">
        <v>32040.2</v>
      </c>
      <c r="E21" s="9">
        <v>11523.6</v>
      </c>
      <c r="F21" s="21">
        <v>2181.1999999999998</v>
      </c>
      <c r="G21" s="22">
        <v>0.06</v>
      </c>
      <c r="H21" s="22">
        <v>0.25</v>
      </c>
      <c r="I21" s="22">
        <v>0.24</v>
      </c>
      <c r="J21" s="23">
        <v>0.08</v>
      </c>
      <c r="K21" s="22">
        <v>0.03</v>
      </c>
      <c r="L21" s="22">
        <v>0.04</v>
      </c>
      <c r="M21" s="22">
        <v>0.05</v>
      </c>
      <c r="N21" s="22">
        <v>0.06</v>
      </c>
      <c r="P21" s="24">
        <v>1994</v>
      </c>
      <c r="Q21" s="9">
        <v>599.1</v>
      </c>
      <c r="R21" s="9">
        <v>483.8</v>
      </c>
      <c r="S21" s="9">
        <v>226</v>
      </c>
      <c r="T21" s="21">
        <v>54.4</v>
      </c>
      <c r="U21" s="9">
        <v>1363.3</v>
      </c>
      <c r="V21" s="9">
        <v>764.2</v>
      </c>
      <c r="W21" s="9">
        <v>110.4</v>
      </c>
      <c r="X21" s="9">
        <v>8.1</v>
      </c>
    </row>
    <row r="22" spans="2:24">
      <c r="B22" s="20">
        <v>1995</v>
      </c>
      <c r="C22" s="9">
        <v>84158.1</v>
      </c>
      <c r="D22" s="9">
        <v>32762.7</v>
      </c>
      <c r="E22" s="9">
        <v>8205.7999999999993</v>
      </c>
      <c r="F22" s="21">
        <v>2965.8</v>
      </c>
      <c r="G22" s="22">
        <v>7.0000000000000007E-2</v>
      </c>
      <c r="H22" s="22">
        <v>0.28000000000000003</v>
      </c>
      <c r="I22" s="22">
        <v>0.53</v>
      </c>
      <c r="J22" s="23">
        <v>0.18</v>
      </c>
      <c r="K22" s="22">
        <v>0.06</v>
      </c>
      <c r="L22" s="22">
        <v>7.0000000000000007E-2</v>
      </c>
      <c r="M22" s="22">
        <v>0.09</v>
      </c>
      <c r="N22" s="22">
        <v>0.12</v>
      </c>
      <c r="P22" s="24">
        <v>1995</v>
      </c>
      <c r="Q22" s="9">
        <v>538.79999999999995</v>
      </c>
      <c r="R22" s="9">
        <v>523.6</v>
      </c>
      <c r="S22" s="9">
        <v>180.6</v>
      </c>
      <c r="T22" s="21">
        <v>80.7</v>
      </c>
      <c r="U22" s="9">
        <v>1323.8</v>
      </c>
      <c r="V22" s="9">
        <v>784.9</v>
      </c>
      <c r="W22" s="9">
        <v>141.69999999999999</v>
      </c>
      <c r="X22" s="9">
        <v>10.7</v>
      </c>
    </row>
    <row r="23" spans="2:24">
      <c r="B23" s="20">
        <v>1996</v>
      </c>
      <c r="C23" s="9">
        <v>124645.4</v>
      </c>
      <c r="D23" s="9">
        <v>25319.8</v>
      </c>
      <c r="E23" s="9">
        <v>7868.4</v>
      </c>
      <c r="F23" s="21">
        <v>1513.8</v>
      </c>
      <c r="G23" s="22">
        <v>0.08</v>
      </c>
      <c r="H23" s="22">
        <v>0.61</v>
      </c>
      <c r="I23" s="22">
        <v>1.1200000000000001</v>
      </c>
      <c r="J23" s="23">
        <v>0.39</v>
      </c>
      <c r="K23" s="22">
        <v>0.1</v>
      </c>
      <c r="L23" s="22">
        <v>0.12</v>
      </c>
      <c r="M23" s="22">
        <v>0.15</v>
      </c>
      <c r="N23" s="22">
        <v>0.19</v>
      </c>
      <c r="P23" s="24">
        <v>1996</v>
      </c>
      <c r="Q23" s="9">
        <v>941.9</v>
      </c>
      <c r="R23" s="9">
        <v>399</v>
      </c>
      <c r="S23" s="9">
        <v>163.1</v>
      </c>
      <c r="T23" s="21">
        <v>37.6</v>
      </c>
      <c r="U23" s="9">
        <v>1541.6</v>
      </c>
      <c r="V23" s="9">
        <v>599.70000000000005</v>
      </c>
      <c r="W23" s="9">
        <v>207.9</v>
      </c>
      <c r="X23" s="9">
        <v>13.5</v>
      </c>
    </row>
    <row r="24" spans="2:24">
      <c r="B24" s="20">
        <v>1997</v>
      </c>
      <c r="C24" s="9">
        <v>183868.3</v>
      </c>
      <c r="D24" s="9">
        <v>35599</v>
      </c>
      <c r="E24" s="9">
        <v>4173.7</v>
      </c>
      <c r="F24" s="21">
        <v>753.4</v>
      </c>
      <c r="G24" s="22">
        <v>0.04</v>
      </c>
      <c r="H24" s="22">
        <v>0.19</v>
      </c>
      <c r="I24" s="22">
        <v>1.02</v>
      </c>
      <c r="J24" s="23">
        <v>0.35</v>
      </c>
      <c r="K24" s="22">
        <v>7.0000000000000007E-2</v>
      </c>
      <c r="L24" s="22">
        <v>0.09</v>
      </c>
      <c r="M24" s="22">
        <v>0.11</v>
      </c>
      <c r="N24" s="22">
        <v>0.14000000000000001</v>
      </c>
      <c r="P24" s="24">
        <v>1997</v>
      </c>
      <c r="Q24" s="9">
        <v>1685.7</v>
      </c>
      <c r="R24" s="9">
        <v>584.4</v>
      </c>
      <c r="S24" s="9">
        <v>91.8</v>
      </c>
      <c r="T24" s="21">
        <v>19.100000000000001</v>
      </c>
      <c r="U24" s="9">
        <v>2381</v>
      </c>
      <c r="V24" s="9">
        <v>695.3</v>
      </c>
      <c r="W24" s="9">
        <v>134.5</v>
      </c>
      <c r="X24" s="9">
        <v>5.6</v>
      </c>
    </row>
    <row r="25" spans="2:24">
      <c r="B25" s="20">
        <v>1998</v>
      </c>
      <c r="C25" s="9">
        <v>253612.6</v>
      </c>
      <c r="D25" s="9">
        <v>56116.800000000003</v>
      </c>
      <c r="E25" s="9">
        <v>9182.6</v>
      </c>
      <c r="F25" s="21">
        <v>460.1</v>
      </c>
      <c r="G25" s="22">
        <v>0.06</v>
      </c>
      <c r="H25" s="22">
        <v>0.46</v>
      </c>
      <c r="I25" s="22">
        <v>0.81</v>
      </c>
      <c r="J25" s="23">
        <v>0.28000000000000003</v>
      </c>
      <c r="K25" s="22">
        <v>0.05</v>
      </c>
      <c r="L25" s="22">
        <v>7.0000000000000007E-2</v>
      </c>
      <c r="M25" s="22">
        <v>0.08</v>
      </c>
      <c r="N25" s="22">
        <v>0.1</v>
      </c>
      <c r="P25" s="24">
        <v>1998</v>
      </c>
      <c r="Q25" s="9">
        <v>2256.8000000000002</v>
      </c>
      <c r="R25" s="9">
        <v>899.4</v>
      </c>
      <c r="S25" s="9">
        <v>165.9</v>
      </c>
      <c r="T25" s="21">
        <v>9.9</v>
      </c>
      <c r="U25" s="9">
        <v>3332</v>
      </c>
      <c r="V25" s="9">
        <v>1075.2</v>
      </c>
      <c r="W25" s="9">
        <v>319.39999999999998</v>
      </c>
      <c r="X25" s="9">
        <v>9.6</v>
      </c>
    </row>
    <row r="26" spans="2:24">
      <c r="B26" s="20">
        <v>1999</v>
      </c>
      <c r="C26" s="9">
        <v>166708.6</v>
      </c>
      <c r="D26" s="9">
        <v>77361.2</v>
      </c>
      <c r="E26" s="9">
        <v>11337.6</v>
      </c>
      <c r="F26" s="21">
        <v>1288.0999999999999</v>
      </c>
      <c r="G26" s="22">
        <v>0.08</v>
      </c>
      <c r="H26" s="22">
        <v>0.39</v>
      </c>
      <c r="I26" s="22">
        <v>0.78</v>
      </c>
      <c r="J26" s="23">
        <v>0.27</v>
      </c>
      <c r="K26" s="22">
        <v>0.06</v>
      </c>
      <c r="L26" s="22">
        <v>7.0000000000000007E-2</v>
      </c>
      <c r="M26" s="22">
        <v>0.09</v>
      </c>
      <c r="N26" s="22">
        <v>0.12</v>
      </c>
      <c r="P26" s="24">
        <v>1999</v>
      </c>
      <c r="Q26" s="9">
        <v>1367.3</v>
      </c>
      <c r="R26" s="9">
        <v>1062.8</v>
      </c>
      <c r="S26" s="9">
        <v>218.6</v>
      </c>
      <c r="T26" s="21">
        <v>30.7</v>
      </c>
      <c r="U26" s="9">
        <v>2679.4</v>
      </c>
      <c r="V26" s="9">
        <v>1312.1</v>
      </c>
      <c r="W26" s="9">
        <v>328</v>
      </c>
      <c r="X26" s="9">
        <v>12.2</v>
      </c>
    </row>
    <row r="27" spans="2:24">
      <c r="B27" s="20">
        <v>2000</v>
      </c>
      <c r="C27" s="9">
        <v>156807.79999999999</v>
      </c>
      <c r="D27" s="9">
        <v>49499.7</v>
      </c>
      <c r="E27" s="9">
        <v>16607.599999999999</v>
      </c>
      <c r="F27" s="21">
        <v>1627.8</v>
      </c>
      <c r="G27" s="22">
        <v>0.05</v>
      </c>
      <c r="H27" s="22">
        <v>0.27</v>
      </c>
      <c r="I27" s="22">
        <v>0.46</v>
      </c>
      <c r="J27" s="23">
        <v>0.16</v>
      </c>
      <c r="K27" s="22">
        <v>0.05</v>
      </c>
      <c r="L27" s="22">
        <v>7.0000000000000007E-2</v>
      </c>
      <c r="M27" s="22">
        <v>0.09</v>
      </c>
      <c r="N27" s="22">
        <v>0.11</v>
      </c>
      <c r="P27" s="24">
        <v>2000</v>
      </c>
      <c r="Q27" s="9">
        <v>1164.4000000000001</v>
      </c>
      <c r="R27" s="9">
        <v>859.6</v>
      </c>
      <c r="S27" s="9">
        <v>325.2</v>
      </c>
      <c r="T27" s="21">
        <v>39.4</v>
      </c>
      <c r="U27" s="9">
        <v>2388.6</v>
      </c>
      <c r="V27" s="9">
        <v>1224.2</v>
      </c>
      <c r="W27" s="9">
        <v>213.1</v>
      </c>
      <c r="X27" s="9">
        <v>8.9</v>
      </c>
    </row>
    <row r="28" spans="2:24">
      <c r="B28" s="20">
        <v>2001</v>
      </c>
      <c r="C28" s="9">
        <v>240244.6</v>
      </c>
      <c r="D28" s="9">
        <v>48618</v>
      </c>
      <c r="E28" s="9">
        <v>12142.6</v>
      </c>
      <c r="F28" s="21">
        <v>3302.9</v>
      </c>
      <c r="G28" s="22">
        <v>0.02</v>
      </c>
      <c r="H28" s="22">
        <v>0.28000000000000003</v>
      </c>
      <c r="I28" s="22">
        <v>0.59</v>
      </c>
      <c r="J28" s="23">
        <v>0.2</v>
      </c>
      <c r="K28" s="22">
        <v>0.05</v>
      </c>
      <c r="L28" s="22">
        <v>7.0000000000000007E-2</v>
      </c>
      <c r="M28" s="22">
        <v>0.08</v>
      </c>
      <c r="N28" s="22">
        <v>0.1</v>
      </c>
      <c r="P28" s="24">
        <v>2001</v>
      </c>
      <c r="Q28" s="9">
        <v>1731.9</v>
      </c>
      <c r="R28" s="9">
        <v>752.5</v>
      </c>
      <c r="S28" s="9">
        <v>262</v>
      </c>
      <c r="T28" s="21">
        <v>83.4</v>
      </c>
      <c r="U28" s="9">
        <v>2829.8</v>
      </c>
      <c r="V28" s="9">
        <v>1097.9000000000001</v>
      </c>
      <c r="W28" s="9">
        <v>197.9</v>
      </c>
      <c r="X28" s="9">
        <v>7</v>
      </c>
    </row>
    <row r="29" spans="2:24">
      <c r="B29" s="20">
        <v>2002</v>
      </c>
      <c r="C29" s="9">
        <v>247344.1</v>
      </c>
      <c r="D29" s="9">
        <v>76652.3</v>
      </c>
      <c r="E29" s="9">
        <v>11742.2</v>
      </c>
      <c r="F29" s="21">
        <v>2116.8000000000002</v>
      </c>
      <c r="G29" s="22">
        <v>0.04</v>
      </c>
      <c r="H29" s="22">
        <v>0.46</v>
      </c>
      <c r="I29" s="22">
        <v>0.64</v>
      </c>
      <c r="J29" s="23">
        <v>0.22</v>
      </c>
      <c r="K29" s="22">
        <v>0.06</v>
      </c>
      <c r="L29" s="22">
        <v>7.0000000000000007E-2</v>
      </c>
      <c r="M29" s="22">
        <v>0.09</v>
      </c>
      <c r="N29" s="22">
        <v>0.11</v>
      </c>
      <c r="P29" s="24">
        <v>2002</v>
      </c>
      <c r="Q29" s="9">
        <v>2043.8</v>
      </c>
      <c r="R29" s="9">
        <v>1066.8</v>
      </c>
      <c r="S29" s="9">
        <v>230.2</v>
      </c>
      <c r="T29" s="21">
        <v>54.5</v>
      </c>
      <c r="U29" s="9">
        <v>3395.3</v>
      </c>
      <c r="V29" s="9">
        <v>1351.5</v>
      </c>
      <c r="W29" s="9">
        <v>334.4</v>
      </c>
      <c r="X29" s="9">
        <v>9.8000000000000007</v>
      </c>
    </row>
    <row r="30" spans="2:24">
      <c r="B30" s="20">
        <v>2003</v>
      </c>
      <c r="C30" s="9">
        <v>223476.6</v>
      </c>
      <c r="D30" s="9">
        <v>76766.8</v>
      </c>
      <c r="E30" s="9">
        <v>15423.3</v>
      </c>
      <c r="F30" s="21">
        <v>1930.8</v>
      </c>
      <c r="G30" s="22">
        <v>0.04</v>
      </c>
      <c r="H30" s="22">
        <v>0.46</v>
      </c>
      <c r="I30" s="22">
        <v>1.04</v>
      </c>
      <c r="J30" s="23">
        <v>0.36</v>
      </c>
      <c r="K30" s="22">
        <v>0.05</v>
      </c>
      <c r="L30" s="22">
        <v>7.0000000000000007E-2</v>
      </c>
      <c r="M30" s="22">
        <v>0.08</v>
      </c>
      <c r="N30" s="22">
        <v>0.1</v>
      </c>
      <c r="P30" s="24">
        <v>2003</v>
      </c>
      <c r="Q30" s="9">
        <v>1900.9</v>
      </c>
      <c r="R30" s="9">
        <v>1201.3</v>
      </c>
      <c r="S30" s="9">
        <v>294.10000000000002</v>
      </c>
      <c r="T30" s="21">
        <v>46.1</v>
      </c>
      <c r="U30" s="9">
        <v>3442.3</v>
      </c>
      <c r="V30" s="9">
        <v>1541.4</v>
      </c>
      <c r="W30" s="9">
        <v>408</v>
      </c>
      <c r="X30" s="9">
        <v>11.9</v>
      </c>
    </row>
    <row r="31" spans="2:24">
      <c r="B31" s="20">
        <v>2004</v>
      </c>
      <c r="C31" s="9">
        <v>166073.9</v>
      </c>
      <c r="D31" s="9">
        <v>69628</v>
      </c>
      <c r="E31" s="9">
        <v>15582.7</v>
      </c>
      <c r="F31" s="21">
        <v>1715.3</v>
      </c>
      <c r="G31" s="22">
        <v>0.04</v>
      </c>
      <c r="H31" s="22">
        <v>0.61</v>
      </c>
      <c r="I31" s="22">
        <v>1.04</v>
      </c>
      <c r="J31" s="23">
        <v>0.36</v>
      </c>
      <c r="K31" s="22">
        <v>0.15</v>
      </c>
      <c r="L31" s="22">
        <v>0.19</v>
      </c>
      <c r="M31" s="22">
        <v>0.23</v>
      </c>
      <c r="N31" s="22">
        <v>0.28999999999999998</v>
      </c>
      <c r="P31" s="24">
        <v>2004</v>
      </c>
      <c r="Q31" s="9">
        <v>1722.6</v>
      </c>
      <c r="R31" s="9">
        <v>1059.8</v>
      </c>
      <c r="S31" s="9">
        <v>296.5</v>
      </c>
      <c r="T31" s="21">
        <v>38.700000000000003</v>
      </c>
      <c r="U31" s="9">
        <v>3117.7</v>
      </c>
      <c r="V31" s="9">
        <v>1395.1</v>
      </c>
      <c r="W31" s="9">
        <v>401.9</v>
      </c>
      <c r="X31" s="9">
        <v>12.9</v>
      </c>
    </row>
    <row r="32" spans="2:24">
      <c r="B32" s="20">
        <v>2005</v>
      </c>
      <c r="C32" s="9">
        <v>220549.9</v>
      </c>
      <c r="D32" s="9">
        <v>47007.7</v>
      </c>
      <c r="E32" s="9">
        <v>10752</v>
      </c>
      <c r="F32" s="21">
        <v>1496.5</v>
      </c>
      <c r="G32" s="22">
        <v>0.03</v>
      </c>
      <c r="H32" s="22">
        <v>0.36</v>
      </c>
      <c r="I32" s="22">
        <v>1.24</v>
      </c>
      <c r="J32" s="23">
        <v>0.43</v>
      </c>
      <c r="K32" s="22">
        <v>0.16</v>
      </c>
      <c r="L32" s="22">
        <v>0.19</v>
      </c>
      <c r="M32" s="22">
        <v>0.24</v>
      </c>
      <c r="N32" s="22">
        <v>0.3</v>
      </c>
      <c r="P32" s="24">
        <v>2005</v>
      </c>
      <c r="Q32" s="9">
        <v>1417.4</v>
      </c>
      <c r="R32" s="9">
        <v>781.7</v>
      </c>
      <c r="S32" s="9">
        <v>217.3</v>
      </c>
      <c r="T32" s="21">
        <v>35.5</v>
      </c>
      <c r="U32" s="9">
        <v>2451.9</v>
      </c>
      <c r="V32" s="9">
        <v>1034.5</v>
      </c>
      <c r="W32" s="9">
        <v>237.7</v>
      </c>
      <c r="X32" s="9">
        <v>9.6999999999999993</v>
      </c>
    </row>
    <row r="33" spans="2:24">
      <c r="B33" s="20">
        <v>2006</v>
      </c>
      <c r="C33" s="9">
        <v>159423</v>
      </c>
      <c r="D33" s="9">
        <v>62517.5</v>
      </c>
      <c r="E33" s="9">
        <v>9265.2000000000007</v>
      </c>
      <c r="F33" s="21">
        <v>835</v>
      </c>
      <c r="G33" s="22">
        <v>7.0000000000000007E-2</v>
      </c>
      <c r="H33" s="22">
        <v>0.56999999999999995</v>
      </c>
      <c r="I33" s="22">
        <v>0.78</v>
      </c>
      <c r="J33" s="23">
        <v>0.27</v>
      </c>
      <c r="K33" s="22">
        <v>0.13</v>
      </c>
      <c r="L33" s="22">
        <v>0.17</v>
      </c>
      <c r="M33" s="22">
        <v>0.21</v>
      </c>
      <c r="N33" s="22">
        <v>0.26</v>
      </c>
      <c r="P33" s="24">
        <v>2006</v>
      </c>
      <c r="Q33" s="9">
        <v>1390.2</v>
      </c>
      <c r="R33" s="9">
        <v>853.3</v>
      </c>
      <c r="S33" s="9">
        <v>173.7</v>
      </c>
      <c r="T33" s="21">
        <v>19.600000000000001</v>
      </c>
      <c r="U33" s="9">
        <v>2436.8000000000002</v>
      </c>
      <c r="V33" s="9">
        <v>1046.5</v>
      </c>
      <c r="W33" s="9">
        <v>303.39999999999998</v>
      </c>
      <c r="X33" s="9">
        <v>12.5</v>
      </c>
    </row>
    <row r="34" spans="2:24">
      <c r="B34" s="20">
        <v>2007</v>
      </c>
      <c r="C34" s="9">
        <v>222824.9</v>
      </c>
      <c r="D34" s="9">
        <v>44556.2</v>
      </c>
      <c r="E34" s="9">
        <v>10312.799999999999</v>
      </c>
      <c r="F34" s="21">
        <v>1179.4000000000001</v>
      </c>
      <c r="G34" s="22">
        <v>0.03</v>
      </c>
      <c r="H34" s="22">
        <v>0.54</v>
      </c>
      <c r="I34" s="22">
        <v>0.72</v>
      </c>
      <c r="J34" s="23">
        <v>0.25</v>
      </c>
      <c r="K34" s="22">
        <v>0.12</v>
      </c>
      <c r="L34" s="22">
        <v>0.15</v>
      </c>
      <c r="M34" s="22">
        <v>0.19</v>
      </c>
      <c r="N34" s="22">
        <v>0.24</v>
      </c>
      <c r="P34" s="24">
        <v>2007</v>
      </c>
      <c r="Q34" s="9">
        <v>1326.5</v>
      </c>
      <c r="R34" s="9">
        <v>703.7</v>
      </c>
      <c r="S34" s="9">
        <v>200.9</v>
      </c>
      <c r="T34" s="21">
        <v>26.9</v>
      </c>
      <c r="U34" s="9">
        <v>2258</v>
      </c>
      <c r="V34" s="9">
        <v>931.5</v>
      </c>
      <c r="W34" s="9">
        <v>242.5</v>
      </c>
      <c r="X34" s="9">
        <v>10.7</v>
      </c>
    </row>
    <row r="35" spans="2:24">
      <c r="B35" s="20">
        <v>2008</v>
      </c>
      <c r="C35" s="9">
        <v>287985</v>
      </c>
      <c r="D35" s="9">
        <v>65419.4</v>
      </c>
      <c r="E35" s="9">
        <v>7614.3</v>
      </c>
      <c r="F35" s="21">
        <v>1421</v>
      </c>
      <c r="G35" s="22">
        <v>0.09</v>
      </c>
      <c r="H35" s="22">
        <v>0.21</v>
      </c>
      <c r="I35" s="22">
        <v>0.61</v>
      </c>
      <c r="J35" s="23">
        <v>0.21</v>
      </c>
      <c r="K35" s="22">
        <v>0.1</v>
      </c>
      <c r="L35" s="22">
        <v>0.12</v>
      </c>
      <c r="M35" s="22">
        <v>0.15</v>
      </c>
      <c r="N35" s="22">
        <v>0.19</v>
      </c>
      <c r="P35" s="24">
        <v>2008</v>
      </c>
      <c r="Q35" s="9">
        <v>1428.2</v>
      </c>
      <c r="R35" s="9">
        <v>961</v>
      </c>
      <c r="S35" s="9">
        <v>159.69999999999999</v>
      </c>
      <c r="T35" s="21">
        <v>34.1</v>
      </c>
      <c r="U35" s="9">
        <v>2583</v>
      </c>
      <c r="V35" s="9">
        <v>1154.8</v>
      </c>
      <c r="W35" s="9">
        <v>209.1</v>
      </c>
      <c r="X35" s="9">
        <v>8.1</v>
      </c>
    </row>
    <row r="36" spans="2:24">
      <c r="B36" s="20">
        <v>2009</v>
      </c>
      <c r="C36" s="9">
        <v>239616.1</v>
      </c>
      <c r="D36" s="9">
        <v>82079.199999999997</v>
      </c>
      <c r="E36" s="9">
        <v>16195.9</v>
      </c>
      <c r="F36" s="21">
        <v>1222.2</v>
      </c>
      <c r="G36" s="22">
        <v>0.03</v>
      </c>
      <c r="H36" s="22">
        <v>0.3</v>
      </c>
      <c r="I36" s="22">
        <v>0.32</v>
      </c>
      <c r="J36" s="23">
        <v>0.11</v>
      </c>
      <c r="K36" s="22">
        <v>0.14000000000000001</v>
      </c>
      <c r="L36" s="22">
        <v>0.17</v>
      </c>
      <c r="M36" s="22">
        <v>0.21</v>
      </c>
      <c r="N36" s="22">
        <v>0.27</v>
      </c>
      <c r="P36" s="24">
        <v>2009</v>
      </c>
      <c r="Q36" s="9">
        <v>1909.5</v>
      </c>
      <c r="R36" s="9">
        <v>1193.8</v>
      </c>
      <c r="S36" s="9">
        <v>300.7</v>
      </c>
      <c r="T36" s="21">
        <v>26.7</v>
      </c>
      <c r="U36" s="9">
        <v>3430.7</v>
      </c>
      <c r="V36" s="9">
        <v>1521.2</v>
      </c>
      <c r="W36" s="9">
        <v>240.9</v>
      </c>
      <c r="X36" s="9">
        <v>7</v>
      </c>
    </row>
    <row r="37" spans="2:24">
      <c r="B37" s="20">
        <v>2010</v>
      </c>
      <c r="C37" s="9">
        <v>217394.1</v>
      </c>
      <c r="D37" s="9">
        <v>69579.5</v>
      </c>
      <c r="E37" s="9">
        <v>17569.3</v>
      </c>
      <c r="F37" s="21">
        <v>3257.9</v>
      </c>
      <c r="G37" s="22">
        <v>0.05</v>
      </c>
      <c r="H37" s="22">
        <v>0.28999999999999998</v>
      </c>
      <c r="I37" s="22">
        <v>0.39</v>
      </c>
      <c r="J37" s="23">
        <v>0.14000000000000001</v>
      </c>
      <c r="K37" s="22">
        <v>0.16</v>
      </c>
      <c r="L37" s="22">
        <v>0.2</v>
      </c>
      <c r="M37" s="22">
        <v>0.25</v>
      </c>
      <c r="N37" s="22">
        <v>0.31</v>
      </c>
      <c r="P37" s="24">
        <v>2010</v>
      </c>
      <c r="Q37" s="9">
        <v>1341.9</v>
      </c>
      <c r="R37" s="9">
        <v>1090.5</v>
      </c>
      <c r="S37" s="9">
        <v>361.8</v>
      </c>
      <c r="T37" s="21">
        <v>79.900000000000006</v>
      </c>
      <c r="U37" s="9">
        <v>2874.1</v>
      </c>
      <c r="V37" s="9">
        <v>1532.2</v>
      </c>
      <c r="W37" s="9">
        <v>247.6</v>
      </c>
      <c r="X37" s="9">
        <v>8.6</v>
      </c>
    </row>
    <row r="38" spans="2:24">
      <c r="B38" s="20">
        <v>2011</v>
      </c>
      <c r="C38" s="9">
        <v>226578.2</v>
      </c>
      <c r="D38" s="9">
        <v>60163.199999999997</v>
      </c>
      <c r="E38" s="9">
        <v>14654.1</v>
      </c>
      <c r="F38" s="21">
        <v>3165.3</v>
      </c>
      <c r="G38" s="22">
        <v>0.03</v>
      </c>
      <c r="H38" s="22">
        <v>0.23</v>
      </c>
      <c r="I38" s="22">
        <v>0.28000000000000003</v>
      </c>
      <c r="J38" s="23">
        <v>0.1</v>
      </c>
      <c r="K38" s="22">
        <v>0.18</v>
      </c>
      <c r="L38" s="22">
        <v>0.23</v>
      </c>
      <c r="M38" s="22">
        <v>0.28000000000000003</v>
      </c>
      <c r="N38" s="22">
        <v>0.36</v>
      </c>
      <c r="P38" s="24">
        <v>2011</v>
      </c>
      <c r="Q38" s="9">
        <v>1677.4</v>
      </c>
      <c r="R38" s="9">
        <v>870.2</v>
      </c>
      <c r="S38" s="9">
        <v>294.8</v>
      </c>
      <c r="T38" s="21">
        <v>77.099999999999994</v>
      </c>
      <c r="U38" s="9">
        <v>2919.5</v>
      </c>
      <c r="V38" s="9">
        <v>1242</v>
      </c>
      <c r="W38" s="9">
        <v>160</v>
      </c>
      <c r="X38" s="9">
        <v>5.5</v>
      </c>
    </row>
    <row r="39" spans="2:24">
      <c r="B39" s="20">
        <v>2012</v>
      </c>
      <c r="C39" s="9">
        <v>166613.9</v>
      </c>
      <c r="D39" s="9">
        <v>62689.7</v>
      </c>
      <c r="E39" s="9">
        <v>13080.3</v>
      </c>
      <c r="F39" s="21">
        <v>2858.1</v>
      </c>
      <c r="G39" s="22">
        <v>7.0000000000000007E-2</v>
      </c>
      <c r="H39" s="22">
        <v>0.25</v>
      </c>
      <c r="I39" s="22">
        <v>0.23</v>
      </c>
      <c r="J39" s="23">
        <v>0.08</v>
      </c>
      <c r="K39" s="22">
        <v>0.24</v>
      </c>
      <c r="L39" s="22">
        <v>0.3</v>
      </c>
      <c r="M39" s="22">
        <v>0.38</v>
      </c>
      <c r="N39" s="22">
        <v>0.47</v>
      </c>
      <c r="P39" s="24">
        <v>2012</v>
      </c>
      <c r="Q39" s="9">
        <v>796.3</v>
      </c>
      <c r="R39" s="9">
        <v>877.9</v>
      </c>
      <c r="S39" s="9">
        <v>253.4</v>
      </c>
      <c r="T39" s="21">
        <v>72.099999999999994</v>
      </c>
      <c r="U39" s="9">
        <v>1999.7</v>
      </c>
      <c r="V39" s="9">
        <v>1203.4000000000001</v>
      </c>
      <c r="W39" s="9">
        <v>154.5</v>
      </c>
      <c r="X39" s="9">
        <v>7.7</v>
      </c>
    </row>
    <row r="40" spans="2:24">
      <c r="B40" s="20">
        <v>2013</v>
      </c>
      <c r="C40" s="9">
        <v>149626.9</v>
      </c>
      <c r="D40" s="9">
        <v>41623</v>
      </c>
      <c r="E40" s="9">
        <v>12379.1</v>
      </c>
      <c r="F40" s="21">
        <v>2434.9</v>
      </c>
      <c r="G40" s="22">
        <v>0.14000000000000001</v>
      </c>
      <c r="H40" s="22">
        <v>0.46</v>
      </c>
      <c r="I40" s="22">
        <v>0.35</v>
      </c>
      <c r="J40" s="23">
        <v>0.12</v>
      </c>
      <c r="K40" s="22">
        <v>0.61</v>
      </c>
      <c r="L40" s="22">
        <v>0.77</v>
      </c>
      <c r="M40" s="22">
        <v>0.96</v>
      </c>
      <c r="N40" s="22">
        <v>1.2</v>
      </c>
      <c r="P40" s="24">
        <v>2013</v>
      </c>
      <c r="Q40" s="9">
        <v>793.7</v>
      </c>
      <c r="R40" s="9">
        <v>550.6</v>
      </c>
      <c r="S40" s="9">
        <v>257.3</v>
      </c>
      <c r="T40" s="21">
        <v>58.7</v>
      </c>
      <c r="U40" s="9">
        <v>1660.4</v>
      </c>
      <c r="V40" s="9">
        <v>866.7</v>
      </c>
      <c r="W40" s="9">
        <v>156</v>
      </c>
      <c r="X40" s="9">
        <v>9.4</v>
      </c>
    </row>
    <row r="41" spans="2:24">
      <c r="B41" s="20">
        <v>2014</v>
      </c>
      <c r="C41" s="9">
        <v>74549.3</v>
      </c>
      <c r="D41" s="9">
        <v>24023.1</v>
      </c>
      <c r="E41" s="9">
        <v>4171.3</v>
      </c>
      <c r="F41" s="21">
        <v>1147.3</v>
      </c>
      <c r="G41" s="22">
        <v>0.63</v>
      </c>
      <c r="H41" s="22">
        <v>1.21</v>
      </c>
      <c r="I41" s="22">
        <v>0.47</v>
      </c>
      <c r="J41" s="23">
        <v>0.16</v>
      </c>
      <c r="K41" s="22">
        <v>0.66</v>
      </c>
      <c r="L41" s="22">
        <v>0.82</v>
      </c>
      <c r="M41" s="22">
        <v>1.03</v>
      </c>
      <c r="N41" s="22">
        <v>1.29</v>
      </c>
      <c r="P41" s="24">
        <v>2014</v>
      </c>
      <c r="Q41" s="9">
        <v>331.1</v>
      </c>
      <c r="R41" s="9">
        <v>243.6</v>
      </c>
      <c r="S41" s="9">
        <v>83.8</v>
      </c>
      <c r="T41" s="21">
        <v>29.5</v>
      </c>
      <c r="U41" s="9">
        <v>688</v>
      </c>
      <c r="V41" s="9">
        <v>356.9</v>
      </c>
      <c r="W41" s="9">
        <v>144</v>
      </c>
      <c r="X41" s="9">
        <v>20.9</v>
      </c>
    </row>
    <row r="42" spans="2:24">
      <c r="B42" s="20">
        <v>2015</v>
      </c>
      <c r="C42" s="9">
        <v>84596.6</v>
      </c>
      <c r="D42" s="9">
        <v>7024</v>
      </c>
      <c r="E42" s="9">
        <v>1079.7</v>
      </c>
      <c r="F42" s="21">
        <v>320.7</v>
      </c>
      <c r="G42" s="22">
        <v>0.41</v>
      </c>
      <c r="H42" s="22">
        <v>0.96</v>
      </c>
      <c r="I42" s="22">
        <v>1.28</v>
      </c>
      <c r="J42" s="23">
        <v>0.44</v>
      </c>
      <c r="K42" s="22">
        <v>0.6</v>
      </c>
      <c r="L42" s="22">
        <v>0.74</v>
      </c>
      <c r="M42" s="22">
        <v>0.93</v>
      </c>
      <c r="N42" s="22">
        <v>1.1599999999999999</v>
      </c>
      <c r="P42" s="24">
        <v>2015</v>
      </c>
      <c r="Q42" s="9">
        <v>290.89999999999998</v>
      </c>
      <c r="R42" s="9">
        <v>69.7</v>
      </c>
      <c r="S42" s="9">
        <v>22.7</v>
      </c>
      <c r="T42" s="21">
        <v>8.4</v>
      </c>
      <c r="U42" s="9">
        <v>391.7</v>
      </c>
      <c r="V42" s="9">
        <v>100.7</v>
      </c>
      <c r="W42" s="9">
        <v>66.5</v>
      </c>
      <c r="X42" s="9">
        <v>17</v>
      </c>
    </row>
    <row r="43" spans="2:24">
      <c r="B43" s="20">
        <v>2016</v>
      </c>
      <c r="C43" s="9">
        <v>59913.1</v>
      </c>
      <c r="D43" s="9">
        <v>10647.7</v>
      </c>
      <c r="E43" s="9">
        <v>439.4</v>
      </c>
      <c r="F43" s="21">
        <v>40.700000000000003</v>
      </c>
      <c r="G43" s="22">
        <v>0.49</v>
      </c>
      <c r="H43" s="22">
        <v>1.86</v>
      </c>
      <c r="I43" s="22">
        <v>1.32</v>
      </c>
      <c r="J43" s="23">
        <v>0.46</v>
      </c>
      <c r="K43" s="22">
        <v>0.53</v>
      </c>
      <c r="L43" s="22">
        <v>0.66</v>
      </c>
      <c r="M43" s="22">
        <v>0.83</v>
      </c>
      <c r="N43" s="22">
        <v>1.04</v>
      </c>
      <c r="P43" s="24">
        <v>2016</v>
      </c>
      <c r="Q43" s="9">
        <v>263.60000000000002</v>
      </c>
      <c r="R43" s="9">
        <v>82.8</v>
      </c>
      <c r="S43" s="9">
        <v>7.5</v>
      </c>
      <c r="T43" s="21">
        <v>0.9</v>
      </c>
      <c r="U43" s="9">
        <v>354.9</v>
      </c>
      <c r="V43" s="9">
        <v>91.2</v>
      </c>
      <c r="W43" s="9">
        <v>77.7</v>
      </c>
      <c r="X43" s="9">
        <v>21.9</v>
      </c>
    </row>
    <row r="44" spans="2:24">
      <c r="B44" s="20">
        <v>2017</v>
      </c>
      <c r="C44" s="9">
        <v>38937.199999999997</v>
      </c>
      <c r="D44" s="9">
        <v>7367.2</v>
      </c>
      <c r="E44" s="9">
        <v>291.5</v>
      </c>
      <c r="F44" s="21">
        <v>17.600000000000001</v>
      </c>
      <c r="G44" s="22">
        <v>0.57999999999999996</v>
      </c>
      <c r="H44" s="22">
        <v>1.68</v>
      </c>
      <c r="I44" s="22">
        <v>1.56</v>
      </c>
      <c r="J44" s="23">
        <v>0.54</v>
      </c>
      <c r="K44" s="22">
        <v>0.46</v>
      </c>
      <c r="L44" s="22">
        <v>0.57999999999999996</v>
      </c>
      <c r="M44" s="22">
        <v>0.72</v>
      </c>
      <c r="N44" s="22">
        <v>0.9</v>
      </c>
      <c r="P44" s="24">
        <v>2017</v>
      </c>
      <c r="Q44" s="9">
        <v>158.5</v>
      </c>
      <c r="R44" s="9">
        <v>57.5</v>
      </c>
      <c r="S44" s="9">
        <v>4.5</v>
      </c>
      <c r="T44" s="21">
        <v>0.4</v>
      </c>
      <c r="U44" s="9">
        <v>220.9</v>
      </c>
      <c r="V44" s="9">
        <v>62.4</v>
      </c>
      <c r="W44" s="9">
        <v>54.3</v>
      </c>
      <c r="X44" s="9">
        <v>24.6</v>
      </c>
    </row>
    <row r="45" spans="2:24">
      <c r="B45" s="20">
        <v>2018</v>
      </c>
      <c r="C45" s="9">
        <v>43578</v>
      </c>
      <c r="D45" s="9">
        <v>4723.3999999999996</v>
      </c>
      <c r="E45" s="9">
        <v>263.8</v>
      </c>
      <c r="F45" s="21">
        <v>10.199999999999999</v>
      </c>
      <c r="G45" s="22">
        <v>0.21</v>
      </c>
      <c r="H45" s="22">
        <v>1.35</v>
      </c>
      <c r="I45" s="22">
        <v>1.19</v>
      </c>
      <c r="J45" s="23">
        <v>0.41</v>
      </c>
      <c r="K45" s="22">
        <v>0.44</v>
      </c>
      <c r="L45" s="22">
        <v>0.55000000000000004</v>
      </c>
      <c r="M45" s="22">
        <v>0.68</v>
      </c>
      <c r="N45" s="22">
        <v>0.85</v>
      </c>
      <c r="P45" s="24">
        <v>2018</v>
      </c>
      <c r="Q45" s="9">
        <v>184.4</v>
      </c>
      <c r="R45" s="9">
        <v>34.4</v>
      </c>
      <c r="S45" s="9">
        <v>4</v>
      </c>
      <c r="T45" s="21">
        <v>0.2</v>
      </c>
      <c r="U45" s="9">
        <v>222.9</v>
      </c>
      <c r="V45" s="9">
        <v>38.5</v>
      </c>
      <c r="W45" s="9">
        <v>29.1</v>
      </c>
      <c r="X45" s="9">
        <v>13</v>
      </c>
    </row>
    <row r="46" spans="2:24">
      <c r="B46" s="20">
        <v>2019</v>
      </c>
      <c r="C46" s="9">
        <v>79307.7</v>
      </c>
      <c r="D46" s="9">
        <v>7809.8</v>
      </c>
      <c r="E46" s="9">
        <v>241.8</v>
      </c>
      <c r="F46" s="21">
        <v>13.9</v>
      </c>
      <c r="G46" s="22">
        <v>0.32</v>
      </c>
      <c r="H46" s="22">
        <v>0.83</v>
      </c>
      <c r="I46" s="22">
        <v>0.26</v>
      </c>
      <c r="J46" s="23">
        <v>0.09</v>
      </c>
      <c r="K46" s="22">
        <v>0.39</v>
      </c>
      <c r="L46" s="22">
        <v>0.49</v>
      </c>
      <c r="M46" s="22">
        <v>0.61</v>
      </c>
      <c r="N46" s="22">
        <v>0.77</v>
      </c>
      <c r="P46" s="24">
        <v>2019</v>
      </c>
      <c r="Q46" s="9">
        <v>227.5</v>
      </c>
      <c r="R46" s="9">
        <v>53.8</v>
      </c>
      <c r="S46" s="9">
        <v>3.1</v>
      </c>
      <c r="T46" s="21">
        <v>0.2</v>
      </c>
      <c r="U46" s="9">
        <v>284.7</v>
      </c>
      <c r="V46" s="9">
        <v>57.1</v>
      </c>
      <c r="W46" s="9">
        <v>44.3</v>
      </c>
      <c r="X46" s="9">
        <v>15.6</v>
      </c>
    </row>
    <row r="47" spans="2:24">
      <c r="B47" s="20">
        <v>2020</v>
      </c>
      <c r="C47" s="9">
        <v>106403.1</v>
      </c>
      <c r="D47" s="9">
        <v>13285</v>
      </c>
      <c r="E47" s="9">
        <v>715.3</v>
      </c>
      <c r="F47" s="21">
        <v>34.5</v>
      </c>
      <c r="G47" s="22">
        <v>0.15</v>
      </c>
      <c r="H47" s="22">
        <v>0.41</v>
      </c>
      <c r="I47" s="22">
        <v>0.2</v>
      </c>
      <c r="J47" s="23">
        <v>7.0000000000000007E-2</v>
      </c>
      <c r="K47" s="22">
        <v>0.35</v>
      </c>
      <c r="L47" s="22">
        <v>0.44</v>
      </c>
      <c r="M47" s="22">
        <v>0.55000000000000004</v>
      </c>
      <c r="N47" s="22">
        <v>0.69</v>
      </c>
      <c r="P47" s="24">
        <v>2020</v>
      </c>
      <c r="Q47" s="9">
        <v>552.1</v>
      </c>
      <c r="R47" s="9">
        <v>116</v>
      </c>
      <c r="S47" s="9">
        <v>12.4</v>
      </c>
      <c r="T47" s="21">
        <v>0.7</v>
      </c>
      <c r="U47" s="9">
        <v>681.2</v>
      </c>
      <c r="V47" s="9">
        <v>129.1</v>
      </c>
      <c r="W47" s="9">
        <v>57</v>
      </c>
      <c r="X47" s="9">
        <v>8.4</v>
      </c>
    </row>
    <row r="48" spans="2:24">
      <c r="B48" s="20">
        <v>2021</v>
      </c>
      <c r="C48" s="9">
        <v>324763.3</v>
      </c>
      <c r="D48" s="9">
        <v>22000.400000000001</v>
      </c>
      <c r="E48" s="9">
        <v>1942.3</v>
      </c>
      <c r="F48" s="21">
        <v>115.3</v>
      </c>
      <c r="G48" s="22">
        <v>0.05</v>
      </c>
      <c r="H48" s="22">
        <v>0.18</v>
      </c>
      <c r="I48" s="22">
        <v>7.0000000000000007E-2</v>
      </c>
      <c r="J48" s="23">
        <v>0.03</v>
      </c>
      <c r="K48" s="22">
        <v>0.41</v>
      </c>
      <c r="L48" s="22">
        <v>0.52</v>
      </c>
      <c r="M48" s="22">
        <v>0.65</v>
      </c>
      <c r="N48" s="22">
        <v>0.81</v>
      </c>
      <c r="P48" s="24">
        <v>2021</v>
      </c>
      <c r="Q48" s="9">
        <v>1276.5999999999999</v>
      </c>
      <c r="R48" s="9">
        <v>161.69999999999999</v>
      </c>
      <c r="S48" s="9">
        <v>37.700000000000003</v>
      </c>
      <c r="T48" s="21">
        <v>2.5</v>
      </c>
      <c r="U48" s="9">
        <v>1478.5</v>
      </c>
      <c r="V48" s="9">
        <v>201.9</v>
      </c>
      <c r="W48" s="9">
        <v>42.2</v>
      </c>
      <c r="X48" s="9">
        <v>2.9</v>
      </c>
    </row>
    <row r="49" spans="2:24">
      <c r="B49" s="20">
        <v>2022</v>
      </c>
      <c r="C49" s="9">
        <v>116102.3</v>
      </c>
      <c r="D49" s="9">
        <v>70039.199999999997</v>
      </c>
      <c r="E49" s="9">
        <v>3759.6</v>
      </c>
      <c r="F49" s="21">
        <v>323.60000000000002</v>
      </c>
      <c r="G49" s="22">
        <v>0.09</v>
      </c>
      <c r="H49" s="22">
        <v>7.0000000000000007E-2</v>
      </c>
      <c r="I49" s="22">
        <v>0.02</v>
      </c>
      <c r="J49" s="23">
        <v>0.01</v>
      </c>
      <c r="K49" s="22">
        <v>0.48</v>
      </c>
      <c r="L49" s="22">
        <v>0.6</v>
      </c>
      <c r="M49" s="22">
        <v>0.74</v>
      </c>
      <c r="N49" s="22">
        <v>0.93</v>
      </c>
      <c r="P49" s="24">
        <v>2022</v>
      </c>
      <c r="Q49" s="9">
        <v>651.4</v>
      </c>
      <c r="R49" s="9">
        <v>478</v>
      </c>
      <c r="S49" s="9">
        <v>61.7</v>
      </c>
      <c r="T49" s="21">
        <v>7.2</v>
      </c>
      <c r="U49" s="9">
        <v>1198.3</v>
      </c>
      <c r="V49" s="9">
        <v>546.9</v>
      </c>
      <c r="W49" s="9">
        <v>40.200000000000003</v>
      </c>
      <c r="X49" s="9">
        <v>3.4</v>
      </c>
    </row>
    <row r="50" spans="2:24">
      <c r="B50" s="25">
        <v>2023</v>
      </c>
      <c r="C50" s="11">
        <v>86238.3</v>
      </c>
      <c r="D50" s="11">
        <v>22548.3</v>
      </c>
      <c r="E50" s="11">
        <v>12381.5</v>
      </c>
      <c r="F50" s="26">
        <v>598.20000000000005</v>
      </c>
      <c r="G50" s="27">
        <v>0.1</v>
      </c>
      <c r="H50" s="27">
        <v>0.22</v>
      </c>
      <c r="I50" s="27">
        <v>0.02</v>
      </c>
      <c r="J50" s="28">
        <v>0.01</v>
      </c>
      <c r="K50" s="27">
        <v>0.44</v>
      </c>
      <c r="L50" s="27">
        <v>0.55000000000000004</v>
      </c>
      <c r="M50" s="27">
        <v>0.68</v>
      </c>
      <c r="N50" s="27">
        <v>0.85</v>
      </c>
      <c r="P50" s="29">
        <v>2023</v>
      </c>
      <c r="Q50" s="11">
        <v>471.2</v>
      </c>
      <c r="R50" s="11">
        <v>223.8</v>
      </c>
      <c r="S50" s="11">
        <v>198.2</v>
      </c>
      <c r="T50" s="26">
        <v>10.6</v>
      </c>
      <c r="U50" s="11">
        <v>903.7</v>
      </c>
      <c r="V50" s="11">
        <v>432.5</v>
      </c>
      <c r="W50" s="11">
        <v>41.2</v>
      </c>
      <c r="X50" s="11">
        <v>4.5999999999999996</v>
      </c>
    </row>
  </sheetData>
  <mergeCells count="6">
    <mergeCell ref="X3:X4"/>
    <mergeCell ref="B3:B4"/>
    <mergeCell ref="P3:P4"/>
    <mergeCell ref="U3:U4"/>
    <mergeCell ref="V3:V4"/>
    <mergeCell ref="W3:W4"/>
  </mergeCells>
  <phoneticPr fontId="5"/>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D444-52DB-49A0-91CA-7AFF6AAF9D5D}">
  <sheetPr codeName="Sheet44"/>
  <dimension ref="B1:X50"/>
  <sheetViews>
    <sheetView showGridLines="0" zoomScale="90" zoomScaleNormal="90" workbookViewId="0">
      <selection activeCell="I40" sqref="I40"/>
    </sheetView>
  </sheetViews>
  <sheetFormatPr defaultColWidth="11.42578125" defaultRowHeight="13.5"/>
  <cols>
    <col min="1" max="1" width="2.28515625" style="6" customWidth="1"/>
    <col min="2" max="2" width="5.7109375" style="6" customWidth="1"/>
    <col min="3" max="3" width="9.85546875" style="6" customWidth="1"/>
    <col min="4" max="5" width="8.85546875" style="6" bestFit="1" customWidth="1"/>
    <col min="6" max="6" width="7.85546875" style="6" bestFit="1" customWidth="1"/>
    <col min="7" max="10" width="7" style="6" customWidth="1"/>
    <col min="11" max="14" width="8.28515625" style="6" customWidth="1"/>
    <col min="15" max="15" width="4.7109375" style="6" customWidth="1"/>
    <col min="16" max="16" width="5.7109375" style="6" customWidth="1"/>
    <col min="17" max="20" width="8.7109375" style="6" customWidth="1"/>
    <col min="21" max="23" width="12.140625" style="6" customWidth="1"/>
    <col min="24" max="24" width="10.140625" style="6" customWidth="1"/>
    <col min="25" max="16384" width="11.42578125" style="6"/>
  </cols>
  <sheetData>
    <row r="1" spans="2:24" s="54" customFormat="1">
      <c r="B1" s="197" t="s">
        <v>717</v>
      </c>
      <c r="Q1" s="132"/>
    </row>
    <row r="3" spans="2:24">
      <c r="B3" s="287" t="s">
        <v>122</v>
      </c>
      <c r="C3" s="5" t="s">
        <v>653</v>
      </c>
      <c r="D3" s="5"/>
      <c r="E3" s="5"/>
      <c r="F3" s="16"/>
      <c r="G3" s="5" t="s">
        <v>654</v>
      </c>
      <c r="H3" s="5"/>
      <c r="I3" s="5"/>
      <c r="J3" s="16"/>
      <c r="K3" s="5" t="s">
        <v>655</v>
      </c>
      <c r="L3" s="5"/>
      <c r="M3" s="5"/>
      <c r="N3" s="5"/>
      <c r="O3" s="17"/>
      <c r="P3" s="287" t="s">
        <v>656</v>
      </c>
      <c r="Q3" s="5" t="s">
        <v>657</v>
      </c>
      <c r="R3" s="5"/>
      <c r="S3" s="5"/>
      <c r="T3" s="5"/>
      <c r="U3" s="289" t="s">
        <v>658</v>
      </c>
      <c r="V3" s="286" t="s">
        <v>659</v>
      </c>
      <c r="W3" s="286" t="s">
        <v>658</v>
      </c>
      <c r="X3" s="286" t="s">
        <v>660</v>
      </c>
    </row>
    <row r="4" spans="2:24">
      <c r="B4" s="288"/>
      <c r="C4" s="10" t="s">
        <v>147</v>
      </c>
      <c r="D4" s="10" t="s">
        <v>148</v>
      </c>
      <c r="E4" s="10" t="s">
        <v>149</v>
      </c>
      <c r="F4" s="18" t="s">
        <v>150</v>
      </c>
      <c r="G4" s="10" t="s">
        <v>147</v>
      </c>
      <c r="H4" s="10" t="s">
        <v>148</v>
      </c>
      <c r="I4" s="10" t="s">
        <v>149</v>
      </c>
      <c r="J4" s="18" t="s">
        <v>150</v>
      </c>
      <c r="K4" s="10" t="s">
        <v>147</v>
      </c>
      <c r="L4" s="10" t="s">
        <v>148</v>
      </c>
      <c r="M4" s="10" t="s">
        <v>149</v>
      </c>
      <c r="N4" s="10" t="s">
        <v>150</v>
      </c>
      <c r="O4" s="8"/>
      <c r="P4" s="288"/>
      <c r="Q4" s="10" t="s">
        <v>147</v>
      </c>
      <c r="R4" s="10" t="s">
        <v>148</v>
      </c>
      <c r="S4" s="10" t="s">
        <v>149</v>
      </c>
      <c r="T4" s="10" t="s">
        <v>150</v>
      </c>
      <c r="U4" s="290"/>
      <c r="V4" s="229"/>
      <c r="W4" s="229"/>
      <c r="X4" s="229"/>
    </row>
    <row r="5" spans="2:24">
      <c r="B5" s="20">
        <v>1978</v>
      </c>
      <c r="C5" s="9">
        <v>166119.5</v>
      </c>
      <c r="D5" s="9">
        <v>27116.3</v>
      </c>
      <c r="E5" s="9">
        <v>3798.2</v>
      </c>
      <c r="F5" s="21">
        <v>1379.7</v>
      </c>
      <c r="G5" s="22">
        <v>0.06</v>
      </c>
      <c r="H5" s="22">
        <v>0.28999999999999998</v>
      </c>
      <c r="I5" s="22">
        <v>0.2</v>
      </c>
      <c r="J5" s="23">
        <v>0.06</v>
      </c>
      <c r="K5" s="22">
        <v>1.28</v>
      </c>
      <c r="L5" s="22">
        <v>1.02</v>
      </c>
      <c r="M5" s="22">
        <v>0.82</v>
      </c>
      <c r="N5" s="22">
        <v>0.66</v>
      </c>
      <c r="P5" s="24">
        <v>1978</v>
      </c>
      <c r="Q5" s="9">
        <v>836.8</v>
      </c>
      <c r="R5" s="9">
        <v>229.1</v>
      </c>
      <c r="S5" s="9">
        <v>69.2</v>
      </c>
      <c r="T5" s="21">
        <v>35.200000000000003</v>
      </c>
      <c r="U5" s="9">
        <v>1170.3</v>
      </c>
      <c r="V5" s="9">
        <v>333.5</v>
      </c>
      <c r="W5" s="9">
        <v>43</v>
      </c>
      <c r="X5" s="9">
        <v>3.7</v>
      </c>
    </row>
    <row r="6" spans="2:24">
      <c r="B6" s="20">
        <v>1979</v>
      </c>
      <c r="C6" s="9">
        <v>73879.600000000006</v>
      </c>
      <c r="D6" s="9">
        <v>16573.2</v>
      </c>
      <c r="E6" s="9">
        <v>2778.5</v>
      </c>
      <c r="F6" s="21">
        <v>519.20000000000005</v>
      </c>
      <c r="G6" s="22">
        <v>0.22</v>
      </c>
      <c r="H6" s="22">
        <v>0.23</v>
      </c>
      <c r="I6" s="22">
        <v>0.24</v>
      </c>
      <c r="J6" s="23">
        <v>7.0000000000000007E-2</v>
      </c>
      <c r="K6" s="22">
        <v>0.8</v>
      </c>
      <c r="L6" s="22">
        <v>0.64</v>
      </c>
      <c r="M6" s="22">
        <v>0.51</v>
      </c>
      <c r="N6" s="22">
        <v>0.41</v>
      </c>
      <c r="P6" s="24">
        <v>1979</v>
      </c>
      <c r="Q6" s="9">
        <v>373.6</v>
      </c>
      <c r="R6" s="9">
        <v>223.5</v>
      </c>
      <c r="S6" s="9">
        <v>55.1</v>
      </c>
      <c r="T6" s="21">
        <v>12.4</v>
      </c>
      <c r="U6" s="9">
        <v>664.6</v>
      </c>
      <c r="V6" s="9">
        <v>291</v>
      </c>
      <c r="W6" s="9">
        <v>57.4</v>
      </c>
      <c r="X6" s="9">
        <v>8.6</v>
      </c>
    </row>
    <row r="7" spans="2:24">
      <c r="B7" s="20">
        <v>1980</v>
      </c>
      <c r="C7" s="9">
        <v>27633.1</v>
      </c>
      <c r="D7" s="9">
        <v>10099.200000000001</v>
      </c>
      <c r="E7" s="9">
        <v>2630.8</v>
      </c>
      <c r="F7" s="21">
        <v>497.4</v>
      </c>
      <c r="G7" s="22">
        <v>0.33</v>
      </c>
      <c r="H7" s="22">
        <v>1.24</v>
      </c>
      <c r="I7" s="22">
        <v>0.52</v>
      </c>
      <c r="J7" s="23">
        <v>0.14000000000000001</v>
      </c>
      <c r="K7" s="22">
        <v>0.5</v>
      </c>
      <c r="L7" s="22">
        <v>0.4</v>
      </c>
      <c r="M7" s="22">
        <v>0.32</v>
      </c>
      <c r="N7" s="22">
        <v>0.25</v>
      </c>
      <c r="P7" s="24">
        <v>1980</v>
      </c>
      <c r="Q7" s="9">
        <v>156.1</v>
      </c>
      <c r="R7" s="9">
        <v>96</v>
      </c>
      <c r="S7" s="9">
        <v>45.7</v>
      </c>
      <c r="T7" s="21">
        <v>11.3</v>
      </c>
      <c r="U7" s="9">
        <v>309</v>
      </c>
      <c r="V7" s="9">
        <v>153</v>
      </c>
      <c r="W7" s="9">
        <v>66</v>
      </c>
      <c r="X7" s="9">
        <v>21.3</v>
      </c>
    </row>
    <row r="8" spans="2:24">
      <c r="B8" s="20">
        <v>1981</v>
      </c>
      <c r="C8" s="9">
        <v>41571.599999999999</v>
      </c>
      <c r="D8" s="9">
        <v>4611.6000000000004</v>
      </c>
      <c r="E8" s="9">
        <v>750.8</v>
      </c>
      <c r="F8" s="21">
        <v>433.8</v>
      </c>
      <c r="G8" s="22">
        <v>0.4</v>
      </c>
      <c r="H8" s="22">
        <v>1.01</v>
      </c>
      <c r="I8" s="22">
        <v>1.02</v>
      </c>
      <c r="J8" s="23">
        <v>0.28999999999999998</v>
      </c>
      <c r="K8" s="22">
        <v>0.51</v>
      </c>
      <c r="L8" s="22">
        <v>0.41</v>
      </c>
      <c r="M8" s="22">
        <v>0.33</v>
      </c>
      <c r="N8" s="22">
        <v>0.26</v>
      </c>
      <c r="P8" s="24">
        <v>1981</v>
      </c>
      <c r="Q8" s="9">
        <v>177.7</v>
      </c>
      <c r="R8" s="9">
        <v>48.1</v>
      </c>
      <c r="S8" s="9">
        <v>15.9</v>
      </c>
      <c r="T8" s="21">
        <v>12</v>
      </c>
      <c r="U8" s="9">
        <v>253.6</v>
      </c>
      <c r="V8" s="9">
        <v>75.900000000000006</v>
      </c>
      <c r="W8" s="9">
        <v>50.6</v>
      </c>
      <c r="X8" s="9">
        <v>20</v>
      </c>
    </row>
    <row r="9" spans="2:24">
      <c r="B9" s="20">
        <v>1982</v>
      </c>
      <c r="C9" s="9">
        <v>44349.4</v>
      </c>
      <c r="D9" s="9">
        <v>6352.4</v>
      </c>
      <c r="E9" s="9">
        <v>425.5</v>
      </c>
      <c r="F9" s="21">
        <v>74.3</v>
      </c>
      <c r="G9" s="22">
        <v>0.53</v>
      </c>
      <c r="H9" s="22">
        <v>0.69</v>
      </c>
      <c r="I9" s="22">
        <v>0.55000000000000004</v>
      </c>
      <c r="J9" s="23">
        <v>0.15</v>
      </c>
      <c r="K9" s="22">
        <v>0.49</v>
      </c>
      <c r="L9" s="22">
        <v>0.39</v>
      </c>
      <c r="M9" s="22">
        <v>0.31</v>
      </c>
      <c r="N9" s="22">
        <v>0.25</v>
      </c>
      <c r="P9" s="24">
        <v>1982</v>
      </c>
      <c r="Q9" s="9">
        <v>156.1</v>
      </c>
      <c r="R9" s="9">
        <v>57.7</v>
      </c>
      <c r="S9" s="9">
        <v>7.8</v>
      </c>
      <c r="T9" s="21">
        <v>1.8</v>
      </c>
      <c r="U9" s="9">
        <v>223.5</v>
      </c>
      <c r="V9" s="9">
        <v>67.400000000000006</v>
      </c>
      <c r="W9" s="9">
        <v>47.5</v>
      </c>
      <c r="X9" s="9">
        <v>21.3</v>
      </c>
    </row>
    <row r="10" spans="2:24">
      <c r="B10" s="20">
        <v>1983</v>
      </c>
      <c r="C10" s="9">
        <v>71455.600000000006</v>
      </c>
      <c r="D10" s="9">
        <v>6104.2</v>
      </c>
      <c r="E10" s="9">
        <v>818.9</v>
      </c>
      <c r="F10" s="21">
        <v>68.099999999999994</v>
      </c>
      <c r="G10" s="22">
        <v>0.24</v>
      </c>
      <c r="H10" s="22">
        <v>1.1399999999999999</v>
      </c>
      <c r="I10" s="22">
        <v>0.47</v>
      </c>
      <c r="J10" s="23">
        <v>0.13</v>
      </c>
      <c r="K10" s="22">
        <v>0.4</v>
      </c>
      <c r="L10" s="22">
        <v>0.32</v>
      </c>
      <c r="M10" s="22">
        <v>0.26</v>
      </c>
      <c r="N10" s="22">
        <v>0.21</v>
      </c>
      <c r="P10" s="24">
        <v>1983</v>
      </c>
      <c r="Q10" s="9">
        <v>302.7</v>
      </c>
      <c r="R10" s="9">
        <v>56.9</v>
      </c>
      <c r="S10" s="9">
        <v>13.1</v>
      </c>
      <c r="T10" s="21">
        <v>1.4</v>
      </c>
      <c r="U10" s="9">
        <v>374.2</v>
      </c>
      <c r="V10" s="9">
        <v>71.400000000000006</v>
      </c>
      <c r="W10" s="9">
        <v>55.2</v>
      </c>
      <c r="X10" s="9">
        <v>14.8</v>
      </c>
    </row>
    <row r="11" spans="2:24">
      <c r="B11" s="20">
        <v>1984</v>
      </c>
      <c r="C11" s="9">
        <v>67405.899999999994</v>
      </c>
      <c r="D11" s="9">
        <v>14378.8</v>
      </c>
      <c r="E11" s="9">
        <v>536.70000000000005</v>
      </c>
      <c r="F11" s="21">
        <v>150.80000000000001</v>
      </c>
      <c r="G11" s="22">
        <v>0.52</v>
      </c>
      <c r="H11" s="22">
        <v>2.17</v>
      </c>
      <c r="I11" s="22">
        <v>1.82</v>
      </c>
      <c r="J11" s="23">
        <v>0.51</v>
      </c>
      <c r="K11" s="22">
        <v>0.48</v>
      </c>
      <c r="L11" s="22">
        <v>0.39</v>
      </c>
      <c r="M11" s="22">
        <v>0.31</v>
      </c>
      <c r="N11" s="22">
        <v>0.25</v>
      </c>
      <c r="P11" s="24">
        <v>1984</v>
      </c>
      <c r="Q11" s="9">
        <v>223.9</v>
      </c>
      <c r="R11" s="9">
        <v>91.5</v>
      </c>
      <c r="S11" s="9">
        <v>9.6999999999999993</v>
      </c>
      <c r="T11" s="21">
        <v>3.9</v>
      </c>
      <c r="U11" s="9">
        <v>329</v>
      </c>
      <c r="V11" s="9">
        <v>105.1</v>
      </c>
      <c r="W11" s="9">
        <v>90</v>
      </c>
      <c r="X11" s="9">
        <v>27.4</v>
      </c>
    </row>
    <row r="12" spans="2:24">
      <c r="B12" s="20">
        <v>1985</v>
      </c>
      <c r="C12" s="9">
        <v>78469.3</v>
      </c>
      <c r="D12" s="9">
        <v>9459.7000000000007</v>
      </c>
      <c r="E12" s="9">
        <v>426.7</v>
      </c>
      <c r="F12" s="21">
        <v>24.4</v>
      </c>
      <c r="G12" s="22">
        <v>0.23</v>
      </c>
      <c r="H12" s="22">
        <v>1.17</v>
      </c>
      <c r="I12" s="22">
        <v>0.67</v>
      </c>
      <c r="J12" s="23">
        <v>0.19</v>
      </c>
      <c r="K12" s="22">
        <v>0.47</v>
      </c>
      <c r="L12" s="22">
        <v>0.38</v>
      </c>
      <c r="M12" s="22">
        <v>0.3</v>
      </c>
      <c r="N12" s="22">
        <v>0.24</v>
      </c>
      <c r="P12" s="24">
        <v>1985</v>
      </c>
      <c r="Q12" s="9">
        <v>342.7</v>
      </c>
      <c r="R12" s="9">
        <v>71.400000000000006</v>
      </c>
      <c r="S12" s="9">
        <v>6.5</v>
      </c>
      <c r="T12" s="21">
        <v>0.4</v>
      </c>
      <c r="U12" s="9">
        <v>421.1</v>
      </c>
      <c r="V12" s="9">
        <v>78.400000000000006</v>
      </c>
      <c r="W12" s="9">
        <v>61.4</v>
      </c>
      <c r="X12" s="9">
        <v>14.6</v>
      </c>
    </row>
    <row r="13" spans="2:24">
      <c r="B13" s="20">
        <v>1986</v>
      </c>
      <c r="C13" s="9">
        <v>85999.6</v>
      </c>
      <c r="D13" s="9">
        <v>14761.6</v>
      </c>
      <c r="E13" s="9">
        <v>762.7</v>
      </c>
      <c r="F13" s="21">
        <v>61.5</v>
      </c>
      <c r="G13" s="22">
        <v>0.16</v>
      </c>
      <c r="H13" s="22">
        <v>0.63</v>
      </c>
      <c r="I13" s="22">
        <v>0.59</v>
      </c>
      <c r="J13" s="23">
        <v>0.17</v>
      </c>
      <c r="K13" s="22">
        <v>0.34</v>
      </c>
      <c r="L13" s="22">
        <v>0.27</v>
      </c>
      <c r="M13" s="22">
        <v>0.22</v>
      </c>
      <c r="N13" s="22">
        <v>0.17</v>
      </c>
      <c r="P13" s="24">
        <v>1986</v>
      </c>
      <c r="Q13" s="9">
        <v>416.7</v>
      </c>
      <c r="R13" s="9">
        <v>129.19999999999999</v>
      </c>
      <c r="S13" s="9">
        <v>9.6</v>
      </c>
      <c r="T13" s="21">
        <v>1.7</v>
      </c>
      <c r="U13" s="9">
        <v>557.1</v>
      </c>
      <c r="V13" s="9">
        <v>140.4</v>
      </c>
      <c r="W13" s="9">
        <v>66.099999999999994</v>
      </c>
      <c r="X13" s="9">
        <v>11.9</v>
      </c>
    </row>
    <row r="14" spans="2:24">
      <c r="B14" s="20">
        <v>1987</v>
      </c>
      <c r="C14" s="9">
        <v>51391.5</v>
      </c>
      <c r="D14" s="9">
        <v>19976.099999999999</v>
      </c>
      <c r="E14" s="9">
        <v>2290.5</v>
      </c>
      <c r="F14" s="21">
        <v>129.5</v>
      </c>
      <c r="G14" s="22">
        <v>0.14000000000000001</v>
      </c>
      <c r="H14" s="22">
        <v>0.44</v>
      </c>
      <c r="I14" s="22">
        <v>0.18</v>
      </c>
      <c r="J14" s="23">
        <v>0.05</v>
      </c>
      <c r="K14" s="22">
        <v>0.23</v>
      </c>
      <c r="L14" s="22">
        <v>0.18</v>
      </c>
      <c r="M14" s="22">
        <v>0.15</v>
      </c>
      <c r="N14" s="22">
        <v>0.12</v>
      </c>
      <c r="P14" s="24">
        <v>1987</v>
      </c>
      <c r="Q14" s="9">
        <v>306.7</v>
      </c>
      <c r="R14" s="9">
        <v>184.3</v>
      </c>
      <c r="S14" s="9">
        <v>32.799999999999997</v>
      </c>
      <c r="T14" s="21">
        <v>3</v>
      </c>
      <c r="U14" s="9">
        <v>526.79999999999995</v>
      </c>
      <c r="V14" s="9">
        <v>220.1</v>
      </c>
      <c r="W14" s="9">
        <v>62.7</v>
      </c>
      <c r="X14" s="9">
        <v>11.9</v>
      </c>
    </row>
    <row r="15" spans="2:24">
      <c r="B15" s="20">
        <v>1988</v>
      </c>
      <c r="C15" s="9">
        <v>113549.4</v>
      </c>
      <c r="D15" s="9">
        <v>13501.7</v>
      </c>
      <c r="E15" s="9">
        <v>4088.7</v>
      </c>
      <c r="F15" s="21">
        <v>631.29999999999995</v>
      </c>
      <c r="G15" s="22">
        <v>0.13</v>
      </c>
      <c r="H15" s="22">
        <v>0.56000000000000005</v>
      </c>
      <c r="I15" s="22">
        <v>0.14000000000000001</v>
      </c>
      <c r="J15" s="23">
        <v>0.04</v>
      </c>
      <c r="K15" s="22">
        <v>0.13</v>
      </c>
      <c r="L15" s="22">
        <v>0.1</v>
      </c>
      <c r="M15" s="22">
        <v>0.08</v>
      </c>
      <c r="N15" s="22">
        <v>0.06</v>
      </c>
      <c r="P15" s="24">
        <v>1988</v>
      </c>
      <c r="Q15" s="9">
        <v>399.7</v>
      </c>
      <c r="R15" s="9">
        <v>139</v>
      </c>
      <c r="S15" s="9">
        <v>65.900000000000006</v>
      </c>
      <c r="T15" s="21">
        <v>13.8</v>
      </c>
      <c r="U15" s="9">
        <v>618.29999999999995</v>
      </c>
      <c r="V15" s="9">
        <v>218.7</v>
      </c>
      <c r="W15" s="9">
        <v>68.099999999999994</v>
      </c>
      <c r="X15" s="9">
        <v>11</v>
      </c>
    </row>
    <row r="16" spans="2:24">
      <c r="B16" s="20">
        <v>1989</v>
      </c>
      <c r="C16" s="9">
        <v>163698.5</v>
      </c>
      <c r="D16" s="9">
        <v>33524.699999999997</v>
      </c>
      <c r="E16" s="9">
        <v>2661.3</v>
      </c>
      <c r="F16" s="21">
        <v>1247.9000000000001</v>
      </c>
      <c r="G16" s="22">
        <v>7.0000000000000007E-2</v>
      </c>
      <c r="H16" s="22">
        <v>0.19</v>
      </c>
      <c r="I16" s="22">
        <v>0.31</v>
      </c>
      <c r="J16" s="23">
        <v>0.09</v>
      </c>
      <c r="K16" s="22">
        <v>7.0000000000000007E-2</v>
      </c>
      <c r="L16" s="22">
        <v>0.05</v>
      </c>
      <c r="M16" s="22">
        <v>0.04</v>
      </c>
      <c r="N16" s="22">
        <v>0.04</v>
      </c>
      <c r="P16" s="24">
        <v>1989</v>
      </c>
      <c r="Q16" s="9">
        <v>937.9</v>
      </c>
      <c r="R16" s="9">
        <v>401.8</v>
      </c>
      <c r="S16" s="9">
        <v>54</v>
      </c>
      <c r="T16" s="21">
        <v>35.1</v>
      </c>
      <c r="U16" s="9">
        <v>1428.8</v>
      </c>
      <c r="V16" s="9">
        <v>490.9</v>
      </c>
      <c r="W16" s="9">
        <v>87.8</v>
      </c>
      <c r="X16" s="9">
        <v>6.1</v>
      </c>
    </row>
    <row r="17" spans="2:24">
      <c r="B17" s="20">
        <v>1990</v>
      </c>
      <c r="C17" s="9">
        <v>153399</v>
      </c>
      <c r="D17" s="9">
        <v>54503.7</v>
      </c>
      <c r="E17" s="9">
        <v>9985.2000000000007</v>
      </c>
      <c r="F17" s="21">
        <v>710.9</v>
      </c>
      <c r="G17" s="22">
        <v>0.06</v>
      </c>
      <c r="H17" s="22">
        <v>0.31</v>
      </c>
      <c r="I17" s="22">
        <v>0.38</v>
      </c>
      <c r="J17" s="23">
        <v>0.11</v>
      </c>
      <c r="K17" s="22">
        <v>0.06</v>
      </c>
      <c r="L17" s="22">
        <v>0.05</v>
      </c>
      <c r="M17" s="22">
        <v>0.04</v>
      </c>
      <c r="N17" s="22">
        <v>0.03</v>
      </c>
      <c r="P17" s="24">
        <v>1990</v>
      </c>
      <c r="Q17" s="9">
        <v>1449.4</v>
      </c>
      <c r="R17" s="9">
        <v>826.7</v>
      </c>
      <c r="S17" s="9">
        <v>177.1</v>
      </c>
      <c r="T17" s="21">
        <v>16</v>
      </c>
      <c r="U17" s="9">
        <v>2469.3000000000002</v>
      </c>
      <c r="V17" s="9">
        <v>1019.8</v>
      </c>
      <c r="W17" s="9">
        <v>215.9</v>
      </c>
      <c r="X17" s="9">
        <v>8.6999999999999993</v>
      </c>
    </row>
    <row r="18" spans="2:24">
      <c r="B18" s="20">
        <v>1991</v>
      </c>
      <c r="C18" s="9">
        <v>128178.1</v>
      </c>
      <c r="D18" s="9">
        <v>51568.800000000003</v>
      </c>
      <c r="E18" s="9">
        <v>14484</v>
      </c>
      <c r="F18" s="21">
        <v>2504.8000000000002</v>
      </c>
      <c r="G18" s="22">
        <v>7.0000000000000007E-2</v>
      </c>
      <c r="H18" s="22">
        <v>0.26</v>
      </c>
      <c r="I18" s="22">
        <v>0.39</v>
      </c>
      <c r="J18" s="23">
        <v>0.11</v>
      </c>
      <c r="K18" s="22">
        <v>0.1</v>
      </c>
      <c r="L18" s="22">
        <v>0.08</v>
      </c>
      <c r="M18" s="22">
        <v>0.06</v>
      </c>
      <c r="N18" s="22">
        <v>0.05</v>
      </c>
      <c r="P18" s="24">
        <v>1991</v>
      </c>
      <c r="Q18" s="9">
        <v>872.1</v>
      </c>
      <c r="R18" s="9">
        <v>794.3</v>
      </c>
      <c r="S18" s="9">
        <v>289.5</v>
      </c>
      <c r="T18" s="21">
        <v>57.7</v>
      </c>
      <c r="U18" s="9">
        <v>2013.6</v>
      </c>
      <c r="V18" s="9">
        <v>1141.5</v>
      </c>
      <c r="W18" s="9">
        <v>202.3</v>
      </c>
      <c r="X18" s="9">
        <v>10</v>
      </c>
    </row>
    <row r="19" spans="2:24">
      <c r="B19" s="20">
        <v>1992</v>
      </c>
      <c r="C19" s="9">
        <v>146693.29999999999</v>
      </c>
      <c r="D19" s="9">
        <v>41251.699999999997</v>
      </c>
      <c r="E19" s="9">
        <v>13917.4</v>
      </c>
      <c r="F19" s="21">
        <v>3511.9</v>
      </c>
      <c r="G19" s="22">
        <v>0.06</v>
      </c>
      <c r="H19" s="22">
        <v>0.25</v>
      </c>
      <c r="I19" s="22">
        <v>0.55000000000000004</v>
      </c>
      <c r="J19" s="23">
        <v>0.16</v>
      </c>
      <c r="K19" s="22">
        <v>0.2</v>
      </c>
      <c r="L19" s="22">
        <v>0.16</v>
      </c>
      <c r="M19" s="22">
        <v>0.13</v>
      </c>
      <c r="N19" s="22">
        <v>0.1</v>
      </c>
      <c r="P19" s="24">
        <v>1992</v>
      </c>
      <c r="Q19" s="9">
        <v>968.9</v>
      </c>
      <c r="R19" s="9">
        <v>586</v>
      </c>
      <c r="S19" s="9">
        <v>279.7</v>
      </c>
      <c r="T19" s="21">
        <v>79.099999999999994</v>
      </c>
      <c r="U19" s="9">
        <v>1913.7</v>
      </c>
      <c r="V19" s="9">
        <v>944.8</v>
      </c>
      <c r="W19" s="9">
        <v>178.3</v>
      </c>
      <c r="X19" s="9">
        <v>9.3000000000000007</v>
      </c>
    </row>
    <row r="20" spans="2:24">
      <c r="B20" s="20">
        <v>1993</v>
      </c>
      <c r="C20" s="9">
        <v>101290.4</v>
      </c>
      <c r="D20" s="9">
        <v>43168.800000000003</v>
      </c>
      <c r="E20" s="9">
        <v>10440.799999999999</v>
      </c>
      <c r="F20" s="21">
        <v>2676</v>
      </c>
      <c r="G20" s="22">
        <v>0.09</v>
      </c>
      <c r="H20" s="22">
        <v>0.16</v>
      </c>
      <c r="I20" s="22">
        <v>0.22</v>
      </c>
      <c r="J20" s="23">
        <v>0.06</v>
      </c>
      <c r="K20" s="22">
        <v>0.14000000000000001</v>
      </c>
      <c r="L20" s="22">
        <v>0.11</v>
      </c>
      <c r="M20" s="22">
        <v>0.09</v>
      </c>
      <c r="N20" s="22">
        <v>7.0000000000000007E-2</v>
      </c>
      <c r="P20" s="24">
        <v>1993</v>
      </c>
      <c r="Q20" s="9">
        <v>536.6</v>
      </c>
      <c r="R20" s="9">
        <v>567.20000000000005</v>
      </c>
      <c r="S20" s="9">
        <v>195.1</v>
      </c>
      <c r="T20" s="21">
        <v>60.4</v>
      </c>
      <c r="U20" s="9">
        <v>1359.3</v>
      </c>
      <c r="V20" s="9">
        <v>822.7</v>
      </c>
      <c r="W20" s="9">
        <v>100.5</v>
      </c>
      <c r="X20" s="9">
        <v>7.4</v>
      </c>
    </row>
    <row r="21" spans="2:24">
      <c r="B21" s="20">
        <v>1994</v>
      </c>
      <c r="C21" s="9">
        <v>95700.6</v>
      </c>
      <c r="D21" s="9">
        <v>30643.4</v>
      </c>
      <c r="E21" s="9">
        <v>12560.4</v>
      </c>
      <c r="F21" s="21">
        <v>2913</v>
      </c>
      <c r="G21" s="22">
        <v>0.06</v>
      </c>
      <c r="H21" s="22">
        <v>0.25</v>
      </c>
      <c r="I21" s="22">
        <v>0.2</v>
      </c>
      <c r="J21" s="23">
        <v>0.06</v>
      </c>
      <c r="K21" s="22">
        <v>0.08</v>
      </c>
      <c r="L21" s="22">
        <v>7.0000000000000007E-2</v>
      </c>
      <c r="M21" s="22">
        <v>0.05</v>
      </c>
      <c r="N21" s="22">
        <v>0.04</v>
      </c>
      <c r="P21" s="24">
        <v>1994</v>
      </c>
      <c r="Q21" s="9">
        <v>548.29999999999995</v>
      </c>
      <c r="R21" s="9">
        <v>462.7</v>
      </c>
      <c r="S21" s="9">
        <v>246.3</v>
      </c>
      <c r="T21" s="21">
        <v>72.7</v>
      </c>
      <c r="U21" s="9">
        <v>1330</v>
      </c>
      <c r="V21" s="9">
        <v>781.7</v>
      </c>
      <c r="W21" s="9">
        <v>110.4</v>
      </c>
      <c r="X21" s="9">
        <v>8.3000000000000007</v>
      </c>
    </row>
    <row r="22" spans="2:24">
      <c r="B22" s="20">
        <v>1995</v>
      </c>
      <c r="C22" s="9">
        <v>83382.2</v>
      </c>
      <c r="D22" s="9">
        <v>31502.3</v>
      </c>
      <c r="E22" s="9">
        <v>8471.2000000000007</v>
      </c>
      <c r="F22" s="21">
        <v>3699.8</v>
      </c>
      <c r="G22" s="22">
        <v>7.0000000000000007E-2</v>
      </c>
      <c r="H22" s="22">
        <v>0.28000000000000003</v>
      </c>
      <c r="I22" s="22">
        <v>0.47</v>
      </c>
      <c r="J22" s="23">
        <v>0.13</v>
      </c>
      <c r="K22" s="22">
        <v>0.16</v>
      </c>
      <c r="L22" s="22">
        <v>0.13</v>
      </c>
      <c r="M22" s="22">
        <v>0.1</v>
      </c>
      <c r="N22" s="22">
        <v>0.08</v>
      </c>
      <c r="P22" s="24">
        <v>1995</v>
      </c>
      <c r="Q22" s="9">
        <v>533.9</v>
      </c>
      <c r="R22" s="9">
        <v>503.5</v>
      </c>
      <c r="S22" s="9">
        <v>186.4</v>
      </c>
      <c r="T22" s="21">
        <v>100.7</v>
      </c>
      <c r="U22" s="9">
        <v>1324.5</v>
      </c>
      <c r="V22" s="9">
        <v>790.6</v>
      </c>
      <c r="W22" s="9">
        <v>141.69999999999999</v>
      </c>
      <c r="X22" s="9">
        <v>10.7</v>
      </c>
    </row>
    <row r="23" spans="2:24">
      <c r="B23" s="20">
        <v>1996</v>
      </c>
      <c r="C23" s="9">
        <v>131201.4</v>
      </c>
      <c r="D23" s="9">
        <v>25279.3</v>
      </c>
      <c r="E23" s="9">
        <v>7957</v>
      </c>
      <c r="F23" s="21">
        <v>1816.6</v>
      </c>
      <c r="G23" s="22">
        <v>0.08</v>
      </c>
      <c r="H23" s="22">
        <v>0.6</v>
      </c>
      <c r="I23" s="22">
        <v>1.01</v>
      </c>
      <c r="J23" s="23">
        <v>0.28000000000000003</v>
      </c>
      <c r="K23" s="22">
        <v>0.26</v>
      </c>
      <c r="L23" s="22">
        <v>0.21</v>
      </c>
      <c r="M23" s="22">
        <v>0.17</v>
      </c>
      <c r="N23" s="22">
        <v>0.13</v>
      </c>
      <c r="P23" s="24">
        <v>1996</v>
      </c>
      <c r="Q23" s="9">
        <v>991.4</v>
      </c>
      <c r="R23" s="9">
        <v>398.4</v>
      </c>
      <c r="S23" s="9">
        <v>165</v>
      </c>
      <c r="T23" s="21">
        <v>45.1</v>
      </c>
      <c r="U23" s="9">
        <v>1599.8</v>
      </c>
      <c r="V23" s="9">
        <v>608.4</v>
      </c>
      <c r="W23" s="9">
        <v>207.9</v>
      </c>
      <c r="X23" s="9">
        <v>13</v>
      </c>
    </row>
    <row r="24" spans="2:24">
      <c r="B24" s="20">
        <v>1997</v>
      </c>
      <c r="C24" s="9">
        <v>183330.7</v>
      </c>
      <c r="D24" s="9">
        <v>35508.400000000001</v>
      </c>
      <c r="E24" s="9">
        <v>4286.3999999999996</v>
      </c>
      <c r="F24" s="21">
        <v>933.7</v>
      </c>
      <c r="G24" s="22">
        <v>0.04</v>
      </c>
      <c r="H24" s="22">
        <v>0.19</v>
      </c>
      <c r="I24" s="22">
        <v>0.9</v>
      </c>
      <c r="J24" s="23">
        <v>0.25</v>
      </c>
      <c r="K24" s="22">
        <v>0.19</v>
      </c>
      <c r="L24" s="22">
        <v>0.15</v>
      </c>
      <c r="M24" s="22">
        <v>0.12</v>
      </c>
      <c r="N24" s="22">
        <v>0.1</v>
      </c>
      <c r="P24" s="24">
        <v>1997</v>
      </c>
      <c r="Q24" s="9">
        <v>1680.8</v>
      </c>
      <c r="R24" s="9">
        <v>582.9</v>
      </c>
      <c r="S24" s="9">
        <v>94.3</v>
      </c>
      <c r="T24" s="21">
        <v>23.7</v>
      </c>
      <c r="U24" s="9">
        <v>2381.6999999999998</v>
      </c>
      <c r="V24" s="9">
        <v>700.9</v>
      </c>
      <c r="W24" s="9">
        <v>134.5</v>
      </c>
      <c r="X24" s="9">
        <v>5.6</v>
      </c>
    </row>
    <row r="25" spans="2:24">
      <c r="B25" s="20">
        <v>1998</v>
      </c>
      <c r="C25" s="9">
        <v>248631.7</v>
      </c>
      <c r="D25" s="9">
        <v>55298</v>
      </c>
      <c r="E25" s="9">
        <v>9612.7000000000007</v>
      </c>
      <c r="F25" s="21">
        <v>587.4</v>
      </c>
      <c r="G25" s="22">
        <v>0.06</v>
      </c>
      <c r="H25" s="22">
        <v>0.45</v>
      </c>
      <c r="I25" s="22">
        <v>0.7</v>
      </c>
      <c r="J25" s="23">
        <v>0.2</v>
      </c>
      <c r="K25" s="22">
        <v>0.14000000000000001</v>
      </c>
      <c r="L25" s="22">
        <v>0.11</v>
      </c>
      <c r="M25" s="22">
        <v>0.09</v>
      </c>
      <c r="N25" s="22">
        <v>7.0000000000000007E-2</v>
      </c>
      <c r="P25" s="24">
        <v>1998</v>
      </c>
      <c r="Q25" s="9">
        <v>2212.5</v>
      </c>
      <c r="R25" s="9">
        <v>886.2</v>
      </c>
      <c r="S25" s="9">
        <v>173.7</v>
      </c>
      <c r="T25" s="21">
        <v>12.7</v>
      </c>
      <c r="U25" s="9">
        <v>3285.1</v>
      </c>
      <c r="V25" s="9">
        <v>1072.5</v>
      </c>
      <c r="W25" s="9">
        <v>319.39999999999998</v>
      </c>
      <c r="X25" s="9">
        <v>9.6999999999999993</v>
      </c>
    </row>
    <row r="26" spans="2:24">
      <c r="B26" s="20">
        <v>1999</v>
      </c>
      <c r="C26" s="9">
        <v>161113.70000000001</v>
      </c>
      <c r="D26" s="9">
        <v>77177.399999999994</v>
      </c>
      <c r="E26" s="9">
        <v>11963.4</v>
      </c>
      <c r="F26" s="21">
        <v>1657.1</v>
      </c>
      <c r="G26" s="22">
        <v>0.09</v>
      </c>
      <c r="H26" s="22">
        <v>0.38</v>
      </c>
      <c r="I26" s="22">
        <v>0.67</v>
      </c>
      <c r="J26" s="23">
        <v>0.19</v>
      </c>
      <c r="K26" s="22">
        <v>0.16</v>
      </c>
      <c r="L26" s="22">
        <v>0.12</v>
      </c>
      <c r="M26" s="22">
        <v>0.1</v>
      </c>
      <c r="N26" s="22">
        <v>0.08</v>
      </c>
      <c r="P26" s="24">
        <v>1999</v>
      </c>
      <c r="Q26" s="9">
        <v>1321.4</v>
      </c>
      <c r="R26" s="9">
        <v>1060.3</v>
      </c>
      <c r="S26" s="9">
        <v>230.7</v>
      </c>
      <c r="T26" s="21">
        <v>39.4</v>
      </c>
      <c r="U26" s="9">
        <v>2651.9</v>
      </c>
      <c r="V26" s="9">
        <v>1330.4</v>
      </c>
      <c r="W26" s="9">
        <v>328</v>
      </c>
      <c r="X26" s="9">
        <v>12.4</v>
      </c>
    </row>
    <row r="27" spans="2:24">
      <c r="B27" s="20">
        <v>2000</v>
      </c>
      <c r="C27" s="9">
        <v>147541.29999999999</v>
      </c>
      <c r="D27" s="9">
        <v>48155.3</v>
      </c>
      <c r="E27" s="9">
        <v>17714.3</v>
      </c>
      <c r="F27" s="21">
        <v>2112.8000000000002</v>
      </c>
      <c r="G27" s="22">
        <v>0.05</v>
      </c>
      <c r="H27" s="22">
        <v>0.27</v>
      </c>
      <c r="I27" s="22">
        <v>0.4</v>
      </c>
      <c r="J27" s="23">
        <v>0.11</v>
      </c>
      <c r="K27" s="22">
        <v>0.14000000000000001</v>
      </c>
      <c r="L27" s="22">
        <v>0.12</v>
      </c>
      <c r="M27" s="22">
        <v>0.09</v>
      </c>
      <c r="N27" s="22">
        <v>7.0000000000000007E-2</v>
      </c>
      <c r="P27" s="24">
        <v>2000</v>
      </c>
      <c r="Q27" s="9">
        <v>1095.5999999999999</v>
      </c>
      <c r="R27" s="9">
        <v>836.2</v>
      </c>
      <c r="S27" s="9">
        <v>346.9</v>
      </c>
      <c r="T27" s="21">
        <v>51.1</v>
      </c>
      <c r="U27" s="9">
        <v>2329.8000000000002</v>
      </c>
      <c r="V27" s="9">
        <v>1234.2</v>
      </c>
      <c r="W27" s="9">
        <v>213.1</v>
      </c>
      <c r="X27" s="9">
        <v>9.1</v>
      </c>
    </row>
    <row r="28" spans="2:24">
      <c r="B28" s="20">
        <v>2001</v>
      </c>
      <c r="C28" s="9">
        <v>222773.8</v>
      </c>
      <c r="D28" s="9">
        <v>46376.4</v>
      </c>
      <c r="E28" s="9">
        <v>12533.1</v>
      </c>
      <c r="F28" s="21">
        <v>4132.1000000000004</v>
      </c>
      <c r="G28" s="22">
        <v>0.02</v>
      </c>
      <c r="H28" s="22">
        <v>0.28999999999999998</v>
      </c>
      <c r="I28" s="22">
        <v>0.53</v>
      </c>
      <c r="J28" s="23">
        <v>0.15</v>
      </c>
      <c r="K28" s="22">
        <v>0.14000000000000001</v>
      </c>
      <c r="L28" s="22">
        <v>0.11</v>
      </c>
      <c r="M28" s="22">
        <v>0.09</v>
      </c>
      <c r="N28" s="22">
        <v>7.0000000000000007E-2</v>
      </c>
      <c r="P28" s="24">
        <v>2001</v>
      </c>
      <c r="Q28" s="9">
        <v>1605.9</v>
      </c>
      <c r="R28" s="9">
        <v>717.8</v>
      </c>
      <c r="S28" s="9">
        <v>270.39999999999998</v>
      </c>
      <c r="T28" s="21">
        <v>104.3</v>
      </c>
      <c r="U28" s="9">
        <v>2698.5</v>
      </c>
      <c r="V28" s="9">
        <v>1092.5999999999999</v>
      </c>
      <c r="W28" s="9">
        <v>197.9</v>
      </c>
      <c r="X28" s="9">
        <v>7.3</v>
      </c>
    </row>
    <row r="29" spans="2:24">
      <c r="B29" s="20">
        <v>2002</v>
      </c>
      <c r="C29" s="9">
        <v>232446.8</v>
      </c>
      <c r="D29" s="9">
        <v>72380.800000000003</v>
      </c>
      <c r="E29" s="9">
        <v>11830.2</v>
      </c>
      <c r="F29" s="21">
        <v>2564.5</v>
      </c>
      <c r="G29" s="22">
        <v>0.04</v>
      </c>
      <c r="H29" s="22">
        <v>0.48</v>
      </c>
      <c r="I29" s="22">
        <v>0.59</v>
      </c>
      <c r="J29" s="23">
        <v>0.17</v>
      </c>
      <c r="K29" s="22">
        <v>0.15</v>
      </c>
      <c r="L29" s="22">
        <v>0.12</v>
      </c>
      <c r="M29" s="22">
        <v>0.1</v>
      </c>
      <c r="N29" s="22">
        <v>0.08</v>
      </c>
      <c r="P29" s="24">
        <v>2002</v>
      </c>
      <c r="Q29" s="9">
        <v>1920.7</v>
      </c>
      <c r="R29" s="9">
        <v>1007.4</v>
      </c>
      <c r="S29" s="9">
        <v>231.9</v>
      </c>
      <c r="T29" s="21">
        <v>66</v>
      </c>
      <c r="U29" s="9">
        <v>3226</v>
      </c>
      <c r="V29" s="9">
        <v>1305.3</v>
      </c>
      <c r="W29" s="9">
        <v>334.4</v>
      </c>
      <c r="X29" s="9">
        <v>10.4</v>
      </c>
    </row>
    <row r="30" spans="2:24">
      <c r="B30" s="20">
        <v>2003</v>
      </c>
      <c r="C30" s="9">
        <v>222666.1</v>
      </c>
      <c r="D30" s="9">
        <v>72672.800000000003</v>
      </c>
      <c r="E30" s="9">
        <v>15120.7</v>
      </c>
      <c r="F30" s="21">
        <v>2252.6</v>
      </c>
      <c r="G30" s="22">
        <v>0.04</v>
      </c>
      <c r="H30" s="22">
        <v>0.47</v>
      </c>
      <c r="I30" s="22">
        <v>0.99</v>
      </c>
      <c r="J30" s="23">
        <v>0.28000000000000003</v>
      </c>
      <c r="K30" s="22">
        <v>0.14000000000000001</v>
      </c>
      <c r="L30" s="22">
        <v>0.11</v>
      </c>
      <c r="M30" s="22">
        <v>0.09</v>
      </c>
      <c r="N30" s="22">
        <v>7.0000000000000007E-2</v>
      </c>
      <c r="P30" s="24">
        <v>2003</v>
      </c>
      <c r="Q30" s="9">
        <v>1894</v>
      </c>
      <c r="R30" s="9">
        <v>1137.2</v>
      </c>
      <c r="S30" s="9">
        <v>288.3</v>
      </c>
      <c r="T30" s="21">
        <v>53.7</v>
      </c>
      <c r="U30" s="9">
        <v>3373.2</v>
      </c>
      <c r="V30" s="9">
        <v>1479.2</v>
      </c>
      <c r="W30" s="9">
        <v>408</v>
      </c>
      <c r="X30" s="9">
        <v>12.1</v>
      </c>
    </row>
    <row r="31" spans="2:24">
      <c r="B31" s="20">
        <v>2004</v>
      </c>
      <c r="C31" s="9">
        <v>196285.1</v>
      </c>
      <c r="D31" s="9">
        <v>70667.100000000006</v>
      </c>
      <c r="E31" s="9">
        <v>15429.9</v>
      </c>
      <c r="F31" s="21">
        <v>1955.8</v>
      </c>
      <c r="G31" s="22">
        <v>0.04</v>
      </c>
      <c r="H31" s="22">
        <v>0.61</v>
      </c>
      <c r="I31" s="22">
        <v>0.98</v>
      </c>
      <c r="J31" s="23">
        <v>0.27</v>
      </c>
      <c r="K31" s="22">
        <v>0.39</v>
      </c>
      <c r="L31" s="22">
        <v>0.31</v>
      </c>
      <c r="M31" s="22">
        <v>0.25</v>
      </c>
      <c r="N31" s="22">
        <v>0.2</v>
      </c>
      <c r="P31" s="24">
        <v>2004</v>
      </c>
      <c r="Q31" s="9">
        <v>2036</v>
      </c>
      <c r="R31" s="9">
        <v>1075.5999999999999</v>
      </c>
      <c r="S31" s="9">
        <v>293.60000000000002</v>
      </c>
      <c r="T31" s="21">
        <v>44.2</v>
      </c>
      <c r="U31" s="9">
        <v>3449.4</v>
      </c>
      <c r="V31" s="9">
        <v>1413.4</v>
      </c>
      <c r="W31" s="9">
        <v>401.9</v>
      </c>
      <c r="X31" s="9">
        <v>11.7</v>
      </c>
    </row>
    <row r="32" spans="2:24">
      <c r="B32" s="20">
        <v>2005</v>
      </c>
      <c r="C32" s="9">
        <v>257611.3</v>
      </c>
      <c r="D32" s="9">
        <v>48577.5</v>
      </c>
      <c r="E32" s="9">
        <v>10704.8</v>
      </c>
      <c r="F32" s="21">
        <v>1715</v>
      </c>
      <c r="G32" s="22">
        <v>0.03</v>
      </c>
      <c r="H32" s="22">
        <v>0.35</v>
      </c>
      <c r="I32" s="22">
        <v>1.1499999999999999</v>
      </c>
      <c r="J32" s="23">
        <v>0.32</v>
      </c>
      <c r="K32" s="22">
        <v>0.41</v>
      </c>
      <c r="L32" s="22">
        <v>0.33</v>
      </c>
      <c r="M32" s="22">
        <v>0.26</v>
      </c>
      <c r="N32" s="22">
        <v>0.21</v>
      </c>
      <c r="P32" s="24">
        <v>2005</v>
      </c>
      <c r="Q32" s="9">
        <v>1655.6</v>
      </c>
      <c r="R32" s="9">
        <v>807.8</v>
      </c>
      <c r="S32" s="9">
        <v>216.4</v>
      </c>
      <c r="T32" s="21">
        <v>40.700000000000003</v>
      </c>
      <c r="U32" s="9">
        <v>2720.4</v>
      </c>
      <c r="V32" s="9">
        <v>1064.8</v>
      </c>
      <c r="W32" s="9">
        <v>237.7</v>
      </c>
      <c r="X32" s="9">
        <v>8.6999999999999993</v>
      </c>
    </row>
    <row r="33" spans="2:24">
      <c r="B33" s="20">
        <v>2006</v>
      </c>
      <c r="C33" s="9">
        <v>175845.2</v>
      </c>
      <c r="D33" s="9">
        <v>63186</v>
      </c>
      <c r="E33" s="9">
        <v>9395.5</v>
      </c>
      <c r="F33" s="21">
        <v>991.7</v>
      </c>
      <c r="G33" s="22">
        <v>7.0000000000000007E-2</v>
      </c>
      <c r="H33" s="22">
        <v>0.56000000000000005</v>
      </c>
      <c r="I33" s="22">
        <v>0.72</v>
      </c>
      <c r="J33" s="23">
        <v>0.2</v>
      </c>
      <c r="K33" s="22">
        <v>0.35</v>
      </c>
      <c r="L33" s="22">
        <v>0.28000000000000003</v>
      </c>
      <c r="M33" s="22">
        <v>0.22</v>
      </c>
      <c r="N33" s="22">
        <v>0.18</v>
      </c>
      <c r="P33" s="24">
        <v>2006</v>
      </c>
      <c r="Q33" s="9">
        <v>1533.4</v>
      </c>
      <c r="R33" s="9">
        <v>862.5</v>
      </c>
      <c r="S33" s="9">
        <v>176.1</v>
      </c>
      <c r="T33" s="21">
        <v>23.2</v>
      </c>
      <c r="U33" s="9">
        <v>2595.1999999999998</v>
      </c>
      <c r="V33" s="9">
        <v>1061.8</v>
      </c>
      <c r="W33" s="9">
        <v>303.39999999999998</v>
      </c>
      <c r="X33" s="9">
        <v>11.7</v>
      </c>
    </row>
    <row r="34" spans="2:24">
      <c r="B34" s="20">
        <v>2007</v>
      </c>
      <c r="C34" s="9">
        <v>231034.3</v>
      </c>
      <c r="D34" s="9">
        <v>44156.4</v>
      </c>
      <c r="E34" s="9">
        <v>10398.1</v>
      </c>
      <c r="F34" s="21">
        <v>1396.4</v>
      </c>
      <c r="G34" s="22">
        <v>0.03</v>
      </c>
      <c r="H34" s="22">
        <v>0.55000000000000004</v>
      </c>
      <c r="I34" s="22">
        <v>0.67</v>
      </c>
      <c r="J34" s="23">
        <v>0.19</v>
      </c>
      <c r="K34" s="22">
        <v>0.32</v>
      </c>
      <c r="L34" s="22">
        <v>0.25</v>
      </c>
      <c r="M34" s="22">
        <v>0.2</v>
      </c>
      <c r="N34" s="22">
        <v>0.16</v>
      </c>
      <c r="P34" s="24">
        <v>2007</v>
      </c>
      <c r="Q34" s="9">
        <v>1375.4</v>
      </c>
      <c r="R34" s="9">
        <v>697.4</v>
      </c>
      <c r="S34" s="9">
        <v>202.6</v>
      </c>
      <c r="T34" s="21">
        <v>31.8</v>
      </c>
      <c r="U34" s="9">
        <v>2307.1999999999998</v>
      </c>
      <c r="V34" s="9">
        <v>931.7</v>
      </c>
      <c r="W34" s="9">
        <v>242.5</v>
      </c>
      <c r="X34" s="9">
        <v>10.5</v>
      </c>
    </row>
    <row r="35" spans="2:24">
      <c r="B35" s="20">
        <v>2008</v>
      </c>
      <c r="C35" s="9">
        <v>287770.7</v>
      </c>
      <c r="D35" s="9">
        <v>61853.9</v>
      </c>
      <c r="E35" s="9">
        <v>7517</v>
      </c>
      <c r="F35" s="21">
        <v>1655.4</v>
      </c>
      <c r="G35" s="22">
        <v>0.09</v>
      </c>
      <c r="H35" s="22">
        <v>0.22</v>
      </c>
      <c r="I35" s="22">
        <v>0.57999999999999996</v>
      </c>
      <c r="J35" s="23">
        <v>0.16</v>
      </c>
      <c r="K35" s="22">
        <v>0.25</v>
      </c>
      <c r="L35" s="22">
        <v>0.2</v>
      </c>
      <c r="M35" s="22">
        <v>0.16</v>
      </c>
      <c r="N35" s="22">
        <v>0.13</v>
      </c>
      <c r="P35" s="24">
        <v>2008</v>
      </c>
      <c r="Q35" s="9">
        <v>1427.2</v>
      </c>
      <c r="R35" s="9">
        <v>908.6</v>
      </c>
      <c r="S35" s="9">
        <v>157.6</v>
      </c>
      <c r="T35" s="21">
        <v>39.799999999999997</v>
      </c>
      <c r="U35" s="9">
        <v>2533.1</v>
      </c>
      <c r="V35" s="9">
        <v>1106</v>
      </c>
      <c r="W35" s="9">
        <v>209.1</v>
      </c>
      <c r="X35" s="9">
        <v>8.3000000000000007</v>
      </c>
    </row>
    <row r="36" spans="2:24">
      <c r="B36" s="20">
        <v>2009</v>
      </c>
      <c r="C36" s="9">
        <v>248788.9</v>
      </c>
      <c r="D36" s="9">
        <v>77803.199999999997</v>
      </c>
      <c r="E36" s="9">
        <v>15520.1</v>
      </c>
      <c r="F36" s="21">
        <v>1362.5</v>
      </c>
      <c r="G36" s="22">
        <v>0.03</v>
      </c>
      <c r="H36" s="22">
        <v>0.32</v>
      </c>
      <c r="I36" s="22">
        <v>0.32</v>
      </c>
      <c r="J36" s="23">
        <v>0.09</v>
      </c>
      <c r="K36" s="22">
        <v>0.36</v>
      </c>
      <c r="L36" s="22">
        <v>0.28999999999999998</v>
      </c>
      <c r="M36" s="22">
        <v>0.23</v>
      </c>
      <c r="N36" s="22">
        <v>0.18</v>
      </c>
      <c r="P36" s="24">
        <v>2009</v>
      </c>
      <c r="Q36" s="9">
        <v>1982.6</v>
      </c>
      <c r="R36" s="9">
        <v>1131.5999999999999</v>
      </c>
      <c r="S36" s="9">
        <v>288.10000000000002</v>
      </c>
      <c r="T36" s="21">
        <v>29.8</v>
      </c>
      <c r="U36" s="9">
        <v>3432.1</v>
      </c>
      <c r="V36" s="9">
        <v>1449.5</v>
      </c>
      <c r="W36" s="9">
        <v>240.9</v>
      </c>
      <c r="X36" s="9">
        <v>7</v>
      </c>
    </row>
    <row r="37" spans="2:24">
      <c r="B37" s="20">
        <v>2010</v>
      </c>
      <c r="C37" s="9">
        <v>227984.1</v>
      </c>
      <c r="D37" s="9">
        <v>64227.6</v>
      </c>
      <c r="E37" s="9">
        <v>16118.8</v>
      </c>
      <c r="F37" s="21">
        <v>3414.4</v>
      </c>
      <c r="G37" s="22">
        <v>0.06</v>
      </c>
      <c r="H37" s="22">
        <v>0.32</v>
      </c>
      <c r="I37" s="22">
        <v>0.41</v>
      </c>
      <c r="J37" s="23">
        <v>0.12</v>
      </c>
      <c r="K37" s="22">
        <v>0.42</v>
      </c>
      <c r="L37" s="22">
        <v>0.34</v>
      </c>
      <c r="M37" s="22">
        <v>0.27</v>
      </c>
      <c r="N37" s="22">
        <v>0.22</v>
      </c>
      <c r="P37" s="24">
        <v>2010</v>
      </c>
      <c r="Q37" s="9">
        <v>1407.3</v>
      </c>
      <c r="R37" s="9">
        <v>1006.6</v>
      </c>
      <c r="S37" s="9">
        <v>332</v>
      </c>
      <c r="T37" s="21">
        <v>83.7</v>
      </c>
      <c r="U37" s="9">
        <v>2829.6</v>
      </c>
      <c r="V37" s="9">
        <v>1422.3</v>
      </c>
      <c r="W37" s="9">
        <v>247.6</v>
      </c>
      <c r="X37" s="9">
        <v>8.8000000000000007</v>
      </c>
    </row>
    <row r="38" spans="2:24">
      <c r="B38" s="20">
        <v>2011</v>
      </c>
      <c r="C38" s="9">
        <v>271553.5</v>
      </c>
      <c r="D38" s="9">
        <v>53923.3</v>
      </c>
      <c r="E38" s="9">
        <v>12673.5</v>
      </c>
      <c r="F38" s="21">
        <v>3097.6</v>
      </c>
      <c r="G38" s="22">
        <v>0.03</v>
      </c>
      <c r="H38" s="22">
        <v>0.26</v>
      </c>
      <c r="I38" s="22">
        <v>0.31</v>
      </c>
      <c r="J38" s="23">
        <v>0.09</v>
      </c>
      <c r="K38" s="22">
        <v>0.48</v>
      </c>
      <c r="L38" s="22">
        <v>0.38</v>
      </c>
      <c r="M38" s="22">
        <v>0.31</v>
      </c>
      <c r="N38" s="22">
        <v>0.25</v>
      </c>
      <c r="P38" s="24">
        <v>2011</v>
      </c>
      <c r="Q38" s="9">
        <v>2010.4</v>
      </c>
      <c r="R38" s="9">
        <v>779.9</v>
      </c>
      <c r="S38" s="9">
        <v>255</v>
      </c>
      <c r="T38" s="21">
        <v>75.400000000000006</v>
      </c>
      <c r="U38" s="9">
        <v>3120.7</v>
      </c>
      <c r="V38" s="9">
        <v>1110.3</v>
      </c>
      <c r="W38" s="9">
        <v>160</v>
      </c>
      <c r="X38" s="9">
        <v>5.0999999999999996</v>
      </c>
    </row>
    <row r="39" spans="2:24">
      <c r="B39" s="20">
        <v>2012</v>
      </c>
      <c r="C39" s="9">
        <v>289660.09999999998</v>
      </c>
      <c r="D39" s="9">
        <v>62184.6</v>
      </c>
      <c r="E39" s="9">
        <v>10738.7</v>
      </c>
      <c r="F39" s="21">
        <v>2592.4</v>
      </c>
      <c r="G39" s="22">
        <v>0.05</v>
      </c>
      <c r="H39" s="22">
        <v>0.27</v>
      </c>
      <c r="I39" s="22">
        <v>0.28000000000000003</v>
      </c>
      <c r="J39" s="23">
        <v>0.08</v>
      </c>
      <c r="K39" s="22">
        <v>0.64</v>
      </c>
      <c r="L39" s="22">
        <v>0.51</v>
      </c>
      <c r="M39" s="22">
        <v>0.41</v>
      </c>
      <c r="N39" s="22">
        <v>0.33</v>
      </c>
      <c r="P39" s="24">
        <v>2012</v>
      </c>
      <c r="Q39" s="9">
        <v>1384.3</v>
      </c>
      <c r="R39" s="9">
        <v>870.9</v>
      </c>
      <c r="S39" s="9">
        <v>208</v>
      </c>
      <c r="T39" s="21">
        <v>65.400000000000006</v>
      </c>
      <c r="U39" s="9">
        <v>2528.6</v>
      </c>
      <c r="V39" s="9">
        <v>1144.3</v>
      </c>
      <c r="W39" s="9">
        <v>154.5</v>
      </c>
      <c r="X39" s="9">
        <v>6.1</v>
      </c>
    </row>
    <row r="40" spans="2:24">
      <c r="B40" s="20">
        <v>2013</v>
      </c>
      <c r="C40" s="9">
        <v>454895.1</v>
      </c>
      <c r="D40" s="9">
        <v>55567.9</v>
      </c>
      <c r="E40" s="9">
        <v>10904.7</v>
      </c>
      <c r="F40" s="21">
        <v>2060</v>
      </c>
      <c r="G40" s="22">
        <v>7.0000000000000007E-2</v>
      </c>
      <c r="H40" s="22">
        <v>0.42</v>
      </c>
      <c r="I40" s="22">
        <v>0.4</v>
      </c>
      <c r="J40" s="23">
        <v>0.11</v>
      </c>
      <c r="K40" s="22">
        <v>1.62</v>
      </c>
      <c r="L40" s="22">
        <v>1.29</v>
      </c>
      <c r="M40" s="22">
        <v>1.03</v>
      </c>
      <c r="N40" s="22">
        <v>0.83</v>
      </c>
      <c r="P40" s="24">
        <v>2013</v>
      </c>
      <c r="Q40" s="9">
        <v>2413</v>
      </c>
      <c r="R40" s="9">
        <v>735.1</v>
      </c>
      <c r="S40" s="9">
        <v>226.7</v>
      </c>
      <c r="T40" s="21">
        <v>49.7</v>
      </c>
      <c r="U40" s="9">
        <v>3424.4</v>
      </c>
      <c r="V40" s="9">
        <v>1011.4</v>
      </c>
      <c r="W40" s="9">
        <v>156</v>
      </c>
      <c r="X40" s="9">
        <v>4.5999999999999996</v>
      </c>
    </row>
    <row r="41" spans="2:24">
      <c r="B41" s="20">
        <v>2014</v>
      </c>
      <c r="C41" s="9">
        <v>192416.2</v>
      </c>
      <c r="D41" s="9">
        <v>32008.1</v>
      </c>
      <c r="E41" s="9">
        <v>3822.5</v>
      </c>
      <c r="F41" s="21">
        <v>991.7</v>
      </c>
      <c r="G41" s="22">
        <v>0.35</v>
      </c>
      <c r="H41" s="22">
        <v>1.08</v>
      </c>
      <c r="I41" s="22">
        <v>0.51</v>
      </c>
      <c r="J41" s="23">
        <v>0.14000000000000001</v>
      </c>
      <c r="K41" s="22">
        <v>1.73</v>
      </c>
      <c r="L41" s="22">
        <v>1.38</v>
      </c>
      <c r="M41" s="22">
        <v>1.1100000000000001</v>
      </c>
      <c r="N41" s="22">
        <v>0.89</v>
      </c>
      <c r="P41" s="24">
        <v>2014</v>
      </c>
      <c r="Q41" s="9">
        <v>854.5</v>
      </c>
      <c r="R41" s="9">
        <v>324.60000000000002</v>
      </c>
      <c r="S41" s="9">
        <v>76.8</v>
      </c>
      <c r="T41" s="21">
        <v>25.5</v>
      </c>
      <c r="U41" s="9">
        <v>1281.4000000000001</v>
      </c>
      <c r="V41" s="9">
        <v>426.9</v>
      </c>
      <c r="W41" s="9">
        <v>144</v>
      </c>
      <c r="X41" s="9">
        <v>11.2</v>
      </c>
    </row>
    <row r="42" spans="2:24">
      <c r="B42" s="20">
        <v>2015</v>
      </c>
      <c r="C42" s="9">
        <v>206185</v>
      </c>
      <c r="D42" s="9">
        <v>9152.2000000000007</v>
      </c>
      <c r="E42" s="9">
        <v>1033</v>
      </c>
      <c r="F42" s="21">
        <v>287.7</v>
      </c>
      <c r="G42" s="22">
        <v>0.24</v>
      </c>
      <c r="H42" s="22">
        <v>0.86</v>
      </c>
      <c r="I42" s="22">
        <v>1.35</v>
      </c>
      <c r="J42" s="23">
        <v>0.38</v>
      </c>
      <c r="K42" s="22">
        <v>1.57</v>
      </c>
      <c r="L42" s="22">
        <v>1.25</v>
      </c>
      <c r="M42" s="22">
        <v>1</v>
      </c>
      <c r="N42" s="22">
        <v>0.8</v>
      </c>
      <c r="P42" s="24">
        <v>2015</v>
      </c>
      <c r="Q42" s="9">
        <v>709.1</v>
      </c>
      <c r="R42" s="9">
        <v>90.8</v>
      </c>
      <c r="S42" s="9">
        <v>21.7</v>
      </c>
      <c r="T42" s="21">
        <v>7.6</v>
      </c>
      <c r="U42" s="9">
        <v>829.1</v>
      </c>
      <c r="V42" s="9">
        <v>120</v>
      </c>
      <c r="W42" s="9">
        <v>66.5</v>
      </c>
      <c r="X42" s="9">
        <v>8</v>
      </c>
    </row>
    <row r="43" spans="2:24">
      <c r="B43" s="20">
        <v>2016</v>
      </c>
      <c r="C43" s="9">
        <v>125865.2</v>
      </c>
      <c r="D43" s="9">
        <v>12940.6</v>
      </c>
      <c r="E43" s="9">
        <v>420.1</v>
      </c>
      <c r="F43" s="21">
        <v>37.4</v>
      </c>
      <c r="G43" s="22">
        <v>0.32</v>
      </c>
      <c r="H43" s="22">
        <v>1.76</v>
      </c>
      <c r="I43" s="22">
        <v>1.39</v>
      </c>
      <c r="J43" s="23">
        <v>0.39</v>
      </c>
      <c r="K43" s="22">
        <v>1.4</v>
      </c>
      <c r="L43" s="22">
        <v>1.1200000000000001</v>
      </c>
      <c r="M43" s="22">
        <v>0.89</v>
      </c>
      <c r="N43" s="22">
        <v>0.72</v>
      </c>
      <c r="P43" s="24">
        <v>2016</v>
      </c>
      <c r="Q43" s="9">
        <v>553.79999999999995</v>
      </c>
      <c r="R43" s="9">
        <v>100.6</v>
      </c>
      <c r="S43" s="9">
        <v>7.2</v>
      </c>
      <c r="T43" s="21">
        <v>0.8</v>
      </c>
      <c r="U43" s="9">
        <v>662.5</v>
      </c>
      <c r="V43" s="9">
        <v>108.7</v>
      </c>
      <c r="W43" s="9">
        <v>77.7</v>
      </c>
      <c r="X43" s="9">
        <v>11.7</v>
      </c>
    </row>
    <row r="44" spans="2:24">
      <c r="B44" s="20">
        <v>2017</v>
      </c>
      <c r="C44" s="9">
        <v>70884.2</v>
      </c>
      <c r="D44" s="9">
        <v>8633.1</v>
      </c>
      <c r="E44" s="9">
        <v>278</v>
      </c>
      <c r="F44" s="21">
        <v>16.3</v>
      </c>
      <c r="G44" s="22">
        <v>0.4</v>
      </c>
      <c r="H44" s="22">
        <v>1.62</v>
      </c>
      <c r="I44" s="22">
        <v>1.65</v>
      </c>
      <c r="J44" s="23">
        <v>0.46</v>
      </c>
      <c r="K44" s="22">
        <v>1.22</v>
      </c>
      <c r="L44" s="22">
        <v>0.97</v>
      </c>
      <c r="M44" s="22">
        <v>0.78</v>
      </c>
      <c r="N44" s="22">
        <v>0.62</v>
      </c>
      <c r="P44" s="24">
        <v>2017</v>
      </c>
      <c r="Q44" s="9">
        <v>288.60000000000002</v>
      </c>
      <c r="R44" s="9">
        <v>67.400000000000006</v>
      </c>
      <c r="S44" s="9">
        <v>4.3</v>
      </c>
      <c r="T44" s="21">
        <v>0.4</v>
      </c>
      <c r="U44" s="9">
        <v>360.6</v>
      </c>
      <c r="V44" s="9">
        <v>72</v>
      </c>
      <c r="W44" s="9">
        <v>54.3</v>
      </c>
      <c r="X44" s="9">
        <v>15.1</v>
      </c>
    </row>
    <row r="45" spans="2:24">
      <c r="B45" s="20">
        <v>2018</v>
      </c>
      <c r="C45" s="9">
        <v>80496.600000000006</v>
      </c>
      <c r="D45" s="9">
        <v>5340.4</v>
      </c>
      <c r="E45" s="9">
        <v>245.3</v>
      </c>
      <c r="F45" s="21">
        <v>9.3000000000000007</v>
      </c>
      <c r="G45" s="22">
        <v>0.15</v>
      </c>
      <c r="H45" s="22">
        <v>1.39</v>
      </c>
      <c r="I45" s="22">
        <v>1.31</v>
      </c>
      <c r="J45" s="23">
        <v>0.37</v>
      </c>
      <c r="K45" s="22">
        <v>1.1499999999999999</v>
      </c>
      <c r="L45" s="22">
        <v>0.92</v>
      </c>
      <c r="M45" s="22">
        <v>0.74</v>
      </c>
      <c r="N45" s="22">
        <v>0.59</v>
      </c>
      <c r="P45" s="24">
        <v>2018</v>
      </c>
      <c r="Q45" s="9">
        <v>340.6</v>
      </c>
      <c r="R45" s="9">
        <v>38.9</v>
      </c>
      <c r="S45" s="9">
        <v>3.7</v>
      </c>
      <c r="T45" s="21">
        <v>0.2</v>
      </c>
      <c r="U45" s="9">
        <v>383.4</v>
      </c>
      <c r="V45" s="9">
        <v>42.7</v>
      </c>
      <c r="W45" s="9">
        <v>29.1</v>
      </c>
      <c r="X45" s="9">
        <v>7.6</v>
      </c>
    </row>
    <row r="46" spans="2:24">
      <c r="B46" s="20">
        <v>2019</v>
      </c>
      <c r="C46" s="9">
        <v>125908.3</v>
      </c>
      <c r="D46" s="9">
        <v>8356.9</v>
      </c>
      <c r="E46" s="9">
        <v>202.5</v>
      </c>
      <c r="F46" s="21">
        <v>12.1</v>
      </c>
      <c r="G46" s="22">
        <v>0.26</v>
      </c>
      <c r="H46" s="22">
        <v>0.89</v>
      </c>
      <c r="I46" s="22">
        <v>0.31</v>
      </c>
      <c r="J46" s="23">
        <v>0.09</v>
      </c>
      <c r="K46" s="22">
        <v>1.03</v>
      </c>
      <c r="L46" s="22">
        <v>0.83</v>
      </c>
      <c r="M46" s="22">
        <v>0.66</v>
      </c>
      <c r="N46" s="22">
        <v>0.53</v>
      </c>
      <c r="P46" s="24">
        <v>2019</v>
      </c>
      <c r="Q46" s="9">
        <v>361.2</v>
      </c>
      <c r="R46" s="9">
        <v>57.6</v>
      </c>
      <c r="S46" s="9">
        <v>2.6</v>
      </c>
      <c r="T46" s="21">
        <v>0.2</v>
      </c>
      <c r="U46" s="9">
        <v>421.6</v>
      </c>
      <c r="V46" s="9">
        <v>60.4</v>
      </c>
      <c r="W46" s="9">
        <v>44.3</v>
      </c>
      <c r="X46" s="9">
        <v>10.5</v>
      </c>
    </row>
    <row r="47" spans="2:24">
      <c r="B47" s="20">
        <v>2020</v>
      </c>
      <c r="C47" s="9">
        <v>166855.20000000001</v>
      </c>
      <c r="D47" s="9">
        <v>13175.1</v>
      </c>
      <c r="E47" s="9">
        <v>569.70000000000005</v>
      </c>
      <c r="F47" s="21">
        <v>29.2</v>
      </c>
      <c r="G47" s="22">
        <v>0.12</v>
      </c>
      <c r="H47" s="22">
        <v>0.47</v>
      </c>
      <c r="I47" s="22">
        <v>0.25</v>
      </c>
      <c r="J47" s="23">
        <v>7.0000000000000007E-2</v>
      </c>
      <c r="K47" s="22">
        <v>0.93</v>
      </c>
      <c r="L47" s="22">
        <v>0.75</v>
      </c>
      <c r="M47" s="22">
        <v>0.6</v>
      </c>
      <c r="N47" s="22">
        <v>0.48</v>
      </c>
      <c r="P47" s="24">
        <v>2020</v>
      </c>
      <c r="Q47" s="9">
        <v>865.8</v>
      </c>
      <c r="R47" s="9">
        <v>115</v>
      </c>
      <c r="S47" s="9">
        <v>9.9</v>
      </c>
      <c r="T47" s="21">
        <v>0.6</v>
      </c>
      <c r="U47" s="9">
        <v>991.3</v>
      </c>
      <c r="V47" s="9">
        <v>125.5</v>
      </c>
      <c r="W47" s="9">
        <v>57</v>
      </c>
      <c r="X47" s="9">
        <v>5.8</v>
      </c>
    </row>
    <row r="48" spans="2:24">
      <c r="B48" s="20">
        <v>2021</v>
      </c>
      <c r="C48" s="9">
        <v>587200.80000000005</v>
      </c>
      <c r="D48" s="9">
        <v>22168</v>
      </c>
      <c r="E48" s="9">
        <v>1490.6</v>
      </c>
      <c r="F48" s="21">
        <v>93.1</v>
      </c>
      <c r="G48" s="22">
        <v>0.04</v>
      </c>
      <c r="H48" s="22">
        <v>0.2</v>
      </c>
      <c r="I48" s="22">
        <v>0.1</v>
      </c>
      <c r="J48" s="23">
        <v>0.03</v>
      </c>
      <c r="K48" s="22">
        <v>1.0900000000000001</v>
      </c>
      <c r="L48" s="22">
        <v>0.87</v>
      </c>
      <c r="M48" s="22">
        <v>0.7</v>
      </c>
      <c r="N48" s="22">
        <v>0.56000000000000005</v>
      </c>
      <c r="P48" s="24">
        <v>2021</v>
      </c>
      <c r="Q48" s="9">
        <v>2308.3000000000002</v>
      </c>
      <c r="R48" s="9">
        <v>162.9</v>
      </c>
      <c r="S48" s="9">
        <v>28.9</v>
      </c>
      <c r="T48" s="21">
        <v>2.1</v>
      </c>
      <c r="U48" s="9">
        <v>2502.1999999999998</v>
      </c>
      <c r="V48" s="9">
        <v>193.9</v>
      </c>
      <c r="W48" s="9">
        <v>42.2</v>
      </c>
      <c r="X48" s="9">
        <v>1.7</v>
      </c>
    </row>
    <row r="49" spans="2:24">
      <c r="B49" s="20">
        <v>2022</v>
      </c>
      <c r="C49" s="9">
        <v>225089.7</v>
      </c>
      <c r="D49" s="9">
        <v>72621.3</v>
      </c>
      <c r="E49" s="9">
        <v>2884.5</v>
      </c>
      <c r="F49" s="21">
        <v>257.10000000000002</v>
      </c>
      <c r="G49" s="22">
        <v>7.0000000000000007E-2</v>
      </c>
      <c r="H49" s="22">
        <v>7.0000000000000007E-2</v>
      </c>
      <c r="I49" s="22">
        <v>0.03</v>
      </c>
      <c r="J49" s="23">
        <v>0.01</v>
      </c>
      <c r="K49" s="22">
        <v>1.25</v>
      </c>
      <c r="L49" s="22">
        <v>1</v>
      </c>
      <c r="M49" s="22">
        <v>0.8</v>
      </c>
      <c r="N49" s="22">
        <v>0.64</v>
      </c>
      <c r="P49" s="24">
        <v>2022</v>
      </c>
      <c r="Q49" s="9">
        <v>1262.9000000000001</v>
      </c>
      <c r="R49" s="9">
        <v>495.6</v>
      </c>
      <c r="S49" s="9">
        <v>47.3</v>
      </c>
      <c r="T49" s="21">
        <v>5.7</v>
      </c>
      <c r="U49" s="9">
        <v>1811.5</v>
      </c>
      <c r="V49" s="9">
        <v>548.70000000000005</v>
      </c>
      <c r="W49" s="9">
        <v>40.200000000000003</v>
      </c>
      <c r="X49" s="9">
        <v>2.2000000000000002</v>
      </c>
    </row>
    <row r="50" spans="2:24">
      <c r="B50" s="25">
        <v>2023</v>
      </c>
      <c r="C50" s="11">
        <v>152221.79999999999</v>
      </c>
      <c r="D50" s="11">
        <v>22943.3</v>
      </c>
      <c r="E50" s="11">
        <v>9417.9</v>
      </c>
      <c r="F50" s="26">
        <v>478.4</v>
      </c>
      <c r="G50" s="27">
        <v>7.0000000000000007E-2</v>
      </c>
      <c r="H50" s="27">
        <v>0.25</v>
      </c>
      <c r="I50" s="27">
        <v>0.02</v>
      </c>
      <c r="J50" s="28">
        <v>0.01</v>
      </c>
      <c r="K50" s="27">
        <v>1.1499999999999999</v>
      </c>
      <c r="L50" s="27">
        <v>0.92</v>
      </c>
      <c r="M50" s="27">
        <v>0.74</v>
      </c>
      <c r="N50" s="27">
        <v>0.59</v>
      </c>
      <c r="P50" s="29">
        <v>2023</v>
      </c>
      <c r="Q50" s="11">
        <v>831.7</v>
      </c>
      <c r="R50" s="11">
        <v>227.7</v>
      </c>
      <c r="S50" s="11">
        <v>150.69999999999999</v>
      </c>
      <c r="T50" s="26">
        <v>8.4</v>
      </c>
      <c r="U50" s="11">
        <v>1218.5999999999999</v>
      </c>
      <c r="V50" s="11">
        <v>386.9</v>
      </c>
      <c r="W50" s="11">
        <v>41.2</v>
      </c>
      <c r="X50" s="11">
        <v>3.4</v>
      </c>
    </row>
  </sheetData>
  <mergeCells count="6">
    <mergeCell ref="X3:X4"/>
    <mergeCell ref="B3:B4"/>
    <mergeCell ref="P3:P4"/>
    <mergeCell ref="U3:U4"/>
    <mergeCell ref="V3:V4"/>
    <mergeCell ref="W3:W4"/>
  </mergeCells>
  <phoneticPr fontId="5"/>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2E0DE-4866-47F1-9E04-3C3317F652D4}">
  <sheetPr codeName="Sheet45"/>
  <dimension ref="B1:J50"/>
  <sheetViews>
    <sheetView showGridLines="0" zoomScale="90" zoomScaleNormal="90" workbookViewId="0">
      <selection activeCell="I40" sqref="I40"/>
    </sheetView>
  </sheetViews>
  <sheetFormatPr defaultColWidth="11.42578125" defaultRowHeight="13.5"/>
  <cols>
    <col min="1" max="1" width="2.7109375" style="6" customWidth="1"/>
    <col min="2" max="2" width="5.7109375" style="6" customWidth="1"/>
    <col min="3" max="7" width="12.140625" style="6" customWidth="1"/>
    <col min="8" max="9" width="13.5703125" style="6" customWidth="1"/>
    <col min="10" max="10" width="16.85546875" style="6" customWidth="1"/>
    <col min="11" max="16384" width="11.42578125" style="6"/>
  </cols>
  <sheetData>
    <row r="1" spans="2:10">
      <c r="B1" s="6" t="s">
        <v>661</v>
      </c>
    </row>
    <row r="2" spans="2:10">
      <c r="B2" s="7"/>
      <c r="C2" s="7"/>
      <c r="D2" s="7"/>
      <c r="E2" s="7"/>
      <c r="F2" s="7"/>
      <c r="G2" s="7"/>
      <c r="H2" s="7"/>
      <c r="I2" s="7"/>
      <c r="J2" s="7"/>
    </row>
    <row r="3" spans="2:10">
      <c r="B3" s="259" t="s">
        <v>122</v>
      </c>
      <c r="C3" s="291" t="s">
        <v>662</v>
      </c>
      <c r="D3" s="291"/>
      <c r="E3" s="291"/>
      <c r="F3" s="291"/>
      <c r="G3" s="291"/>
      <c r="H3" s="8" t="s">
        <v>663</v>
      </c>
      <c r="I3" s="12" t="s">
        <v>664</v>
      </c>
      <c r="J3" s="10"/>
    </row>
    <row r="4" spans="2:10" ht="76.5" customHeight="1">
      <c r="B4" s="260"/>
      <c r="C4" s="13" t="s">
        <v>665</v>
      </c>
      <c r="D4" s="13" t="s">
        <v>666</v>
      </c>
      <c r="E4" s="13" t="s">
        <v>667</v>
      </c>
      <c r="F4" s="13" t="s">
        <v>133</v>
      </c>
      <c r="G4" s="13" t="s">
        <v>668</v>
      </c>
      <c r="H4" s="82" t="s">
        <v>669</v>
      </c>
      <c r="I4" s="82" t="s">
        <v>670</v>
      </c>
      <c r="J4" s="45" t="s">
        <v>671</v>
      </c>
    </row>
    <row r="5" spans="2:10">
      <c r="B5" s="6">
        <v>1978</v>
      </c>
      <c r="C5" s="14">
        <v>12446</v>
      </c>
      <c r="D5" s="14">
        <v>10019</v>
      </c>
      <c r="E5" s="14">
        <v>906</v>
      </c>
      <c r="F5" s="14">
        <v>0</v>
      </c>
      <c r="G5" s="14">
        <v>23371</v>
      </c>
      <c r="H5" s="14">
        <v>8643</v>
      </c>
      <c r="I5" s="14">
        <v>17036</v>
      </c>
      <c r="J5" s="14">
        <v>73</v>
      </c>
    </row>
    <row r="6" spans="2:10">
      <c r="B6" s="6">
        <v>1979</v>
      </c>
      <c r="C6" s="14">
        <v>16518</v>
      </c>
      <c r="D6" s="14">
        <v>13732</v>
      </c>
      <c r="E6" s="14">
        <v>3040</v>
      </c>
      <c r="F6" s="14">
        <v>0</v>
      </c>
      <c r="G6" s="14">
        <v>33290</v>
      </c>
      <c r="H6" s="14">
        <v>12384</v>
      </c>
      <c r="I6" s="14">
        <v>27041</v>
      </c>
      <c r="J6" s="14">
        <v>81</v>
      </c>
    </row>
    <row r="7" spans="2:10">
      <c r="B7" s="6">
        <v>1980</v>
      </c>
      <c r="C7" s="14">
        <v>13769</v>
      </c>
      <c r="D7" s="14">
        <v>18559</v>
      </c>
      <c r="E7" s="14">
        <v>2836</v>
      </c>
      <c r="F7" s="14">
        <v>0</v>
      </c>
      <c r="G7" s="14">
        <v>35164</v>
      </c>
      <c r="H7" s="14">
        <v>16791</v>
      </c>
      <c r="I7" s="14">
        <v>25009</v>
      </c>
      <c r="J7" s="14">
        <v>71</v>
      </c>
    </row>
    <row r="8" spans="2:10">
      <c r="B8" s="6">
        <v>1981</v>
      </c>
      <c r="C8" s="14">
        <v>12793</v>
      </c>
      <c r="D8" s="14">
        <v>16264</v>
      </c>
      <c r="E8" s="14">
        <v>1132</v>
      </c>
      <c r="F8" s="14">
        <v>0</v>
      </c>
      <c r="G8" s="14">
        <v>30189</v>
      </c>
      <c r="H8" s="14">
        <v>14880</v>
      </c>
      <c r="I8" s="14">
        <v>26186</v>
      </c>
      <c r="J8" s="14">
        <v>87</v>
      </c>
    </row>
    <row r="9" spans="2:10">
      <c r="B9" s="6">
        <v>1982</v>
      </c>
      <c r="C9" s="14">
        <v>19857</v>
      </c>
      <c r="D9" s="14">
        <v>17015</v>
      </c>
      <c r="E9" s="14">
        <v>1953</v>
      </c>
      <c r="F9" s="14">
        <v>0</v>
      </c>
      <c r="G9" s="14">
        <v>38825</v>
      </c>
      <c r="H9" s="14">
        <v>14039</v>
      </c>
      <c r="I9" s="14">
        <v>32194</v>
      </c>
      <c r="J9" s="14">
        <v>83</v>
      </c>
    </row>
    <row r="10" spans="2:10">
      <c r="B10" s="6">
        <v>1983</v>
      </c>
      <c r="C10" s="14">
        <v>18406</v>
      </c>
      <c r="D10" s="14">
        <v>21879</v>
      </c>
      <c r="E10" s="14">
        <v>2020</v>
      </c>
      <c r="F10" s="14">
        <v>0</v>
      </c>
      <c r="G10" s="14">
        <v>42305</v>
      </c>
      <c r="H10" s="14">
        <v>26069</v>
      </c>
      <c r="I10" s="14">
        <v>35588</v>
      </c>
      <c r="J10" s="14">
        <v>84</v>
      </c>
    </row>
    <row r="11" spans="2:10">
      <c r="B11" s="6">
        <v>1984</v>
      </c>
      <c r="C11" s="14">
        <v>12358</v>
      </c>
      <c r="D11" s="14">
        <v>16725</v>
      </c>
      <c r="E11" s="14">
        <v>3276</v>
      </c>
      <c r="F11" s="14">
        <v>0</v>
      </c>
      <c r="G11" s="14">
        <v>32359</v>
      </c>
      <c r="H11" s="14">
        <v>20092</v>
      </c>
      <c r="I11" s="14">
        <v>23543</v>
      </c>
      <c r="J11" s="14">
        <v>73</v>
      </c>
    </row>
    <row r="12" spans="2:10">
      <c r="B12" s="6">
        <v>1985</v>
      </c>
      <c r="C12" s="14">
        <v>14937</v>
      </c>
      <c r="D12" s="14">
        <v>23692</v>
      </c>
      <c r="E12" s="14">
        <v>2205</v>
      </c>
      <c r="F12" s="14">
        <v>0</v>
      </c>
      <c r="G12" s="14">
        <v>40834</v>
      </c>
      <c r="H12" s="14">
        <v>31951</v>
      </c>
      <c r="I12" s="14">
        <v>26126</v>
      </c>
      <c r="J12" s="14">
        <v>64</v>
      </c>
    </row>
    <row r="13" spans="2:10">
      <c r="B13" s="6">
        <v>1986</v>
      </c>
      <c r="C13" s="14">
        <v>11343</v>
      </c>
      <c r="D13" s="14">
        <v>24721</v>
      </c>
      <c r="E13" s="14">
        <v>4696</v>
      </c>
      <c r="F13" s="14">
        <v>0</v>
      </c>
      <c r="G13" s="14">
        <v>40760</v>
      </c>
      <c r="H13" s="14">
        <v>31792</v>
      </c>
      <c r="I13" s="14">
        <v>27867</v>
      </c>
      <c r="J13" s="14">
        <v>68</v>
      </c>
    </row>
    <row r="14" spans="2:10">
      <c r="B14" s="6">
        <v>1987</v>
      </c>
      <c r="C14" s="14">
        <v>11672</v>
      </c>
      <c r="D14" s="14">
        <v>11274</v>
      </c>
      <c r="E14" s="14">
        <v>4592</v>
      </c>
      <c r="F14" s="14">
        <v>0</v>
      </c>
      <c r="G14" s="14">
        <v>27538</v>
      </c>
      <c r="H14" s="14">
        <v>18945</v>
      </c>
      <c r="I14" s="14">
        <v>15910</v>
      </c>
      <c r="J14" s="14">
        <v>58</v>
      </c>
    </row>
    <row r="15" spans="2:10">
      <c r="B15" s="6">
        <v>1988</v>
      </c>
      <c r="C15" s="14">
        <v>12084</v>
      </c>
      <c r="D15" s="14">
        <v>19414</v>
      </c>
      <c r="E15" s="14">
        <v>7561</v>
      </c>
      <c r="F15" s="14">
        <v>2</v>
      </c>
      <c r="G15" s="14">
        <v>39061</v>
      </c>
      <c r="H15" s="14">
        <v>26228</v>
      </c>
      <c r="I15" s="14">
        <v>25399</v>
      </c>
      <c r="J15" s="14">
        <v>65</v>
      </c>
    </row>
    <row r="16" spans="2:10">
      <c r="B16" s="6">
        <v>1989</v>
      </c>
      <c r="C16" s="14">
        <v>10322</v>
      </c>
      <c r="D16" s="14">
        <v>16344</v>
      </c>
      <c r="E16" s="14">
        <v>4953</v>
      </c>
      <c r="F16" s="14">
        <v>43</v>
      </c>
      <c r="G16" s="14">
        <v>31662</v>
      </c>
      <c r="H16" s="14">
        <v>25025</v>
      </c>
      <c r="I16" s="14">
        <v>21915</v>
      </c>
      <c r="J16" s="14">
        <v>69</v>
      </c>
    </row>
    <row r="17" spans="2:10">
      <c r="B17" s="6">
        <v>1990</v>
      </c>
      <c r="C17" s="14">
        <v>9889</v>
      </c>
      <c r="D17" s="14">
        <v>13054</v>
      </c>
      <c r="E17" s="14">
        <v>3138</v>
      </c>
      <c r="F17" s="14">
        <v>1</v>
      </c>
      <c r="G17" s="14">
        <v>26082</v>
      </c>
      <c r="H17" s="14">
        <v>24526</v>
      </c>
      <c r="I17" s="14">
        <v>17016</v>
      </c>
      <c r="J17" s="14">
        <v>65</v>
      </c>
    </row>
    <row r="18" spans="2:10">
      <c r="B18" s="6">
        <v>1991</v>
      </c>
      <c r="C18" s="14">
        <v>11628</v>
      </c>
      <c r="D18" s="14">
        <v>21929</v>
      </c>
      <c r="E18" s="14">
        <v>4303</v>
      </c>
      <c r="F18" s="14">
        <v>1</v>
      </c>
      <c r="G18" s="14">
        <v>37861</v>
      </c>
      <c r="H18" s="14">
        <v>35500</v>
      </c>
      <c r="I18" s="14">
        <v>28865</v>
      </c>
      <c r="J18" s="14">
        <v>76</v>
      </c>
    </row>
    <row r="19" spans="2:10">
      <c r="B19" s="6">
        <v>1992</v>
      </c>
      <c r="C19" s="14">
        <v>9977</v>
      </c>
      <c r="D19" s="14">
        <v>14921</v>
      </c>
      <c r="E19" s="14">
        <v>3548</v>
      </c>
      <c r="F19" s="14">
        <v>2</v>
      </c>
      <c r="G19" s="14">
        <v>28448</v>
      </c>
      <c r="H19" s="14">
        <v>25022</v>
      </c>
      <c r="I19" s="14">
        <v>20859</v>
      </c>
      <c r="J19" s="14">
        <v>73</v>
      </c>
    </row>
    <row r="20" spans="2:10">
      <c r="B20" s="6">
        <v>1993</v>
      </c>
      <c r="C20" s="14">
        <v>8255</v>
      </c>
      <c r="D20" s="14">
        <v>13553</v>
      </c>
      <c r="E20" s="14">
        <v>3332</v>
      </c>
      <c r="F20" s="14">
        <v>37</v>
      </c>
      <c r="G20" s="14">
        <v>25177</v>
      </c>
      <c r="H20" s="14">
        <v>23119</v>
      </c>
      <c r="I20" s="14">
        <v>18146</v>
      </c>
      <c r="J20" s="14">
        <v>72</v>
      </c>
    </row>
    <row r="21" spans="2:10">
      <c r="B21" s="6">
        <v>1994</v>
      </c>
      <c r="C21" s="14">
        <v>8414</v>
      </c>
      <c r="D21" s="14">
        <v>14498</v>
      </c>
      <c r="E21" s="14">
        <v>3571</v>
      </c>
      <c r="F21" s="14">
        <v>8</v>
      </c>
      <c r="G21" s="14">
        <v>26491</v>
      </c>
      <c r="H21" s="14">
        <v>24239</v>
      </c>
      <c r="I21" s="14">
        <v>20025</v>
      </c>
      <c r="J21" s="14">
        <v>76</v>
      </c>
    </row>
    <row r="22" spans="2:10">
      <c r="B22" s="6">
        <v>1995</v>
      </c>
      <c r="C22" s="14">
        <v>6176</v>
      </c>
      <c r="D22" s="14">
        <v>10833</v>
      </c>
      <c r="E22" s="14">
        <v>6828</v>
      </c>
      <c r="F22" s="14">
        <v>1</v>
      </c>
      <c r="G22" s="14">
        <v>23838</v>
      </c>
      <c r="H22" s="14">
        <v>23099</v>
      </c>
      <c r="I22" s="14">
        <v>18384</v>
      </c>
      <c r="J22" s="14">
        <v>77</v>
      </c>
    </row>
    <row r="23" spans="2:10">
      <c r="B23" s="6">
        <v>1996</v>
      </c>
      <c r="C23" s="14">
        <v>8747</v>
      </c>
      <c r="D23" s="14">
        <v>14974</v>
      </c>
      <c r="E23" s="14">
        <v>3156</v>
      </c>
      <c r="F23" s="14">
        <v>0</v>
      </c>
      <c r="G23" s="14">
        <v>26877</v>
      </c>
      <c r="H23" s="14">
        <v>24559</v>
      </c>
      <c r="I23" s="14">
        <v>20737</v>
      </c>
      <c r="J23" s="14">
        <v>77</v>
      </c>
    </row>
    <row r="24" spans="2:10">
      <c r="B24" s="6">
        <v>1997</v>
      </c>
      <c r="C24" s="14">
        <v>7808</v>
      </c>
      <c r="D24" s="14">
        <v>15679</v>
      </c>
      <c r="E24" s="14">
        <v>6388</v>
      </c>
      <c r="F24" s="14">
        <v>0</v>
      </c>
      <c r="G24" s="14">
        <v>29875</v>
      </c>
      <c r="H24" s="14">
        <v>26104</v>
      </c>
      <c r="I24" s="14">
        <v>24225</v>
      </c>
      <c r="J24" s="14">
        <v>81</v>
      </c>
    </row>
    <row r="25" spans="2:10">
      <c r="B25" s="6">
        <v>1998</v>
      </c>
      <c r="C25" s="14">
        <v>6320</v>
      </c>
      <c r="D25" s="14">
        <v>14960</v>
      </c>
      <c r="E25" s="14">
        <v>2463</v>
      </c>
      <c r="F25" s="14">
        <v>1</v>
      </c>
      <c r="G25" s="14">
        <v>23744</v>
      </c>
      <c r="H25" s="14">
        <v>20126</v>
      </c>
      <c r="I25" s="14">
        <v>20957</v>
      </c>
      <c r="J25" s="14">
        <v>88</v>
      </c>
    </row>
    <row r="26" spans="2:10">
      <c r="B26" s="6">
        <v>1999</v>
      </c>
      <c r="C26" s="14">
        <v>8395</v>
      </c>
      <c r="D26" s="14">
        <v>18877</v>
      </c>
      <c r="E26" s="14">
        <v>3050</v>
      </c>
      <c r="F26" s="14">
        <v>2</v>
      </c>
      <c r="G26" s="14">
        <v>30324</v>
      </c>
      <c r="H26" s="14">
        <v>29440</v>
      </c>
      <c r="I26" s="14">
        <v>27357</v>
      </c>
      <c r="J26" s="14">
        <v>90</v>
      </c>
    </row>
    <row r="27" spans="2:10">
      <c r="B27" s="6">
        <v>2000</v>
      </c>
      <c r="C27" s="14">
        <v>8312</v>
      </c>
      <c r="D27" s="14">
        <v>15243</v>
      </c>
      <c r="E27" s="14">
        <v>2685</v>
      </c>
      <c r="F27" s="14">
        <v>1</v>
      </c>
      <c r="G27" s="14">
        <v>26241</v>
      </c>
      <c r="H27" s="14">
        <v>24824</v>
      </c>
      <c r="I27" s="14">
        <v>21078</v>
      </c>
      <c r="J27" s="14">
        <v>80</v>
      </c>
    </row>
    <row r="28" spans="2:10">
      <c r="B28" s="6">
        <v>2001</v>
      </c>
      <c r="C28" s="14">
        <v>4496</v>
      </c>
      <c r="D28" s="14">
        <v>14570</v>
      </c>
      <c r="E28" s="14">
        <v>5528</v>
      </c>
      <c r="F28" s="14">
        <v>14</v>
      </c>
      <c r="G28" s="14">
        <v>24608</v>
      </c>
      <c r="H28" s="14">
        <v>23546</v>
      </c>
      <c r="I28" s="14">
        <v>20762</v>
      </c>
      <c r="J28" s="14">
        <v>84</v>
      </c>
    </row>
    <row r="29" spans="2:10">
      <c r="B29" s="6">
        <v>2002</v>
      </c>
      <c r="C29" s="14">
        <v>4214</v>
      </c>
      <c r="D29" s="14">
        <v>13654</v>
      </c>
      <c r="E29" s="14">
        <v>3970</v>
      </c>
      <c r="F29" s="14">
        <v>7</v>
      </c>
      <c r="G29" s="14">
        <v>21845</v>
      </c>
      <c r="H29" s="14">
        <v>19660</v>
      </c>
      <c r="I29" s="14">
        <v>18601</v>
      </c>
      <c r="J29" s="14">
        <v>85</v>
      </c>
    </row>
    <row r="30" spans="2:10">
      <c r="B30" s="6">
        <v>2003</v>
      </c>
      <c r="C30" s="14">
        <v>7214</v>
      </c>
      <c r="D30" s="14">
        <v>15507</v>
      </c>
      <c r="E30" s="14">
        <v>1876</v>
      </c>
      <c r="F30" s="14">
        <v>3</v>
      </c>
      <c r="G30" s="14">
        <v>24600</v>
      </c>
      <c r="H30" s="14">
        <v>24594</v>
      </c>
      <c r="I30" s="14">
        <v>21882</v>
      </c>
      <c r="J30" s="14">
        <v>89</v>
      </c>
    </row>
    <row r="31" spans="2:10">
      <c r="B31" s="6">
        <v>2004</v>
      </c>
      <c r="C31" s="14">
        <v>5808</v>
      </c>
      <c r="D31" s="14">
        <v>6161</v>
      </c>
      <c r="E31" s="14">
        <v>176</v>
      </c>
      <c r="F31" s="14">
        <v>7</v>
      </c>
      <c r="G31" s="14">
        <v>12152</v>
      </c>
      <c r="H31" s="14">
        <v>11987</v>
      </c>
      <c r="I31" s="14">
        <v>9419</v>
      </c>
      <c r="J31" s="14">
        <v>78</v>
      </c>
    </row>
    <row r="32" spans="2:10">
      <c r="B32" s="6">
        <v>2005</v>
      </c>
      <c r="C32" s="14">
        <v>9142</v>
      </c>
      <c r="D32" s="14">
        <v>18067</v>
      </c>
      <c r="E32" s="14">
        <v>4725</v>
      </c>
      <c r="F32" s="14">
        <v>4</v>
      </c>
      <c r="G32" s="14">
        <v>31938</v>
      </c>
      <c r="H32" s="14">
        <v>26429</v>
      </c>
      <c r="I32" s="14">
        <v>26585</v>
      </c>
      <c r="J32" s="14">
        <v>83</v>
      </c>
    </row>
    <row r="33" spans="2:10">
      <c r="B33" s="6">
        <v>2006</v>
      </c>
      <c r="C33" s="14">
        <v>5409</v>
      </c>
      <c r="D33" s="14">
        <v>13211</v>
      </c>
      <c r="E33" s="14">
        <v>2660</v>
      </c>
      <c r="F33" s="14">
        <v>1</v>
      </c>
      <c r="G33" s="14">
        <v>21281</v>
      </c>
      <c r="H33" s="14">
        <v>19583</v>
      </c>
      <c r="I33" s="14">
        <v>18068</v>
      </c>
      <c r="J33" s="14">
        <v>85</v>
      </c>
    </row>
    <row r="34" spans="2:10">
      <c r="B34" s="6">
        <v>2007</v>
      </c>
      <c r="C34" s="14">
        <v>7397</v>
      </c>
      <c r="D34" s="14">
        <v>17008</v>
      </c>
      <c r="E34" s="14">
        <v>5218</v>
      </c>
      <c r="F34" s="14">
        <v>6</v>
      </c>
      <c r="G34" s="14">
        <v>29629</v>
      </c>
      <c r="H34" s="14">
        <v>27640</v>
      </c>
      <c r="I34" s="14">
        <v>23808</v>
      </c>
      <c r="J34" s="14">
        <v>80</v>
      </c>
    </row>
    <row r="35" spans="2:10">
      <c r="B35" s="6">
        <v>2008</v>
      </c>
      <c r="C35" s="14">
        <v>6422</v>
      </c>
      <c r="D35" s="14">
        <v>22972</v>
      </c>
      <c r="E35" s="14">
        <v>5345</v>
      </c>
      <c r="F35" s="14">
        <v>2</v>
      </c>
      <c r="G35" s="14">
        <v>34741</v>
      </c>
      <c r="H35" s="14">
        <v>29731</v>
      </c>
      <c r="I35" s="14">
        <v>29012</v>
      </c>
      <c r="J35" s="14">
        <v>84</v>
      </c>
    </row>
    <row r="36" spans="2:10">
      <c r="B36" s="6">
        <v>2009</v>
      </c>
      <c r="C36" s="14">
        <v>5538</v>
      </c>
      <c r="D36" s="14">
        <v>14268</v>
      </c>
      <c r="E36" s="14">
        <v>4062</v>
      </c>
      <c r="F36" s="14">
        <v>3</v>
      </c>
      <c r="G36" s="14">
        <v>23871</v>
      </c>
      <c r="H36" s="14">
        <v>21648</v>
      </c>
      <c r="I36" s="14">
        <v>18981</v>
      </c>
      <c r="J36" s="14">
        <v>80</v>
      </c>
    </row>
    <row r="37" spans="2:10">
      <c r="B37" s="6">
        <v>2010</v>
      </c>
      <c r="C37" s="14">
        <v>6890</v>
      </c>
      <c r="D37" s="14">
        <v>15462</v>
      </c>
      <c r="E37" s="14">
        <v>5854</v>
      </c>
      <c r="F37" s="14">
        <v>4</v>
      </c>
      <c r="G37" s="14">
        <v>28210</v>
      </c>
      <c r="H37" s="14">
        <v>24631</v>
      </c>
      <c r="I37" s="14">
        <v>22248</v>
      </c>
      <c r="J37" s="14">
        <v>79</v>
      </c>
    </row>
    <row r="38" spans="2:10">
      <c r="B38" s="6">
        <v>2011</v>
      </c>
      <c r="C38" s="14">
        <v>5064</v>
      </c>
      <c r="D38" s="14">
        <v>17335</v>
      </c>
      <c r="E38" s="14">
        <v>1136</v>
      </c>
      <c r="F38" s="14">
        <v>3</v>
      </c>
      <c r="G38" s="14">
        <v>23538</v>
      </c>
      <c r="H38" s="14">
        <v>21216</v>
      </c>
      <c r="I38" s="14">
        <v>20359</v>
      </c>
      <c r="J38" s="14">
        <v>86</v>
      </c>
    </row>
    <row r="39" spans="2:10">
      <c r="B39" s="6">
        <v>2012</v>
      </c>
      <c r="C39" s="14">
        <v>6768</v>
      </c>
      <c r="D39" s="14">
        <v>19177</v>
      </c>
      <c r="E39" s="14">
        <v>2647</v>
      </c>
      <c r="F39" s="14">
        <v>5</v>
      </c>
      <c r="G39" s="14">
        <v>28597</v>
      </c>
      <c r="H39" s="14">
        <v>24821</v>
      </c>
      <c r="I39" s="14">
        <v>25309</v>
      </c>
      <c r="J39" s="14">
        <v>89</v>
      </c>
    </row>
    <row r="40" spans="2:10">
      <c r="B40" s="6">
        <v>2013</v>
      </c>
      <c r="C40" s="14">
        <v>7059</v>
      </c>
      <c r="D40" s="14">
        <v>14928</v>
      </c>
      <c r="E40" s="14">
        <v>2895</v>
      </c>
      <c r="F40" s="14">
        <v>1</v>
      </c>
      <c r="G40" s="14">
        <v>24883</v>
      </c>
      <c r="H40" s="14">
        <v>21255</v>
      </c>
      <c r="I40" s="14">
        <v>22264</v>
      </c>
      <c r="J40" s="14">
        <v>89</v>
      </c>
    </row>
    <row r="41" spans="2:10">
      <c r="B41" s="6">
        <v>2014</v>
      </c>
      <c r="C41" s="14">
        <v>6751</v>
      </c>
      <c r="D41" s="14">
        <v>20064</v>
      </c>
      <c r="E41" s="14">
        <v>3322</v>
      </c>
      <c r="F41" s="14">
        <v>4</v>
      </c>
      <c r="G41" s="14">
        <v>30141</v>
      </c>
      <c r="H41" s="14">
        <v>25402</v>
      </c>
      <c r="I41" s="14">
        <v>25714</v>
      </c>
      <c r="J41" s="14">
        <v>85</v>
      </c>
    </row>
    <row r="42" spans="2:10">
      <c r="B42" s="6">
        <v>2015</v>
      </c>
      <c r="C42" s="14">
        <v>7315</v>
      </c>
      <c r="D42" s="14">
        <v>23606</v>
      </c>
      <c r="E42" s="14">
        <v>2190</v>
      </c>
      <c r="F42" s="14">
        <v>3</v>
      </c>
      <c r="G42" s="14">
        <v>33114</v>
      </c>
      <c r="H42" s="14">
        <v>27314</v>
      </c>
      <c r="I42" s="14">
        <v>27497</v>
      </c>
      <c r="J42" s="14">
        <v>83</v>
      </c>
    </row>
    <row r="43" spans="2:10">
      <c r="B43" s="6">
        <v>2016</v>
      </c>
      <c r="C43" s="14">
        <v>6807</v>
      </c>
      <c r="D43" s="14">
        <v>18842</v>
      </c>
      <c r="E43" s="14">
        <v>1402</v>
      </c>
      <c r="F43" s="14">
        <v>2</v>
      </c>
      <c r="G43" s="14">
        <v>27053</v>
      </c>
      <c r="H43" s="14">
        <v>23497</v>
      </c>
      <c r="I43" s="14">
        <v>21504</v>
      </c>
      <c r="J43" s="14">
        <v>79</v>
      </c>
    </row>
    <row r="44" spans="2:10">
      <c r="B44" s="6">
        <v>2017</v>
      </c>
      <c r="C44" s="14">
        <v>6009</v>
      </c>
      <c r="D44" s="14">
        <v>10891</v>
      </c>
      <c r="E44" s="14">
        <v>4173</v>
      </c>
      <c r="F44" s="14">
        <v>3</v>
      </c>
      <c r="G44" s="14">
        <v>21076</v>
      </c>
      <c r="H44" s="14">
        <v>17767</v>
      </c>
      <c r="I44" s="14">
        <v>12851</v>
      </c>
      <c r="J44" s="14">
        <v>61</v>
      </c>
    </row>
    <row r="45" spans="2:10">
      <c r="B45" s="6">
        <v>2018</v>
      </c>
      <c r="C45" s="14">
        <v>6784</v>
      </c>
      <c r="D45" s="14">
        <v>13783</v>
      </c>
      <c r="E45" s="14">
        <v>4070</v>
      </c>
      <c r="F45" s="14">
        <v>1</v>
      </c>
      <c r="G45" s="14">
        <v>24638</v>
      </c>
      <c r="H45" s="14">
        <v>20346</v>
      </c>
      <c r="I45" s="14">
        <v>17612</v>
      </c>
      <c r="J45" s="14">
        <v>71</v>
      </c>
    </row>
    <row r="46" spans="2:10">
      <c r="B46" s="6">
        <v>2019</v>
      </c>
      <c r="C46" s="14">
        <v>6395</v>
      </c>
      <c r="D46" s="14">
        <v>17634</v>
      </c>
      <c r="E46" s="14">
        <v>3920</v>
      </c>
      <c r="F46" s="14">
        <v>1</v>
      </c>
      <c r="G46" s="14">
        <v>27950</v>
      </c>
      <c r="H46" s="14">
        <v>21985</v>
      </c>
      <c r="I46" s="14">
        <v>21889</v>
      </c>
      <c r="J46" s="14">
        <v>78</v>
      </c>
    </row>
    <row r="47" spans="2:10">
      <c r="B47" s="6">
        <v>2020</v>
      </c>
      <c r="C47" s="14">
        <v>5425</v>
      </c>
      <c r="D47" s="14">
        <v>16894</v>
      </c>
      <c r="E47" s="14">
        <v>5754</v>
      </c>
      <c r="F47" s="14">
        <v>0</v>
      </c>
      <c r="G47" s="14">
        <v>28073</v>
      </c>
      <c r="H47" s="14">
        <v>23395</v>
      </c>
      <c r="I47" s="14">
        <v>23220</v>
      </c>
      <c r="J47" s="14">
        <v>83</v>
      </c>
    </row>
    <row r="48" spans="2:10">
      <c r="B48" s="6">
        <v>2021</v>
      </c>
      <c r="C48" s="14">
        <v>6442</v>
      </c>
      <c r="D48" s="14">
        <v>16672</v>
      </c>
      <c r="E48" s="14">
        <v>4123</v>
      </c>
      <c r="F48" s="14">
        <v>1</v>
      </c>
      <c r="G48" s="14">
        <v>27238</v>
      </c>
      <c r="H48" s="14">
        <v>23072</v>
      </c>
      <c r="I48" s="14">
        <v>20691</v>
      </c>
      <c r="J48" s="14">
        <v>76</v>
      </c>
    </row>
    <row r="49" spans="2:10">
      <c r="B49" s="6">
        <v>2022</v>
      </c>
      <c r="C49" s="14">
        <v>2785</v>
      </c>
      <c r="D49" s="14">
        <v>8737</v>
      </c>
      <c r="E49" s="14">
        <v>3931</v>
      </c>
      <c r="F49" s="14">
        <v>1</v>
      </c>
      <c r="G49" s="14">
        <v>15454</v>
      </c>
      <c r="H49" s="14">
        <v>13110</v>
      </c>
      <c r="I49" s="14">
        <v>12548</v>
      </c>
      <c r="J49" s="14">
        <v>81</v>
      </c>
    </row>
    <row r="50" spans="2:10">
      <c r="B50" s="7">
        <v>2023</v>
      </c>
      <c r="C50" s="15">
        <v>2829</v>
      </c>
      <c r="D50" s="15">
        <v>8943</v>
      </c>
      <c r="E50" s="15">
        <v>5443</v>
      </c>
      <c r="F50" s="15">
        <v>1</v>
      </c>
      <c r="G50" s="15">
        <v>17216</v>
      </c>
      <c r="H50" s="15">
        <v>15319</v>
      </c>
      <c r="I50" s="15">
        <v>13495</v>
      </c>
      <c r="J50" s="15">
        <v>78</v>
      </c>
    </row>
  </sheetData>
  <mergeCells count="2">
    <mergeCell ref="B3:B4"/>
    <mergeCell ref="C3:G3"/>
  </mergeCells>
  <phoneticPr fontId="5"/>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26</vt:i4>
      </vt:variant>
      <vt:variant>
        <vt:lpstr>名前付き一覧</vt:lpstr>
      </vt:variant>
      <vt:variant>
        <vt:i4>1</vt:i4>
      </vt:variant>
    </vt:vector>
  </HeadingPairs>
  <TitlesOfParts>
    <vt:vector size="27" baseType="lpstr">
      <vt:lpstr>表3-1</vt:lpstr>
      <vt:lpstr>表4-1</vt:lpstr>
      <vt:lpstr>補足表2-1</vt:lpstr>
      <vt:lpstr>補足表2-2</vt:lpstr>
      <vt:lpstr>補足表2-3</vt:lpstr>
      <vt:lpstr>補足表2-4</vt:lpstr>
      <vt:lpstr>補足表4-1</vt:lpstr>
      <vt:lpstr>補足表4-2</vt:lpstr>
      <vt:lpstr>補足表4-3</vt:lpstr>
      <vt:lpstr>補足表5-1</vt:lpstr>
      <vt:lpstr>補足表6-1</vt:lpstr>
      <vt:lpstr>補足表6-2</vt:lpstr>
      <vt:lpstr>補足表6-3</vt:lpstr>
      <vt:lpstr>補足表6-4</vt:lpstr>
      <vt:lpstr>補足表6-5</vt:lpstr>
      <vt:lpstr>補足表7-1</vt:lpstr>
      <vt:lpstr>補足表7-2</vt:lpstr>
      <vt:lpstr>補足表8-1</vt:lpstr>
      <vt:lpstr>補足表9-1</vt:lpstr>
      <vt:lpstr>補足表9-2</vt:lpstr>
      <vt:lpstr>補足表11-1</vt:lpstr>
      <vt:lpstr>補足表12-1</vt:lpstr>
      <vt:lpstr>補足表12-2</vt:lpstr>
      <vt:lpstr>補足表12-3</vt:lpstr>
      <vt:lpstr>補足表12-4</vt:lpstr>
      <vt:lpstr>補足表13-1</vt:lpstr>
      <vt:lpstr>'補足表7-2'!OLE_LINK1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2025-04-28T01:21:30Z</dcterms:created>
  <dcterms:modified xsi:type="dcterms:W3CDTF">2025-04-28T01:21:40Z</dcterms:modified>
</cp:coreProperties>
</file>