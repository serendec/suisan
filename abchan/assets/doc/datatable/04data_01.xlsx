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9"/>
  <fileSharing readOnlyRecommended="1"/>
  <workbookPr filterPrivacy="1" defaultThemeVersion="124226"/>
  <xr:revisionPtr revIDLastSave="0" documentId="13_ncr:1_{3025BA49-F7E6-4E78-AA77-684AABCA3A26}" xr6:coauthVersionLast="47" xr6:coauthVersionMax="47" xr10:uidLastSave="{00000000-0000-0000-0000-000000000000}"/>
  <bookViews>
    <workbookView xWindow="2730" yWindow="45" windowWidth="18525" windowHeight="15435" tabRatio="510" xr2:uid="{00000000-000D-0000-FFFF-FFFF00000000}"/>
  </bookViews>
  <sheets>
    <sheet name="表3-1" sheetId="1" r:id="rId1"/>
    <sheet name="表4" sheetId="3" r:id="rId2"/>
    <sheet name="表5-1" sheetId="7" r:id="rId3"/>
    <sheet name="表5-2" sheetId="8" r:id="rId4"/>
    <sheet name="補足資料2-1" sheetId="2" r:id="rId5"/>
    <sheet name="補足表2-2" sheetId="5" r:id="rId6"/>
    <sheet name="補足表2-3" sheetId="6" r:id="rId7"/>
    <sheet name="補足表3-6" sheetId="13" r:id="rId8"/>
    <sheet name="補足表3-7" sheetId="14" r:id="rId9"/>
    <sheet name="補足表5-1" sheetId="9" r:id="rId10"/>
    <sheet name="補足表5-2" sheetId="11" r:id="rId11"/>
    <sheet name="補足表5-3" sheetId="12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</externalReferences>
  <definedNames>
    <definedName name="__123Graph_A" hidden="1">#REF!</definedName>
    <definedName name="__123Graph_A?" hidden="1">#REF!</definedName>
    <definedName name="__123Graph_A78" hidden="1">#REF!</definedName>
    <definedName name="__123Graph_A79" hidden="1">#REF!</definedName>
    <definedName name="__123Graph_A80" hidden="1">#REF!</definedName>
    <definedName name="__123Graph_A81" hidden="1">#REF!</definedName>
    <definedName name="__123Graph_A82" hidden="1">#REF!</definedName>
    <definedName name="__123Graph_A83" hidden="1">#REF!</definedName>
    <definedName name="__123Graph_A84" hidden="1">#REF!</definedName>
    <definedName name="__123Graph_A85" hidden="1">#REF!</definedName>
    <definedName name="__123Graph_A86" hidden="1">#REF!</definedName>
    <definedName name="__123Graph_A87" hidden="1">#REF!</definedName>
    <definedName name="__123Graph_A87全年齢" hidden="1">#REF!</definedName>
    <definedName name="__123Graph_A88" hidden="1">#REF!</definedName>
    <definedName name="__123Graph_A88全年齢" hidden="1">#REF!</definedName>
    <definedName name="__123Graph_A89" hidden="1">#REF!</definedName>
    <definedName name="__123Graph_A89全年齢" hidden="1">#REF!</definedName>
    <definedName name="__123Graph_A90全年齢" hidden="1">#REF!</definedName>
    <definedName name="__123Graph_A91全年齢" hidden="1">#REF!</definedName>
    <definedName name="__123Graph_A92全年齢" hidden="1">#REF!</definedName>
    <definedName name="__123Graph_A93全年齢" hidden="1">#REF!</definedName>
    <definedName name="__123Graph_A延縄" hidden="1">#REF!</definedName>
    <definedName name="__123Graph_A沿岸" hidden="1">#REF!</definedName>
    <definedName name="__123Graph_A沿岸沖底尾数" hidden="1">#REF!</definedName>
    <definedName name="__123Graph_A沿岸沖底量" hidden="1">#REF!</definedName>
    <definedName name="__123Graph_A沖底" hidden="1">#REF!</definedName>
    <definedName name="__123Graph_A沖底･沿岸" hidden="1">#REF!</definedName>
    <definedName name="__123Graph_A沖底年齢" hidden="1">#REF!</definedName>
    <definedName name="__123Graph_A岩内湾年齢" hidden="1">#REF!</definedName>
    <definedName name="__123Graph_A漁獲尾数" hidden="1">#REF!</definedName>
    <definedName name="__123Graph_A漁獲量" hidden="1">#REF!</definedName>
    <definedName name="__123Graph_A漁業別" hidden="1">#REF!</definedName>
    <definedName name="__123Graph_A合計" hidden="1">#REF!</definedName>
    <definedName name="__123Graph_A合計年齢" hidden="1">#REF!</definedName>
    <definedName name="__123Graph_A刺網" hidden="1">#REF!</definedName>
    <definedName name="__123Graph_A石狩湾年齢" hidden="1">#REF!</definedName>
    <definedName name="__123Graph_A桧山年齢" hidden="1">#REF!</definedName>
    <definedName name="__123Graph_B" hidden="1">'[1]2003年度水試資料　沿岸沖底漁獲量'!#REF!</definedName>
    <definedName name="__123Graph_B?" hidden="1">#REF!</definedName>
    <definedName name="__123Graph_B延縄" hidden="1">#REF!</definedName>
    <definedName name="__123Graph_B沿岸" hidden="1">#REF!</definedName>
    <definedName name="__123Graph_B沿岸沖底尾数" hidden="1">#REF!</definedName>
    <definedName name="__123Graph_B沿岸沖底量" hidden="1">#REF!</definedName>
    <definedName name="__123Graph_B沖底" hidden="1">#REF!</definedName>
    <definedName name="__123Graph_B沖底･沿岸" hidden="1">#REF!</definedName>
    <definedName name="__123Graph_B漁獲尾数" hidden="1">#REF!</definedName>
    <definedName name="__123Graph_B漁獲量" hidden="1">#REF!</definedName>
    <definedName name="__123Graph_B漁業別" hidden="1">#REF!</definedName>
    <definedName name="__123Graph_B刺網" hidden="1">#REF!</definedName>
    <definedName name="__123Graph_C" hidden="1">'[1]2003年度水試資料　沿岸沖底漁獲量'!#REF!</definedName>
    <definedName name="__123Graph_C?" hidden="1">#REF!</definedName>
    <definedName name="__123Graph_C延縄" hidden="1">#REF!</definedName>
    <definedName name="__123Graph_C沿岸" hidden="1">#REF!</definedName>
    <definedName name="__123Graph_C沖底" hidden="1">#REF!</definedName>
    <definedName name="__123Graph_C漁獲尾数" hidden="1">#REF!</definedName>
    <definedName name="__123Graph_C漁獲量" hidden="1">#REF!</definedName>
    <definedName name="__123Graph_C漁業別" hidden="1">#REF!</definedName>
    <definedName name="__123Graph_D" hidden="1">'[1]2003年度水試資料　沿岸沖底漁獲量'!#REF!</definedName>
    <definedName name="__123Graph_D?" hidden="1">#REF!</definedName>
    <definedName name="__123Graph_D延縄" hidden="1">#REF!</definedName>
    <definedName name="__123Graph_D沿岸" hidden="1">#REF!</definedName>
    <definedName name="__123Graph_D漁獲尾数" hidden="1">#REF!</definedName>
    <definedName name="__123Graph_D漁獲量" hidden="1">#REF!</definedName>
    <definedName name="__123Graph_D漁業別" hidden="1">#REF!</definedName>
    <definedName name="__123Graph_E" hidden="1">'[1]2003年度水試資料　沿岸沖底漁獲量'!#REF!</definedName>
    <definedName name="__123Graph_E?" hidden="1">#REF!</definedName>
    <definedName name="__123Graph_E漁業別" hidden="1">#REF!</definedName>
    <definedName name="__123Graph_X" hidden="1">#REF!</definedName>
    <definedName name="__123Graph_X?" hidden="1">#REF!</definedName>
    <definedName name="__123Graph_X78" hidden="1">#REF!</definedName>
    <definedName name="__123Graph_X79" hidden="1">#REF!</definedName>
    <definedName name="__123Graph_X80" hidden="1">#REF!</definedName>
    <definedName name="__123Graph_X81" hidden="1">#REF!</definedName>
    <definedName name="__123Graph_X82" hidden="1">#REF!</definedName>
    <definedName name="__123Graph_X83" hidden="1">#REF!</definedName>
    <definedName name="__123Graph_X84" hidden="1">#REF!</definedName>
    <definedName name="__123Graph_X85" hidden="1">#REF!</definedName>
    <definedName name="__123Graph_X86" hidden="1">#REF!</definedName>
    <definedName name="__123Graph_X87" hidden="1">#REF!</definedName>
    <definedName name="__123Graph_X87全年齢" hidden="1">#REF!</definedName>
    <definedName name="__123Graph_X88" hidden="1">#REF!</definedName>
    <definedName name="__123Graph_X88全年齢" hidden="1">#REF!</definedName>
    <definedName name="__123Graph_X89" hidden="1">#REF!</definedName>
    <definedName name="__123Graph_X89全年齢" hidden="1">#REF!</definedName>
    <definedName name="__123Graph_X90全年齢" hidden="1">#REF!</definedName>
    <definedName name="__123Graph_X91全年齢" hidden="1">#REF!</definedName>
    <definedName name="__123Graph_X92全年齢" hidden="1">#REF!</definedName>
    <definedName name="__123Graph_X93全年齢" hidden="1">#REF!</definedName>
    <definedName name="__123Graph_X延縄" hidden="1">#REF!</definedName>
    <definedName name="__123Graph_X沿岸" hidden="1">#REF!</definedName>
    <definedName name="__123Graph_X沿岸沖底尾数" hidden="1">#REF!</definedName>
    <definedName name="__123Graph_X沿岸沖底量" hidden="1">#REF!</definedName>
    <definedName name="__123Graph_X沖底" hidden="1">#REF!</definedName>
    <definedName name="__123Graph_X沖底･沿岸" hidden="1">#REF!</definedName>
    <definedName name="__123Graph_X沖底年齢" hidden="1">#REF!</definedName>
    <definedName name="__123Graph_X岩内湾年齢" hidden="1">#REF!</definedName>
    <definedName name="__123Graph_X漁獲尾数" hidden="1">#REF!</definedName>
    <definedName name="__123Graph_X漁獲量" hidden="1">#REF!</definedName>
    <definedName name="__123Graph_X漁業別" hidden="1">#REF!</definedName>
    <definedName name="__123Graph_X合計" hidden="1">#REF!</definedName>
    <definedName name="__123Graph_X合計年齢" hidden="1">#REF!</definedName>
    <definedName name="__123Graph_X刺網" hidden="1">#REF!</definedName>
    <definedName name="__123Graph_X石狩湾年齢" hidden="1">#REF!</definedName>
    <definedName name="__123Graph_X桧山年齢" hidden="1">#REF!</definedName>
    <definedName name="_1__123Graph_Aｸﾞﾗﾌ_1" hidden="1">'[2]解析97-1昔です'!$C$106:$C$125</definedName>
    <definedName name="_10__123Graph_Cｸﾞﾗﾌ_2" hidden="1">'[2]解析97-1昔です'!$B$74:$U$74</definedName>
    <definedName name="_11__123Graph_Cｸﾞﾗﾌ_3" hidden="1">'[2]解析97-1昔です'!$B$64:$U$64</definedName>
    <definedName name="_12__123Graph_Cｸﾞﾗﾌ_4" hidden="1">'[2]解析97-1昔です'!$P$108:$P$128</definedName>
    <definedName name="_13__123Graph_Dｸﾞﾗﾌ_2" hidden="1">'[2]解析97-1昔です'!$B$75:$U$75</definedName>
    <definedName name="_14__123Graph_Dｸﾞﾗﾌ_3" hidden="1">'[2]解析97-1昔です'!$B$65:$U$65</definedName>
    <definedName name="_15__123Graph_Eｸﾞﾗﾌ_2" hidden="1">'[2]解析97-1昔です'!$B$76:$U$76</definedName>
    <definedName name="_16__123Graph_Eｸﾞﾗﾌ_3" hidden="1">'[2]解析97-1昔です'!$B$66:$U$66</definedName>
    <definedName name="_17__123Graph_Fｸﾞﾗﾌ_3" hidden="1">'[2]解析97-1昔です'!$B$67:$U$67</definedName>
    <definedName name="_18__123Graph_LBL_Aｸﾞﾗﾌ_1" hidden="1">'[2]解析97-1昔です'!$AD$90:$AD$109</definedName>
    <definedName name="_19__123Graph_LBL_Aｸﾞﾗﾌ_5" hidden="1">'[2]解析97-1昔です'!$AD$90:$AD$109</definedName>
    <definedName name="_1980_1994月別漁獲量集計">#REF!</definedName>
    <definedName name="_2__123Graph_Aｸﾞﾗﾌ_2" hidden="1">'[2]解析97-1昔です'!$B$72:$U$72</definedName>
    <definedName name="_20__123Graph_Xｸﾞﾗﾌ_1" hidden="1">'[2]解析97-1昔です'!$B$106:$B$125</definedName>
    <definedName name="_21__123Graph_Xｸﾞﾗﾌ_2" hidden="1">'[2]解析97-1昔です'!$B$71:$U$71</definedName>
    <definedName name="_22__123Graph_Xｸﾞﾗﾌ_3" hidden="1">'[2]解析97-1昔です'!$B$71:$U$71</definedName>
    <definedName name="_23__123Graph_Xｸﾞﾗﾌ_4" hidden="1">'[2]解析97-1昔です'!$M$108:$M$128</definedName>
    <definedName name="_24__123Graph_Xｸﾞﾗﾌ_5" hidden="1">'[2]解析97-1昔です'!$B$97:$U$97</definedName>
    <definedName name="_25__123Graph_Xｸﾞﾗﾌ_6" hidden="1">'[2]解析97-1昔です'!$B$141:$T$141</definedName>
    <definedName name="_3__123Graph_Aｸﾞﾗﾌ_3" hidden="1">'[2]解析97-1昔です'!$B$62:$U$62</definedName>
    <definedName name="_4__123Graph_Aｸﾞﾗﾌ_4" hidden="1">'[2]解析97-1昔です'!$N$108:$N$128</definedName>
    <definedName name="_5__123Graph_Aｸﾞﾗﾌ_5" hidden="1">'[2]解析97-1昔です'!$B$99:$U$99</definedName>
    <definedName name="_6__123Graph_Aｸﾞﾗﾌ_6" hidden="1">'[2]解析97-1昔です'!$B$151:$T$151</definedName>
    <definedName name="_7__123Graph_Bｸﾞﾗﾌ_2" hidden="1">'[2]解析97-1昔です'!$B$73:$U$73</definedName>
    <definedName name="_8__123Graph_Bｸﾞﾗﾌ_3" hidden="1">'[2]解析97-1昔です'!$B$63:$U$63</definedName>
    <definedName name="_9__123Graph_Bｸﾞﾗﾌ_4" hidden="1">'[2]解析97-1昔です'!$O$108:$O$128</definedName>
    <definedName name="_bdl2">'[3]Kcohort.bas results (2)'!$J$5</definedName>
    <definedName name="_bdl3">'[3]Kcohort.bas results (2)'!$J$6</definedName>
    <definedName name="_bdl4">'[3]Kcohort.bas results (2)'!$J$7</definedName>
    <definedName name="_bdl5">'[3]Kcohort.bas results (2)'!$J$8</definedName>
    <definedName name="_bdl6">'[3]Kcohort.bas results (2)'!$J$9</definedName>
    <definedName name="_bdl7">'[3]Kcohort.bas results (2)'!$J$10</definedName>
    <definedName name="_bdw1">'[3]Esitmation Exec'!$J$6</definedName>
    <definedName name="_bdw2">'[3]Esitmation Exec'!$J$7</definedName>
    <definedName name="_bdw3">'[3]Esitmation Exec'!$J$8</definedName>
    <definedName name="_bdw4">'[3]Esitmation Exec'!$J$9</definedName>
    <definedName name="_bdw5">'[3]Esitmation Exec'!$J$10</definedName>
    <definedName name="_bdw6">'[3]Esitmation Exec'!$J$11</definedName>
    <definedName name="_bdw7">'[3]Esitmation Exec'!$J$12</definedName>
    <definedName name="_Fill" hidden="1">[4]三陸!#REF!</definedName>
    <definedName name="_M1">'[3]YPR-org'!$H$27</definedName>
    <definedName name="_M2">'[3]YPR-org'!$H$33</definedName>
    <definedName name="_M3">'[3]YPR-org'!$H$39</definedName>
    <definedName name="_M4">'[3]YPR-org'!$H$45</definedName>
    <definedName name="_M5">'[3]YPR-org'!$H$51</definedName>
    <definedName name="_mat1">#REF!</definedName>
    <definedName name="_mat10">#REF!</definedName>
    <definedName name="_mat2">'[3]Esitmation Exec'!$K$7</definedName>
    <definedName name="_mat3">'[3]Esitmation Exec'!$K$8</definedName>
    <definedName name="_mat4">'[3]Esitmation Exec'!$K$9</definedName>
    <definedName name="_mat5">'[3]Esitmation Exec'!$K$10</definedName>
    <definedName name="_mat6">'[3]Esitmation Exec'!$K$11</definedName>
    <definedName name="_mat7">'[3]Esitmation Exec'!$K$12</definedName>
    <definedName name="_mat8">#REF!</definedName>
    <definedName name="_mat9">#REF!</definedName>
    <definedName name="_mo1">#REF!</definedName>
    <definedName name="_mo10">#REF!</definedName>
    <definedName name="_mo2">#REF!</definedName>
    <definedName name="_mo3">#REF!</definedName>
    <definedName name="_mo4">#REF!</definedName>
    <definedName name="_mo5">#REF!</definedName>
    <definedName name="_mo6">#REF!</definedName>
    <definedName name="_mo7">#REF!</definedName>
    <definedName name="_mo8">#REF!</definedName>
    <definedName name="_mo9">#REF!</definedName>
    <definedName name="_Mt1">#REF!</definedName>
    <definedName name="_mt10">#REF!</definedName>
    <definedName name="_Mt2">#REF!</definedName>
    <definedName name="_Mt3">#REF!</definedName>
    <definedName name="_Mt4">#REF!</definedName>
    <definedName name="_Mt5">#REF!</definedName>
    <definedName name="_Mt6">#REF!</definedName>
    <definedName name="_Mt7">#REF!</definedName>
    <definedName name="_Mt8">#REF!</definedName>
    <definedName name="_mt9">#REF!</definedName>
    <definedName name="_Order1" hidden="1">255</definedName>
    <definedName name="_Order2" hidden="1">255</definedName>
    <definedName name="_ppr10">#REF!</definedName>
    <definedName name="_ppr2">#REF!</definedName>
    <definedName name="_ppr3">#REF!</definedName>
    <definedName name="_ppr4">#REF!</definedName>
    <definedName name="_ppr5">#REF!</definedName>
    <definedName name="_ppr6">#REF!</definedName>
    <definedName name="_ppr7">#REF!</definedName>
    <definedName name="_ppr8">#REF!</definedName>
    <definedName name="_ppr9">#REF!</definedName>
    <definedName name="_pr1">#REF!</definedName>
    <definedName name="_pr10">#REF!</definedName>
    <definedName name="_pr2">#REF!</definedName>
    <definedName name="_pr3">#REF!</definedName>
    <definedName name="_pr4">#REF!</definedName>
    <definedName name="_pr5">#REF!</definedName>
    <definedName name="_pr6">#REF!</definedName>
    <definedName name="_pr7">#REF!</definedName>
    <definedName name="_pr8">#REF!</definedName>
    <definedName name="_pr9">#REF!</definedName>
    <definedName name="_prp1">#REF!</definedName>
    <definedName name="_prp2">#REF!</definedName>
    <definedName name="_prp3">#REF!</definedName>
    <definedName name="_prp4">#REF!</definedName>
    <definedName name="_prp5">#REF!</definedName>
    <definedName name="_prp6">#REF!</definedName>
    <definedName name="_prp7">#REF!</definedName>
    <definedName name="_prp8">#REF!</definedName>
    <definedName name="_pt1">'[3]Esitmation Exec'!$L$6</definedName>
    <definedName name="_pt2">'[3]Esitmation Exec'!$L$7</definedName>
    <definedName name="_pt3">'[3]Esitmation Exec'!$L$8</definedName>
    <definedName name="_pt4">'[3]Esitmation Exec'!$L$9</definedName>
    <definedName name="_pt5">'[3]Esitmation Exec'!$L$10</definedName>
    <definedName name="_pt6">'[3]Esitmation Exec'!$L$11</definedName>
    <definedName name="_pt7">'[3]Esitmation Exec'!$L$12</definedName>
    <definedName name="_qb2">#REF!</definedName>
    <definedName name="_qb3">#REF!</definedName>
    <definedName name="_qb4">#REF!</definedName>
    <definedName name="_qb5">#REF!</definedName>
    <definedName name="_qb6">#REF!</definedName>
    <definedName name="_Regression_Out" hidden="1">#REF!</definedName>
    <definedName name="_Regression_X" hidden="1">#REF!</definedName>
    <definedName name="_Regression_Y" hidden="1">#REF!</definedName>
    <definedName name="_RPS30">'[5]TVPA 1歳＋CPUE年齢別 結果 (2)'!$B$164</definedName>
    <definedName name="_RPS89">'[6]2005年度VPA (「基本シート」直近5年平均)'!$DC$69</definedName>
    <definedName name="_RPS96">#REF!</definedName>
    <definedName name="_SL1">#REF!</definedName>
    <definedName name="_SL10">#REF!</definedName>
    <definedName name="_SL2">#REF!</definedName>
    <definedName name="_SL3">#REF!</definedName>
    <definedName name="_SL4">#REF!</definedName>
    <definedName name="_SL5">#REF!</definedName>
    <definedName name="_SL6">#REF!</definedName>
    <definedName name="_SL7">#REF!</definedName>
    <definedName name="_SL8">#REF!</definedName>
    <definedName name="_SL9">#REF!</definedName>
    <definedName name="_SPR100">'[6]2005年度VPA (「基本シート」直近5年平均)'!$I$509</definedName>
    <definedName name="_wt1">#REF!</definedName>
    <definedName name="_wt10">#REF!</definedName>
    <definedName name="_wt2">#REF!</definedName>
    <definedName name="_wt3">#REF!</definedName>
    <definedName name="_wt4">#REF!</definedName>
    <definedName name="_wt5">#REF!</definedName>
    <definedName name="_wt6">#REF!</definedName>
    <definedName name="_wt7">#REF!</definedName>
    <definedName name="_wt8">#REF!</definedName>
    <definedName name="_wt9">#REF!</definedName>
    <definedName name="\a">#REF!</definedName>
    <definedName name="\b">'[7]991110大'!$IT$8014</definedName>
    <definedName name="\c">'[7]991110大'!$IT$8014</definedName>
    <definedName name="\d">'[7]991110大'!$IT$8014</definedName>
    <definedName name="\e">'[7]991110大'!$IT$8014</definedName>
    <definedName name="\f">'[7]991110大'!$IT$8014</definedName>
    <definedName name="\g">'[7]991110大'!$IT$8014</definedName>
    <definedName name="\h">'[7]991110大'!$IT$8014</definedName>
    <definedName name="A_0">'[3]YPR-org'!$E$14</definedName>
    <definedName name="A_1">'[3]YPR-org'!$E$15</definedName>
    <definedName name="A_2">'[3]YPR-org'!$E$16</definedName>
    <definedName name="A_3">'[3]YPR-org'!$E$17</definedName>
    <definedName name="alpha">#REF!</definedName>
    <definedName name="Balpha">'[3]Kcohort BH spr (2)'!$E$207</definedName>
    <definedName name="Bbeta">'[3]Kcohort BH spr (2)'!$E$208</definedName>
    <definedName name="beta">#REF!</definedName>
    <definedName name="Beta_1">[8]SRR!#REF!</definedName>
    <definedName name="Beta_2">[8]SRR!#REF!</definedName>
    <definedName name="Blimit">'[6]2005年度VPA (「基本シート」直近5年平均)'!$DA$86</definedName>
    <definedName name="BlimitS">[5]管理基準選定original!$U$56</definedName>
    <definedName name="bw.1">#REF!</definedName>
    <definedName name="bw.2">#REF!</definedName>
    <definedName name="bw.3">#REF!</definedName>
    <definedName name="bw.4">#REF!</definedName>
    <definedName name="bw.5">#REF!</definedName>
    <definedName name="bw.6">#REF!</definedName>
    <definedName name="BW_0">#REF!</definedName>
    <definedName name="Bw_1">#REF!</definedName>
    <definedName name="BW_10">#REF!</definedName>
    <definedName name="Bw_2">#REF!</definedName>
    <definedName name="Bw_3">#REF!</definedName>
    <definedName name="Bw_4">#REF!</definedName>
    <definedName name="Bw_5">#REF!</definedName>
    <definedName name="Bw_6">#REF!</definedName>
    <definedName name="Bw_7">#REF!</definedName>
    <definedName name="BW_8">#REF!</definedName>
    <definedName name="BW_9">#REF!</definedName>
    <definedName name="_xlnm.Criteria">'[7]991110大'!$A$3:$A$3</definedName>
    <definedName name="Criteria_MI">'[7]991110大'!$A$3:$A$3</definedName>
    <definedName name="F">'[3]YPR-org'!$B$7</definedName>
    <definedName name="F0.1">'[6]2005年度VPA (「基本シート」直近5年平均)'!$AQ$457</definedName>
    <definedName name="F30_SPR">#REF!</definedName>
    <definedName name="F30spr">[9]F30!$I$5</definedName>
    <definedName name="F40_SPR">#REF!</definedName>
    <definedName name="F89med">#REF!</definedName>
    <definedName name="F96_01med">[5]管理基準選定original!$B$170</definedName>
    <definedName name="Faveg">#REF!</definedName>
    <definedName name="Faveg2000">'[10]太平洋pr98a5 Ftarget P'!$E$176</definedName>
    <definedName name="Fc">#REF!</definedName>
    <definedName name="Fcurrent">'[6]2005年度VPA (「基本シート」直近5年平均)'!$AE$127</definedName>
    <definedName name="Ffull">#REF!</definedName>
    <definedName name="Ffuture">'[6]2005年度VPA (「基本シート」直近5年平均)'!$AG$116</definedName>
    <definedName name="Flimit">#REF!</definedName>
    <definedName name="Flimit2000">'[10]太平洋pr98a5 Ftarget P'!$E$148</definedName>
    <definedName name="Fmax">'[6]2005年度VPA (「基本シート」直近5年平均)'!$AK$457</definedName>
    <definedName name="Fmed">'[6]2005年度VPA (「基本シート」直近5年平均)'!$DC$72</definedName>
    <definedName name="Fmedall">'[6]2005年度VPA (「基本シート」直近5年平均)'!$DB$72</definedName>
    <definedName name="Fmedを実現するF_正解">#REF!</definedName>
    <definedName name="Fmsy">#REF!</definedName>
    <definedName name="Fpre1">'[3]Esitmation Exec'!$E$6</definedName>
    <definedName name="Fpre2">'[3]Esitmation Exec'!$E$7</definedName>
    <definedName name="Fpre3">'[3]Esitmation Exec'!$E$8</definedName>
    <definedName name="Fpre4">'[3]Esitmation Exec'!$E$9</definedName>
    <definedName name="Fpre5">'[3]Esitmation Exec'!$E$10</definedName>
    <definedName name="Fpre6">'[3]Esitmation Exec'!$E$11</definedName>
    <definedName name="Fpre7">'[3]Esitmation Exec'!$E$12</definedName>
    <definedName name="Fsim1">'[3]Esitmation Exec'!$B$33</definedName>
    <definedName name="Fsim2">'[3]Esitmation Exec'!$B$62</definedName>
    <definedName name="Fsim3">'[3]Esitmation Exec'!$B$92</definedName>
    <definedName name="Fsim4">'[3]Esitmation Exec'!$B$122</definedName>
    <definedName name="Fsim5">'[3]Esitmation Exec'!$B$152</definedName>
    <definedName name="Fsus">'[6]2005年度VPA (「基本シート」直近5年平均)'!$Z$95</definedName>
    <definedName name="Ft">#REF!</definedName>
    <definedName name="Ftarget">#REF!</definedName>
    <definedName name="Ftarget2000">'[10]太平洋pr98a5 Ftarget P'!$E$171</definedName>
    <definedName name="Fterminal">#REF!</definedName>
    <definedName name="InputM">#REF!</definedName>
    <definedName name="intercept">#REF!</definedName>
    <definedName name="K">'[3]YPR-org'!$B$4</definedName>
    <definedName name="Lt">'[3]cat F0.1'!$B$13</definedName>
    <definedName name="M">'[3]Esitmation Exec'!$B$6</definedName>
    <definedName name="mat.1">#REF!</definedName>
    <definedName name="mat.2">#REF!</definedName>
    <definedName name="mat.3">#REF!</definedName>
    <definedName name="mat.4">#REF!</definedName>
    <definedName name="mat.5">#REF!</definedName>
    <definedName name="mat.6">#REF!</definedName>
    <definedName name="mat.7">#REF!</definedName>
    <definedName name="mat0">#REF!</definedName>
    <definedName name="mo0">#REF!</definedName>
    <definedName name="Mt0">#REF!</definedName>
    <definedName name="n_0">'[3]YPR-org'!$C$14</definedName>
    <definedName name="n_1">'[3]YPR-org'!$C$15</definedName>
    <definedName name="n_2">'[3]YPR-org'!$C$16</definedName>
    <definedName name="n_3">'[3]YPR-org'!$C$17</definedName>
    <definedName name="n0">'[3]YPR-org'!$C$14</definedName>
    <definedName name="pcent">#REF!</definedName>
    <definedName name="pr0">#REF!</definedName>
    <definedName name="_xlnm.Print_Area">#REF!</definedName>
    <definedName name="PRINT_AREA_MI">#REF!</definedName>
    <definedName name="prp0">#REF!</definedName>
    <definedName name="q">'[11]★2007VPAFt5年RPSav10尾数 1LN'!$Y$593</definedName>
    <definedName name="qa">#REF!</definedName>
    <definedName name="qq">#REF!</definedName>
    <definedName name="qqq">#REF!</definedName>
    <definedName name="rate">'[12]1999年度襟裳西'!#REF!</definedName>
    <definedName name="Raveg">#REF!</definedName>
    <definedName name="Raveg2000">'[10]太平洋pr98a5 Ftarget P'!$B$161</definedName>
    <definedName name="Rmini">#REF!</definedName>
    <definedName name="rps">[9]Fmed!$AA$38</definedName>
    <definedName name="RPS96_01">[5]管理基準選定original!$B$169</definedName>
    <definedName name="RPSmed">#REF!</definedName>
    <definedName name="RPSmed_low">#REF!</definedName>
    <definedName name="RPSmed2000">#REF!</definedName>
    <definedName name="SL0">#REF!</definedName>
    <definedName name="SPR">'[13]Kcohort BH spr (2)'!$B$273</definedName>
    <definedName name="SPRF">#REF!</definedName>
    <definedName name="SPRt">'[13]Kcohort BH spr (2)'!$E$211</definedName>
    <definedName name="SSBaveg">#REF!</definedName>
    <definedName name="SSBaveg1mM">#REF!</definedName>
    <definedName name="SSBaveg1mM2000">'[10]太平洋pr98a5 Ftarget P'!$B$163</definedName>
    <definedName name="SSBaveg2000">'[10]太平洋pr98a5 Ftarget P'!$C$143</definedName>
    <definedName name="t0">'[3]YPR-org'!$B$5</definedName>
    <definedName name="tc">'[3]YPR-org'!$B$8</definedName>
    <definedName name="temp" hidden="1">'[14]解析97-1昔です'!$C$106:$C$125</definedName>
    <definedName name="temp10" hidden="1">'[14]解析97-1昔です'!$B$74:$U$74</definedName>
    <definedName name="temp11" hidden="1">'[14]解析97-1昔です'!$B$64:$U$64</definedName>
    <definedName name="temp12" hidden="1">'[14]解析97-1昔です'!$P$108:$P$128</definedName>
    <definedName name="temp13" hidden="1">'[14]解析97-1昔です'!$B$75:$U$75</definedName>
    <definedName name="temp14" hidden="1">'[14]解析97-1昔です'!$B$65:$U$65</definedName>
    <definedName name="temp15" hidden="1">'[14]解析97-1昔です'!$B$76:$U$76</definedName>
    <definedName name="temp16" hidden="1">'[14]解析97-1昔です'!$B$66:$U$66</definedName>
    <definedName name="temp17" hidden="1">'[14]解析97-1昔です'!$B$67:$U$67</definedName>
    <definedName name="temp18" hidden="1">'[14]解析97-1昔です'!$AD$90:$AD$109</definedName>
    <definedName name="temp19" hidden="1">'[14]解析97-1昔です'!$AD$90:$AD$109</definedName>
    <definedName name="temp2" hidden="1">'[14]解析97-1昔です'!$B$72:$U$72</definedName>
    <definedName name="temp20" hidden="1">'[14]解析97-1昔です'!$B$106:$B$125</definedName>
    <definedName name="temp21" hidden="1">'[14]解析97-1昔です'!$B$71:$U$71</definedName>
    <definedName name="temp22" hidden="1">'[14]解析97-1昔です'!$B$71:$U$71</definedName>
    <definedName name="temp23" hidden="1">'[14]解析97-1昔です'!$M$108:$M$128</definedName>
    <definedName name="temp24" hidden="1">'[14]解析97-1昔です'!$B$97:$U$97</definedName>
    <definedName name="temp25" hidden="1">'[14]解析97-1昔です'!$B$141:$T$141</definedName>
    <definedName name="temp26" hidden="1">[4]三陸!#REF!</definedName>
    <definedName name="temp28" hidden="1">#REF!</definedName>
    <definedName name="temp29" hidden="1">#REF!</definedName>
    <definedName name="temp3" hidden="1">'[14]解析97-1昔です'!$B$62:$U$62</definedName>
    <definedName name="temp30" hidden="1">#REF!</definedName>
    <definedName name="temp4" hidden="1">'[14]解析97-1昔です'!$N$108:$N$128</definedName>
    <definedName name="temp5" hidden="1">'[14]解析97-1昔です'!$B$99:$U$99</definedName>
    <definedName name="temp6" hidden="1">'[14]解析97-1昔です'!$B$151:$T$151</definedName>
    <definedName name="temp7" hidden="1">'[14]解析97-1昔です'!$B$73:$U$73</definedName>
    <definedName name="temp8" hidden="1">'[14]解析97-1昔です'!$B$63:$U$63</definedName>
    <definedName name="temp9" hidden="1">'[14]解析97-1昔です'!$O$108:$O$128</definedName>
    <definedName name="time">'[3]Kcohort.bas results (2)'!$J$2</definedName>
    <definedName name="tl">'[3]YPR-org'!$B$6</definedName>
    <definedName name="tr">'[3]YPR-org'!$B$10</definedName>
    <definedName name="Unit_g">'[13]wada-masaba'!$G$48</definedName>
    <definedName name="Unit_i">'[13]Cohort calclate'!$D$24</definedName>
    <definedName name="Unit_indiv">'[13]wada-masaba'!$E$25</definedName>
    <definedName name="Woo">'[3]YPR-org'!$B$3</definedName>
    <definedName name="wt0">#REF!</definedName>
    <definedName name="YPRmax">#REF!</definedName>
    <definedName name="α">[15]再生産・予測!$G$114</definedName>
    <definedName name="β">[15]再生産・予測!$F$114</definedName>
    <definedName name="現状のF正解">#REF!</definedName>
    <definedName name="山口_宏_計算例_Fmed">#REF!</definedName>
    <definedName name="選択率で漁獲尾数を補正">#REF!</definedName>
    <definedName name="表１_parameter">[16]コホート!$A$17</definedName>
    <definedName name="表２_catch">[16]コホート!$A$36</definedName>
    <definedName name="表３_N">[16]コホート!$A$53</definedName>
    <definedName name="表４_Ｆ">[16]コホート!$A$73</definedName>
    <definedName name="表５_biomass">[16]コホート!$A$89</definedName>
    <definedName name="表６_SSB">[16]コホート!$A$106</definedName>
    <definedName name="表７_SR">[16]コホート!$A$123</definedName>
  </definedName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<sst xmlns="http://schemas.openxmlformats.org/spreadsheetml/2006/main" count="577" uniqueCount="127">
  <si>
    <t>年</t>
  </si>
  <si>
    <r>
      <rPr>
        <sz val="11"/>
        <rFont val="ＭＳ 明朝"/>
        <family val="1"/>
        <charset val="128"/>
      </rPr>
      <t>分布密度</t>
    </r>
    <rPh sb="0" eb="4">
      <t>ブンプミツド</t>
    </rPh>
    <phoneticPr fontId="0"/>
  </si>
  <si>
    <r>
      <rPr>
        <sz val="11"/>
        <rFont val="ＭＳ 明朝"/>
        <family val="1"/>
        <charset val="128"/>
      </rPr>
      <t>現存量</t>
    </r>
    <rPh sb="0" eb="3">
      <t>ゲンゾンリョウ</t>
    </rPh>
    <phoneticPr fontId="0"/>
  </si>
  <si>
    <t>太平洋
合計</t>
    <phoneticPr fontId="4"/>
  </si>
  <si>
    <t>三重県
以東</t>
    <phoneticPr fontId="4"/>
  </si>
  <si>
    <t>和歌山県
以西</t>
    <phoneticPr fontId="4"/>
  </si>
  <si>
    <t>0歳魚</t>
  </si>
  <si>
    <t>1歳以上</t>
  </si>
  <si>
    <r>
      <rPr>
        <sz val="11"/>
        <rFont val="ＭＳ 明朝"/>
        <family val="1"/>
        <charset val="128"/>
      </rPr>
      <t>Ⅰ･Ⅱ区</t>
    </r>
    <rPh sb="3" eb="4">
      <t>ク</t>
    </rPh>
    <phoneticPr fontId="27"/>
  </si>
  <si>
    <r>
      <rPr>
        <sz val="11"/>
        <rFont val="ＭＳ 明朝"/>
        <family val="1"/>
        <charset val="128"/>
      </rPr>
      <t>Ⅰ</t>
    </r>
    <r>
      <rPr>
        <sz val="11"/>
        <rFont val="Times New Roman"/>
        <family val="1"/>
      </rPr>
      <t>~</t>
    </r>
    <r>
      <rPr>
        <sz val="11"/>
        <rFont val="ＭＳ 明朝"/>
        <family val="1"/>
        <charset val="128"/>
      </rPr>
      <t>Ⅳ区</t>
    </r>
    <rPh sb="3" eb="4">
      <t>ク</t>
    </rPh>
    <phoneticPr fontId="27"/>
  </si>
  <si>
    <r>
      <rPr>
        <sz val="11"/>
        <color theme="1"/>
        <rFont val="ＭＳ Ｐゴシック"/>
        <family val="2"/>
        <charset val="128"/>
      </rPr>
      <t>表</t>
    </r>
    <r>
      <rPr>
        <sz val="11"/>
        <color theme="1"/>
        <rFont val="Times New Roman"/>
        <family val="1"/>
      </rPr>
      <t xml:space="preserve">3-1. </t>
    </r>
    <r>
      <rPr>
        <sz val="11"/>
        <color theme="1"/>
        <rFont val="ＭＳ Ｐゴシック"/>
        <family val="2"/>
        <charset val="128"/>
      </rPr>
      <t>漁獲量とコホート解析結果</t>
    </r>
    <rPh sb="0" eb="1">
      <t>ヒョウ</t>
    </rPh>
    <rPh sb="6" eb="9">
      <t>ギョカクリョウ</t>
    </rPh>
    <rPh sb="14" eb="16">
      <t>カイセキ</t>
    </rPh>
    <rPh sb="16" eb="18">
      <t>ケッカ</t>
    </rPh>
    <phoneticPr fontId="3"/>
  </si>
  <si>
    <t>未成魚
越冬群指数</t>
    <rPh sb="4" eb="6">
      <t>エットウ</t>
    </rPh>
    <rPh sb="6" eb="7">
      <t>ム</t>
    </rPh>
    <rPh sb="7" eb="9">
      <t>シスウ</t>
    </rPh>
    <phoneticPr fontId="3"/>
  </si>
  <si>
    <t>表4.　各種調査による資源量指数　下線の値はコホート解析のチューニングに用いた値。</t>
    <phoneticPr fontId="3"/>
  </si>
  <si>
    <r>
      <rPr>
        <sz val="11"/>
        <rFont val="ＭＳ Ｐゴシック"/>
        <family val="2"/>
        <charset val="128"/>
      </rPr>
      <t>補足表</t>
    </r>
    <r>
      <rPr>
        <sz val="11"/>
        <rFont val="Times New Roman"/>
        <family val="1"/>
      </rPr>
      <t>2-2.</t>
    </r>
    <r>
      <rPr>
        <sz val="11"/>
        <rFont val="ＭＳ Ｐゴシック"/>
        <family val="2"/>
        <charset val="128"/>
      </rPr>
      <t>　チューニングに用いた各指数の値</t>
    </r>
    <phoneticPr fontId="3"/>
  </si>
  <si>
    <t>①</t>
  </si>
  <si>
    <t>秋季亜寒帯域0歳魚現存量（百万尾）</t>
  </si>
  <si>
    <t>②</t>
  </si>
  <si>
    <t>未成魚越冬群指数</t>
  </si>
  <si>
    <t>③</t>
  </si>
  <si>
    <t>潮岬以東海域産卵量（海区Ⅰ・Ⅱ）</t>
  </si>
  <si>
    <t>* 2007年の秋季亜寒帯域0歳魚現存量は、調査海域が狭く推定されるマイワシ0歳魚主分布域を十分カバー</t>
  </si>
  <si>
    <t xml:space="preserve">  できなかったため推定精度が低い（過小推定）と考えられ、チューニングから除外した。</t>
  </si>
  <si>
    <t>補足資料2-1　コホート解析結果の詳細</t>
    <rPh sb="0" eb="2">
      <t>ホソク</t>
    </rPh>
    <rPh sb="2" eb="4">
      <t>シリョウ</t>
    </rPh>
    <phoneticPr fontId="3"/>
  </si>
  <si>
    <t>0歳</t>
  </si>
  <si>
    <t>1歳</t>
  </si>
  <si>
    <t>2歳</t>
  </si>
  <si>
    <t>3歳</t>
  </si>
  <si>
    <t>4歳</t>
  </si>
  <si>
    <t>計</t>
  </si>
  <si>
    <t>RPS</t>
  </si>
  <si>
    <r>
      <rPr>
        <sz val="11"/>
        <rFont val="ＭＳ Ｐ明朝"/>
        <family val="1"/>
        <charset val="128"/>
      </rPr>
      <t>表</t>
    </r>
    <r>
      <rPr>
        <sz val="11"/>
        <rFont val="Times New Roman"/>
        <family val="1"/>
      </rPr>
      <t>4-5.</t>
    </r>
    <r>
      <rPr>
        <sz val="11"/>
        <rFont val="ＭＳ Ｐ明朝"/>
        <family val="1"/>
        <charset val="128"/>
      </rPr>
      <t>　未成魚越冬群指数（千葉水総研、茨城水試）</t>
    </r>
    <phoneticPr fontId="3"/>
  </si>
  <si>
    <r>
      <rPr>
        <sz val="11"/>
        <rFont val="ＭＳ Ｐ明朝"/>
        <family val="1"/>
        <charset val="128"/>
      </rPr>
      <t>表</t>
    </r>
    <r>
      <rPr>
        <sz val="11"/>
        <rFont val="Times New Roman"/>
        <family val="1"/>
      </rPr>
      <t>4-4.</t>
    </r>
    <r>
      <rPr>
        <sz val="11"/>
        <rFont val="ＭＳ Ｐ明朝"/>
        <family val="1"/>
        <charset val="128"/>
      </rPr>
      <t>　北西太平洋秋季浮魚類資源調査（</t>
    </r>
    <r>
      <rPr>
        <sz val="11"/>
        <rFont val="Times New Roman"/>
        <family val="1"/>
      </rPr>
      <t>9</t>
    </r>
    <r>
      <rPr>
        <sz val="11"/>
        <rFont val="ＭＳ Ｐ明朝"/>
        <family val="1"/>
        <charset val="128"/>
      </rPr>
      <t>～</t>
    </r>
    <r>
      <rPr>
        <sz val="11"/>
        <rFont val="Times New Roman"/>
        <family val="1"/>
      </rPr>
      <t>10</t>
    </r>
    <r>
      <rPr>
        <sz val="11"/>
        <rFont val="ＭＳ Ｐ明朝"/>
        <family val="1"/>
        <charset val="128"/>
      </rPr>
      <t>月）による秋季亜寒帯域</t>
    </r>
    <r>
      <rPr>
        <sz val="11"/>
        <rFont val="Times New Roman"/>
        <family val="1"/>
      </rPr>
      <t>0</t>
    </r>
    <r>
      <rPr>
        <sz val="11"/>
        <rFont val="ＭＳ Ｐ明朝"/>
        <family val="1"/>
        <charset val="128"/>
      </rPr>
      <t>歳魚現存量（百万尾）および分布密度（尾</t>
    </r>
    <r>
      <rPr>
        <sz val="11"/>
        <rFont val="Times New Roman"/>
        <family val="1"/>
      </rPr>
      <t>/km2</t>
    </r>
    <r>
      <rPr>
        <sz val="11"/>
        <rFont val="ＭＳ Ｐ明朝"/>
        <family val="1"/>
        <charset val="128"/>
      </rPr>
      <t>）</t>
    </r>
    <rPh sb="6" eb="8">
      <t>ホクセイ</t>
    </rPh>
    <rPh sb="8" eb="11">
      <t>タイヘイヨウ</t>
    </rPh>
    <rPh sb="15" eb="16">
      <t>ルイ</t>
    </rPh>
    <rPh sb="16" eb="18">
      <t>シゲン</t>
    </rPh>
    <rPh sb="25" eb="26">
      <t>ガツ</t>
    </rPh>
    <rPh sb="30" eb="32">
      <t>シュウキ</t>
    </rPh>
    <rPh sb="39" eb="42">
      <t>ゲンゾンリョウ</t>
    </rPh>
    <rPh sb="43" eb="45">
      <t>ヒャクマン</t>
    </rPh>
    <rPh sb="45" eb="46">
      <t>ビ</t>
    </rPh>
    <phoneticPr fontId="3"/>
  </si>
  <si>
    <r>
      <rPr>
        <sz val="11"/>
        <rFont val="ＭＳ Ｐ明朝"/>
        <family val="1"/>
        <charset val="128"/>
      </rPr>
      <t>表</t>
    </r>
    <r>
      <rPr>
        <sz val="11"/>
        <rFont val="Times New Roman"/>
        <family val="1"/>
      </rPr>
      <t>4-3.</t>
    </r>
    <r>
      <rPr>
        <sz val="11"/>
        <rFont val="ＭＳ Ｐ明朝"/>
        <family val="1"/>
        <charset val="128"/>
      </rPr>
      <t>　北西太平洋北上期浮魚類資源調査（</t>
    </r>
    <r>
      <rPr>
        <sz val="11"/>
        <rFont val="Times New Roman"/>
        <family val="1"/>
      </rPr>
      <t>5</t>
    </r>
    <r>
      <rPr>
        <sz val="11"/>
        <rFont val="ＭＳ Ｐ明朝"/>
        <family val="1"/>
        <charset val="128"/>
      </rPr>
      <t>～</t>
    </r>
    <r>
      <rPr>
        <sz val="11"/>
        <rFont val="Times New Roman"/>
        <family val="1"/>
      </rPr>
      <t>7</t>
    </r>
    <r>
      <rPr>
        <sz val="11"/>
        <rFont val="ＭＳ Ｐ明朝"/>
        <family val="1"/>
        <charset val="128"/>
      </rPr>
      <t>月）による北上期</t>
    </r>
    <r>
      <rPr>
        <sz val="11"/>
        <rFont val="Times New Roman"/>
        <family val="1"/>
      </rPr>
      <t>0</t>
    </r>
    <r>
      <rPr>
        <sz val="11"/>
        <rFont val="ＭＳ Ｐ明朝"/>
        <family val="1"/>
        <charset val="128"/>
      </rPr>
      <t>歳魚分布量（億尾）および</t>
    </r>
    <r>
      <rPr>
        <sz val="11"/>
        <rFont val="Times New Roman"/>
        <family val="1"/>
      </rPr>
      <t>1</t>
    </r>
    <r>
      <rPr>
        <sz val="11"/>
        <rFont val="ＭＳ Ｐ明朝"/>
        <family val="1"/>
        <charset val="128"/>
      </rPr>
      <t>歳以上の分布量（億尾）</t>
    </r>
    <rPh sb="14" eb="16">
      <t>ウキウオ</t>
    </rPh>
    <rPh sb="16" eb="17">
      <t>ルイ</t>
    </rPh>
    <rPh sb="17" eb="19">
      <t>シゲン</t>
    </rPh>
    <rPh sb="25" eb="26">
      <t>ガツ</t>
    </rPh>
    <rPh sb="30" eb="32">
      <t>ホクジョウ</t>
    </rPh>
    <rPh sb="32" eb="33">
      <t>キ</t>
    </rPh>
    <rPh sb="34" eb="36">
      <t>サイギョ</t>
    </rPh>
    <rPh sb="36" eb="38">
      <t>ブンプ</t>
    </rPh>
    <rPh sb="38" eb="39">
      <t>リョウ</t>
    </rPh>
    <rPh sb="40" eb="41">
      <t>オク</t>
    </rPh>
    <rPh sb="47" eb="50">
      <t>サイイジョウ</t>
    </rPh>
    <rPh sb="51" eb="53">
      <t>ブンプ</t>
    </rPh>
    <rPh sb="53" eb="54">
      <t>リョウ</t>
    </rPh>
    <rPh sb="55" eb="56">
      <t>オク</t>
    </rPh>
    <rPh sb="56" eb="57">
      <t>ビ</t>
    </rPh>
    <phoneticPr fontId="3"/>
  </si>
  <si>
    <r>
      <rPr>
        <sz val="11"/>
        <rFont val="ＭＳ Ｐ明朝"/>
        <family val="1"/>
        <charset val="128"/>
      </rPr>
      <t>表</t>
    </r>
    <r>
      <rPr>
        <sz val="11"/>
        <rFont val="Times New Roman"/>
        <family val="1"/>
      </rPr>
      <t>4-2.</t>
    </r>
    <r>
      <rPr>
        <sz val="11"/>
        <rFont val="ＭＳ Ｐ明朝"/>
        <family val="1"/>
        <charset val="128"/>
      </rPr>
      <t>　移行域幼稚魚調査（</t>
    </r>
    <r>
      <rPr>
        <sz val="11"/>
        <rFont val="Times New Roman"/>
        <family val="1"/>
      </rPr>
      <t>5</t>
    </r>
    <r>
      <rPr>
        <sz val="11"/>
        <rFont val="ＭＳ Ｐ明朝"/>
        <family val="1"/>
        <charset val="128"/>
      </rPr>
      <t>～</t>
    </r>
    <r>
      <rPr>
        <sz val="11"/>
        <rFont val="Times New Roman"/>
        <family val="1"/>
      </rPr>
      <t>6</t>
    </r>
    <r>
      <rPr>
        <sz val="11"/>
        <rFont val="ＭＳ Ｐ明朝"/>
        <family val="1"/>
        <charset val="128"/>
      </rPr>
      <t>月）による移行域加入量指数</t>
    </r>
    <rPh sb="23" eb="25">
      <t>イコウ</t>
    </rPh>
    <rPh sb="25" eb="26">
      <t>イキ</t>
    </rPh>
    <rPh sb="26" eb="28">
      <t>カニュウ</t>
    </rPh>
    <phoneticPr fontId="3"/>
  </si>
  <si>
    <t>漁獲量　（万トン）</t>
    <rPh sb="0" eb="2">
      <t>ギョカク</t>
    </rPh>
    <rPh sb="2" eb="3">
      <t>リョウ</t>
    </rPh>
    <rPh sb="5" eb="6">
      <t>マン</t>
    </rPh>
    <phoneticPr fontId="34"/>
  </si>
  <si>
    <t>資源量　（万トン）</t>
    <rPh sb="0" eb="2">
      <t>シゲン</t>
    </rPh>
    <rPh sb="2" eb="3">
      <t>リョウ</t>
    </rPh>
    <rPh sb="5" eb="6">
      <t>マン</t>
    </rPh>
    <phoneticPr fontId="34"/>
  </si>
  <si>
    <t>親魚量　（万トン）</t>
    <rPh sb="0" eb="1">
      <t>オヤ</t>
    </rPh>
    <rPh sb="1" eb="2">
      <t>ウオ</t>
    </rPh>
    <rPh sb="2" eb="3">
      <t>リョウ</t>
    </rPh>
    <rPh sb="5" eb="6">
      <t>マン</t>
    </rPh>
    <phoneticPr fontId="34"/>
  </si>
  <si>
    <t>加入量　　（億尾）</t>
    <rPh sb="0" eb="2">
      <t>カニュウ</t>
    </rPh>
    <rPh sb="2" eb="3">
      <t>リョウ</t>
    </rPh>
    <rPh sb="6" eb="8">
      <t>オクビ</t>
    </rPh>
    <phoneticPr fontId="34"/>
  </si>
  <si>
    <t>漁獲　　割合（%）</t>
    <rPh sb="0" eb="2">
      <t>ギョカク</t>
    </rPh>
    <rPh sb="4" eb="6">
      <t>ワリアイ</t>
    </rPh>
    <phoneticPr fontId="34"/>
  </si>
  <si>
    <r>
      <t>再生産　成功率　　　　（尾/</t>
    </r>
    <r>
      <rPr>
        <sz val="10.5"/>
        <rFont val="Times New Roman"/>
        <family val="1"/>
      </rPr>
      <t>kg</t>
    </r>
    <r>
      <rPr>
        <sz val="10.5"/>
        <rFont val="ＭＳ 明朝"/>
        <family val="1"/>
        <charset val="128"/>
      </rPr>
      <t>）</t>
    </r>
    <rPh sb="0" eb="3">
      <t>サイセイサン</t>
    </rPh>
    <rPh sb="4" eb="7">
      <t>セイコウリツ</t>
    </rPh>
    <rPh sb="12" eb="13">
      <t>ビ</t>
    </rPh>
    <phoneticPr fontId="34"/>
  </si>
  <si>
    <r>
      <t>0</t>
    </r>
    <r>
      <rPr>
        <sz val="10.5"/>
        <color theme="1"/>
        <rFont val="ＭＳ 明朝"/>
        <family val="1"/>
        <charset val="128"/>
      </rPr>
      <t>歳</t>
    </r>
  </si>
  <si>
    <r>
      <t>1</t>
    </r>
    <r>
      <rPr>
        <sz val="10.5"/>
        <color theme="1"/>
        <rFont val="ＭＳ 明朝"/>
        <family val="1"/>
        <charset val="128"/>
      </rPr>
      <t>歳</t>
    </r>
  </si>
  <si>
    <r>
      <t>2</t>
    </r>
    <r>
      <rPr>
        <sz val="10.5"/>
        <color theme="1"/>
        <rFont val="ＭＳ 明朝"/>
        <family val="1"/>
        <charset val="128"/>
      </rPr>
      <t>歳</t>
    </r>
  </si>
  <si>
    <r>
      <t>3</t>
    </r>
    <r>
      <rPr>
        <sz val="10.5"/>
        <color theme="1"/>
        <rFont val="ＭＳ 明朝"/>
        <family val="1"/>
        <charset val="128"/>
      </rPr>
      <t>歳</t>
    </r>
  </si>
  <si>
    <r>
      <t>4</t>
    </r>
    <r>
      <rPr>
        <sz val="10.5"/>
        <color theme="1"/>
        <rFont val="ＭＳ 明朝"/>
        <family val="1"/>
        <charset val="128"/>
      </rPr>
      <t>歳</t>
    </r>
  </si>
  <si>
    <r>
      <t>5</t>
    </r>
    <r>
      <rPr>
        <sz val="10.5"/>
        <color theme="1"/>
        <rFont val="ＭＳ 明朝"/>
        <family val="1"/>
        <charset val="128"/>
      </rPr>
      <t>歳以上</t>
    </r>
  </si>
  <si>
    <t>成熟割合</t>
    <rPh sb="2" eb="4">
      <t>ワリアイ</t>
    </rPh>
    <phoneticPr fontId="3"/>
  </si>
  <si>
    <t>自然死亡係数</t>
    <rPh sb="4" eb="6">
      <t>ケイスウ</t>
    </rPh>
    <phoneticPr fontId="3"/>
  </si>
  <si>
    <t>F2016-2020</t>
    <phoneticPr fontId="3"/>
  </si>
  <si>
    <t>注1：　令和2年度研究機関会議でMSYを実現する水準の推定の際に使用した選択率（すなわち、令和元年度資源評価でのFcurrentの選択率）。</t>
  </si>
  <si>
    <t>注2：　令和2年度研究機関会議で推定されたFmsy（すなわち、令和元年度資源評価でのFcurrentにFmsy/Fcurrentを掛けたもの）。</t>
  </si>
  <si>
    <r>
      <t>選択率（注</t>
    </r>
    <r>
      <rPr>
        <sz val="11"/>
        <color theme="1"/>
        <rFont val="Times New Roman"/>
        <family val="1"/>
      </rPr>
      <t>1</t>
    </r>
    <r>
      <rPr>
        <sz val="11"/>
        <color theme="1"/>
        <rFont val="ＭＳ 明朝"/>
        <family val="1"/>
        <charset val="128"/>
      </rPr>
      <t>）</t>
    </r>
    <rPh sb="4" eb="5">
      <t>チュウ</t>
    </rPh>
    <phoneticPr fontId="3"/>
  </si>
  <si>
    <r>
      <t xml:space="preserve">Fmsy
</t>
    </r>
    <r>
      <rPr>
        <sz val="11"/>
        <color theme="1"/>
        <rFont val="ＭＳ Ｐ明朝"/>
        <family val="1"/>
        <charset val="128"/>
      </rPr>
      <t>（注</t>
    </r>
    <r>
      <rPr>
        <sz val="11"/>
        <color theme="1"/>
        <rFont val="Times New Roman"/>
        <family val="1"/>
      </rPr>
      <t>2</t>
    </r>
    <r>
      <rPr>
        <sz val="11"/>
        <color theme="1"/>
        <rFont val="ＭＳ Ｐ明朝"/>
        <family val="1"/>
        <charset val="128"/>
      </rPr>
      <t>）</t>
    </r>
    <rPh sb="6" eb="7">
      <t>チュウ</t>
    </rPh>
    <phoneticPr fontId="3"/>
  </si>
  <si>
    <r>
      <t>平均体重
(</t>
    </r>
    <r>
      <rPr>
        <sz val="11"/>
        <color theme="1"/>
        <rFont val="Times New Roman"/>
        <family val="1"/>
      </rPr>
      <t>g</t>
    </r>
    <r>
      <rPr>
        <sz val="11"/>
        <color theme="1"/>
        <rFont val="ＭＳ 明朝"/>
        <family val="1"/>
        <charset val="128"/>
      </rPr>
      <t>)</t>
    </r>
    <phoneticPr fontId="3"/>
  </si>
  <si>
    <r>
      <t>補足表</t>
    </r>
    <r>
      <rPr>
        <sz val="11"/>
        <color theme="1"/>
        <rFont val="Times New Roman"/>
        <family val="1"/>
      </rPr>
      <t>2-3.</t>
    </r>
    <r>
      <rPr>
        <sz val="11"/>
        <color theme="1"/>
        <rFont val="ＭＳ Ｐゴシック"/>
        <family val="2"/>
        <charset val="128"/>
        <scheme val="minor"/>
      </rPr>
      <t>　将来予測計算に用いたパラメータ</t>
    </r>
    <phoneticPr fontId="3"/>
  </si>
  <si>
    <t>β</t>
  </si>
  <si>
    <t>β</t>
    <phoneticPr fontId="3"/>
  </si>
  <si>
    <r>
      <t>表</t>
    </r>
    <r>
      <rPr>
        <sz val="11"/>
        <color theme="1"/>
        <rFont val="Times New Roman"/>
        <family val="1"/>
      </rPr>
      <t>5-1</t>
    </r>
    <r>
      <rPr>
        <sz val="11"/>
        <color theme="1"/>
        <rFont val="ＭＳ Ｐゴシック"/>
        <family val="2"/>
        <charset val="128"/>
        <scheme val="minor"/>
      </rPr>
      <t>.　将来の親魚量が目標管理基準値（</t>
    </r>
    <r>
      <rPr>
        <sz val="11"/>
        <color theme="1"/>
        <rFont val="Times New Roman"/>
        <family val="1"/>
      </rPr>
      <t>a</t>
    </r>
    <r>
      <rPr>
        <sz val="11"/>
        <color theme="1"/>
        <rFont val="ＭＳ Ｐゴシック"/>
        <family val="2"/>
        <charset val="128"/>
        <scheme val="minor"/>
      </rPr>
      <t>）、限界管理基準値（</t>
    </r>
    <r>
      <rPr>
        <sz val="11"/>
        <color theme="1"/>
        <rFont val="Times New Roman"/>
        <family val="1"/>
      </rPr>
      <t>b</t>
    </r>
    <r>
      <rPr>
        <sz val="11"/>
        <color theme="1"/>
        <rFont val="ＭＳ Ｐゴシック"/>
        <family val="2"/>
        <charset val="128"/>
        <scheme val="minor"/>
      </rPr>
      <t>）を上回る確率</t>
    </r>
    <phoneticPr fontId="3"/>
  </si>
  <si>
    <r>
      <rPr>
        <sz val="11"/>
        <color theme="1"/>
        <rFont val="Times New Roman"/>
        <family val="1"/>
      </rPr>
      <t>a</t>
    </r>
    <r>
      <rPr>
        <sz val="11"/>
        <color theme="1"/>
        <rFont val="ＭＳ Ｐゴシック"/>
        <family val="2"/>
        <charset val="128"/>
        <scheme val="minor"/>
      </rPr>
      <t>)　目標管理基準値を上回る確率（</t>
    </r>
    <r>
      <rPr>
        <sz val="11"/>
        <color theme="1"/>
        <rFont val="Times New Roman"/>
        <family val="1"/>
      </rPr>
      <t>%</t>
    </r>
    <r>
      <rPr>
        <sz val="11"/>
        <color theme="1"/>
        <rFont val="ＭＳ Ｐゴシック"/>
        <family val="2"/>
        <charset val="128"/>
        <scheme val="minor"/>
      </rPr>
      <t>）</t>
    </r>
    <phoneticPr fontId="3"/>
  </si>
  <si>
    <r>
      <rPr>
        <sz val="11"/>
        <color theme="1"/>
        <rFont val="Times New Roman"/>
        <family val="1"/>
      </rPr>
      <t>b</t>
    </r>
    <r>
      <rPr>
        <sz val="11"/>
        <color theme="1"/>
        <rFont val="ＭＳ Ｐゴシック"/>
        <family val="2"/>
        <charset val="128"/>
        <scheme val="minor"/>
      </rPr>
      <t>)　限界管理基準値を上回る確率（</t>
    </r>
    <r>
      <rPr>
        <sz val="11"/>
        <color theme="1"/>
        <rFont val="Times New Roman"/>
        <family val="1"/>
      </rPr>
      <t>%</t>
    </r>
    <r>
      <rPr>
        <sz val="11"/>
        <color theme="1"/>
        <rFont val="ＭＳ Ｐゴシック"/>
        <family val="2"/>
        <charset val="128"/>
        <scheme val="minor"/>
      </rPr>
      <t>）</t>
    </r>
    <phoneticPr fontId="3"/>
  </si>
  <si>
    <r>
      <rPr>
        <sz val="11"/>
        <color theme="1"/>
        <rFont val="Times New Roman"/>
        <family val="1"/>
      </rPr>
      <t>a</t>
    </r>
    <r>
      <rPr>
        <sz val="11"/>
        <color theme="1"/>
        <rFont val="ＭＳ Ｐゴシック"/>
        <family val="2"/>
        <charset val="128"/>
        <scheme val="minor"/>
      </rPr>
      <t>)　親魚量の平均値の推移（万トン）</t>
    </r>
    <phoneticPr fontId="3"/>
  </si>
  <si>
    <r>
      <rPr>
        <sz val="11"/>
        <color theme="1"/>
        <rFont val="Times New Roman"/>
        <family val="1"/>
      </rPr>
      <t>b</t>
    </r>
    <r>
      <rPr>
        <sz val="11"/>
        <color theme="1"/>
        <rFont val="ＭＳ Ｐゴシック"/>
        <family val="2"/>
        <charset val="128"/>
        <scheme val="minor"/>
      </rPr>
      <t>)　漁獲量の平均値の推移（万トン）</t>
    </r>
    <phoneticPr fontId="3"/>
  </si>
  <si>
    <t>2023年まではβ=1.20とし、2024年以降はβを0～1.0で変更した場合の将来予測の結果を示す。</t>
    <phoneticPr fontId="3"/>
  </si>
  <si>
    <r>
      <t>表</t>
    </r>
    <r>
      <rPr>
        <sz val="11"/>
        <color theme="1"/>
        <rFont val="Times New Roman"/>
        <family val="1"/>
      </rPr>
      <t>5-2</t>
    </r>
    <r>
      <rPr>
        <sz val="11"/>
        <color theme="1"/>
        <rFont val="ＭＳ Ｐゴシック"/>
        <family val="2"/>
        <charset val="128"/>
        <scheme val="minor"/>
      </rPr>
      <t>.　将来の親魚量（</t>
    </r>
    <r>
      <rPr>
        <sz val="11"/>
        <color theme="1"/>
        <rFont val="Times New Roman"/>
        <family val="1"/>
      </rPr>
      <t>a</t>
    </r>
    <r>
      <rPr>
        <sz val="11"/>
        <color theme="1"/>
        <rFont val="ＭＳ Ｐゴシック"/>
        <family val="2"/>
        <charset val="128"/>
        <scheme val="minor"/>
      </rPr>
      <t>）および漁獲量（</t>
    </r>
    <r>
      <rPr>
        <sz val="11"/>
        <color theme="1"/>
        <rFont val="Times New Roman"/>
        <family val="1"/>
      </rPr>
      <t>b</t>
    </r>
    <r>
      <rPr>
        <sz val="11"/>
        <color theme="1"/>
        <rFont val="ＭＳ Ｐゴシック"/>
        <family val="2"/>
        <charset val="128"/>
        <scheme val="minor"/>
      </rPr>
      <t>）の平均値の推移</t>
    </r>
    <rPh sb="18" eb="21">
      <t>ギョカクリョウ</t>
    </rPh>
    <rPh sb="25" eb="28">
      <t>ヘイキンチ</t>
    </rPh>
    <rPh sb="29" eb="31">
      <t>スイイ</t>
    </rPh>
    <phoneticPr fontId="3"/>
  </si>
  <si>
    <t>太平洋
合計</t>
    <rPh sb="4" eb="6">
      <t>ゴウケイ</t>
    </rPh>
    <phoneticPr fontId="34"/>
  </si>
  <si>
    <t>ロシア</t>
  </si>
  <si>
    <t>三重県　　以東</t>
  </si>
  <si>
    <t>和歌山　　県以西</t>
    <rPh sb="5" eb="6">
      <t>ケン</t>
    </rPh>
    <phoneticPr fontId="34"/>
  </si>
  <si>
    <t>令和四(2022)年度マイワシ太平洋系群の資源評価のデータセット</t>
    <rPh sb="0" eb="2">
      <t>レイワ</t>
    </rPh>
    <rPh sb="2" eb="3">
      <t>ヨン</t>
    </rPh>
    <rPh sb="15" eb="18">
      <t>タイヘイヨウ</t>
    </rPh>
    <rPh sb="18" eb="19">
      <t>ケイ</t>
    </rPh>
    <rPh sb="19" eb="20">
      <t>グン</t>
    </rPh>
    <phoneticPr fontId="3"/>
  </si>
  <si>
    <t>中国</t>
    <rPh sb="0" eb="2">
      <t>チュウゴク</t>
    </rPh>
    <phoneticPr fontId="39"/>
  </si>
  <si>
    <t>日本
合計</t>
    <rPh sb="0" eb="2">
      <t>ニホン</t>
    </rPh>
    <rPh sb="3" eb="5">
      <t>ゴウケイ</t>
    </rPh>
    <phoneticPr fontId="39"/>
  </si>
  <si>
    <r>
      <rPr>
        <sz val="11"/>
        <rFont val="ＭＳ Ｐ明朝"/>
        <family val="1"/>
        <charset val="128"/>
      </rPr>
      <t>表</t>
    </r>
    <r>
      <rPr>
        <sz val="11"/>
        <rFont val="Times New Roman"/>
        <family val="1"/>
      </rPr>
      <t>4-1.</t>
    </r>
    <r>
      <rPr>
        <sz val="11"/>
        <rFont val="ＭＳ Ｐ明朝"/>
        <family val="1"/>
        <charset val="128"/>
      </rPr>
      <t>　産卵量（兆粒）　前年</t>
    </r>
    <r>
      <rPr>
        <sz val="11"/>
        <rFont val="Times New Roman"/>
        <family val="1"/>
      </rPr>
      <t>10</t>
    </r>
    <r>
      <rPr>
        <sz val="11"/>
        <rFont val="ＭＳ Ｐ明朝"/>
        <family val="1"/>
        <charset val="128"/>
      </rPr>
      <t>月から</t>
    </r>
    <r>
      <rPr>
        <sz val="11"/>
        <rFont val="Times New Roman"/>
        <family val="1"/>
      </rPr>
      <t>9</t>
    </r>
    <r>
      <rPr>
        <sz val="11"/>
        <rFont val="ＭＳ Ｐ明朝"/>
        <family val="1"/>
        <charset val="128"/>
      </rPr>
      <t>月までの集計値（</t>
    </r>
    <r>
      <rPr>
        <sz val="11"/>
        <rFont val="Times New Roman"/>
        <family val="1"/>
      </rPr>
      <t>2022</t>
    </r>
    <r>
      <rPr>
        <sz val="11"/>
        <rFont val="ＭＳ Ｐ明朝"/>
        <family val="1"/>
        <charset val="128"/>
      </rPr>
      <t>年は</t>
    </r>
    <r>
      <rPr>
        <sz val="11"/>
        <rFont val="Times New Roman"/>
        <family val="1"/>
      </rPr>
      <t>5</t>
    </r>
    <r>
      <rPr>
        <sz val="11"/>
        <rFont val="ＭＳ Ｐ明朝"/>
        <family val="1"/>
        <charset val="128"/>
      </rPr>
      <t>月までの暫定値）。</t>
    </r>
    <rPh sb="41" eb="43">
      <t>ザンテイ</t>
    </rPh>
    <phoneticPr fontId="3"/>
  </si>
  <si>
    <t>移行域
加入量指数</t>
    <phoneticPr fontId="3"/>
  </si>
  <si>
    <t>年齢別漁獲尾数（百万尾）</t>
    <rPh sb="8" eb="10">
      <t>ヒャクマン</t>
    </rPh>
    <phoneticPr fontId="38"/>
  </si>
  <si>
    <t>年齢＼年</t>
    <rPh sb="0" eb="2">
      <t>ネンレイ</t>
    </rPh>
    <rPh sb="3" eb="4">
      <t>ネン</t>
    </rPh>
    <phoneticPr fontId="38"/>
  </si>
  <si>
    <r>
      <t>5</t>
    </r>
    <r>
      <rPr>
        <sz val="12"/>
        <rFont val="ＭＳ 明朝"/>
        <family val="1"/>
        <charset val="128"/>
      </rPr>
      <t>歳以上</t>
    </r>
    <rPh sb="2" eb="4">
      <t>イジョウ</t>
    </rPh>
    <phoneticPr fontId="38"/>
  </si>
  <si>
    <r>
      <t xml:space="preserve"> </t>
    </r>
    <r>
      <rPr>
        <sz val="12"/>
        <rFont val="ＭＳ 明朝"/>
        <family val="1"/>
        <charset val="128"/>
      </rPr>
      <t>年齢別漁獲量（千トン）</t>
    </r>
    <rPh sb="6" eb="7">
      <t>ジュウリョウ</t>
    </rPh>
    <rPh sb="8" eb="9">
      <t>セン</t>
    </rPh>
    <phoneticPr fontId="38"/>
  </si>
  <si>
    <t>年齢別漁獲量（千トン）</t>
    <rPh sb="5" eb="6">
      <t>ジュウリョウ</t>
    </rPh>
    <rPh sb="7" eb="8">
      <t>セン</t>
    </rPh>
    <phoneticPr fontId="38"/>
  </si>
  <si>
    <t>漁獲割合</t>
    <rPh sb="0" eb="2">
      <t>ギョカク</t>
    </rPh>
    <rPh sb="2" eb="4">
      <t>ワリアイ</t>
    </rPh>
    <phoneticPr fontId="39"/>
  </si>
  <si>
    <r>
      <rPr>
        <sz val="12"/>
        <rFont val="ＭＳ 明朝"/>
        <family val="1"/>
        <charset val="128"/>
      </rPr>
      <t>年齢別漁獲係数（</t>
    </r>
    <r>
      <rPr>
        <sz val="12"/>
        <rFont val="Times New Roman"/>
        <family val="1"/>
      </rPr>
      <t>F</t>
    </r>
    <r>
      <rPr>
        <sz val="12"/>
        <rFont val="ＭＳ 明朝"/>
        <family val="1"/>
        <charset val="128"/>
      </rPr>
      <t>）</t>
    </r>
    <r>
      <rPr>
        <sz val="12"/>
        <rFont val="Yu Gothic"/>
        <family val="1"/>
        <charset val="128"/>
      </rPr>
      <t>、%</t>
    </r>
    <r>
      <rPr>
        <sz val="12"/>
        <rFont val="Times New Roman"/>
        <family val="1"/>
      </rPr>
      <t>SPR</t>
    </r>
    <r>
      <rPr>
        <sz val="12"/>
        <rFont val="Yu Gothic"/>
        <family val="1"/>
        <charset val="128"/>
      </rPr>
      <t>、</t>
    </r>
    <r>
      <rPr>
        <sz val="12"/>
        <rFont val="Times New Roman"/>
        <family val="1"/>
      </rPr>
      <t>F/Fmsy</t>
    </r>
    <rPh sb="0" eb="3">
      <t>ネンレイベツ</t>
    </rPh>
    <rPh sb="3" eb="5">
      <t>ギョカク</t>
    </rPh>
    <rPh sb="5" eb="7">
      <t>ケイスウ</t>
    </rPh>
    <phoneticPr fontId="38"/>
  </si>
  <si>
    <t>%SPR</t>
  </si>
  <si>
    <t>F/Fmsy</t>
  </si>
  <si>
    <t>年齢別資源尾数（百万尾）</t>
    <rPh sb="3" eb="5">
      <t>シゲン</t>
    </rPh>
    <rPh sb="8" eb="10">
      <t>ヒャクマン</t>
    </rPh>
    <phoneticPr fontId="38"/>
  </si>
  <si>
    <r>
      <t xml:space="preserve"> </t>
    </r>
    <r>
      <rPr>
        <sz val="12"/>
        <rFont val="ＭＳ 明朝"/>
        <family val="1"/>
        <charset val="128"/>
      </rPr>
      <t>年齢別資源量（千トン）､親魚量（千トン）、再生産成功率（</t>
    </r>
    <r>
      <rPr>
        <sz val="12"/>
        <rFont val="Times New Roman"/>
        <family val="1"/>
      </rPr>
      <t>RPS</t>
    </r>
    <r>
      <rPr>
        <sz val="12"/>
        <rFont val="ＭＳ 明朝"/>
        <family val="1"/>
        <charset val="128"/>
      </rPr>
      <t>、尾</t>
    </r>
    <r>
      <rPr>
        <sz val="12"/>
        <rFont val="Times New Roman"/>
        <family val="1"/>
      </rPr>
      <t>/kg</t>
    </r>
    <r>
      <rPr>
        <sz val="12"/>
        <rFont val="ＭＳ 明朝"/>
        <family val="1"/>
        <charset val="128"/>
      </rPr>
      <t>）</t>
    </r>
    <rPh sb="4" eb="6">
      <t>シゲン</t>
    </rPh>
    <rPh sb="6" eb="7">
      <t>ジュウリョウ</t>
    </rPh>
    <rPh sb="8" eb="9">
      <t>セン</t>
    </rPh>
    <rPh sb="13" eb="16">
      <t>シンギョリョウ</t>
    </rPh>
    <rPh sb="17" eb="18">
      <t>セン</t>
    </rPh>
    <rPh sb="22" eb="25">
      <t>サイセイサン</t>
    </rPh>
    <rPh sb="25" eb="28">
      <t>セイコウリツ</t>
    </rPh>
    <rPh sb="33" eb="34">
      <t>ビ</t>
    </rPh>
    <phoneticPr fontId="38"/>
  </si>
  <si>
    <r>
      <rPr>
        <sz val="12"/>
        <rFont val="ＭＳ 明朝"/>
        <family val="1"/>
        <charset val="128"/>
      </rPr>
      <t>年齢別資源量（千トン）､親魚量（千トン）、再生産成功率（</t>
    </r>
    <r>
      <rPr>
        <sz val="12"/>
        <rFont val="Times New Roman"/>
        <family val="1"/>
      </rPr>
      <t>RPS</t>
    </r>
    <r>
      <rPr>
        <sz val="12"/>
        <rFont val="ＭＳ 明朝"/>
        <family val="1"/>
        <charset val="128"/>
      </rPr>
      <t>、尾</t>
    </r>
    <r>
      <rPr>
        <sz val="12"/>
        <rFont val="Times New Roman"/>
        <family val="1"/>
      </rPr>
      <t>/kg</t>
    </r>
    <r>
      <rPr>
        <sz val="12"/>
        <rFont val="ＭＳ 明朝"/>
        <family val="1"/>
        <charset val="128"/>
      </rPr>
      <t>）</t>
    </r>
    <rPh sb="3" eb="5">
      <t>シゲン</t>
    </rPh>
    <rPh sb="5" eb="6">
      <t>ジュウリョウ</t>
    </rPh>
    <rPh sb="7" eb="8">
      <t>セン</t>
    </rPh>
    <rPh sb="12" eb="15">
      <t>シンギョリョウ</t>
    </rPh>
    <rPh sb="16" eb="17">
      <t>セン</t>
    </rPh>
    <rPh sb="21" eb="24">
      <t>サイセイサン</t>
    </rPh>
    <rPh sb="24" eb="27">
      <t>セイコウリツ</t>
    </rPh>
    <rPh sb="32" eb="33">
      <t>ビ</t>
    </rPh>
    <phoneticPr fontId="38"/>
  </si>
  <si>
    <t>親魚量</t>
    <rPh sb="0" eb="3">
      <t>シンギョリョウ</t>
    </rPh>
    <phoneticPr fontId="39"/>
  </si>
  <si>
    <r>
      <rPr>
        <sz val="12"/>
        <rFont val="ＭＳ 明朝"/>
        <family val="1"/>
        <charset val="128"/>
      </rPr>
      <t>年齢別平均体重（</t>
    </r>
    <r>
      <rPr>
        <sz val="12"/>
        <rFont val="Times New Roman"/>
        <family val="1"/>
      </rPr>
      <t>g</t>
    </r>
    <r>
      <rPr>
        <sz val="12"/>
        <rFont val="ＭＳ 明朝"/>
        <family val="1"/>
        <charset val="128"/>
      </rPr>
      <t>）</t>
    </r>
    <rPh sb="0" eb="3">
      <t>ネンレイベツ</t>
    </rPh>
    <rPh sb="3" eb="5">
      <t>ヘイキン</t>
    </rPh>
    <rPh sb="5" eb="7">
      <t>タイジュウ</t>
    </rPh>
    <phoneticPr fontId="38"/>
  </si>
  <si>
    <t>2022年の漁獲量は現状の漁獲圧（F2020-2021）から予測される105.8万トンとし、2023年から漁獲管理規則による漁獲とした。</t>
  </si>
  <si>
    <t>2022年の漁獲量は現状の漁獲圧（F2020-2021）から予測される105.8万トンとし、2023年から漁獲管理規則による漁獲とした。</t>
    <phoneticPr fontId="3"/>
  </si>
  <si>
    <t>一番下の行に、2023年以降も現状の漁獲圧（F2020-2021）を継続した場合の将来予測の結果も示している。</t>
  </si>
  <si>
    <t>一番下の行に、2023年以降も現状の漁獲圧（F2020-2021）を継続した場合の将来予測の結果も示している。</t>
    <phoneticPr fontId="3"/>
  </si>
  <si>
    <t>2023年まではβ=1.20とし、2024年以降はβを0～1.0で変更した場合の将来予測の結果を示す。</t>
  </si>
  <si>
    <r>
      <t xml:space="preserve">F2020-2021
</t>
    </r>
    <r>
      <rPr>
        <sz val="11"/>
        <color theme="1"/>
        <rFont val="ＭＳ Ｐ明朝"/>
        <family val="1"/>
        <charset val="128"/>
      </rPr>
      <t>（注</t>
    </r>
    <r>
      <rPr>
        <sz val="11"/>
        <color theme="1"/>
        <rFont val="Times New Roman"/>
        <family val="1"/>
      </rPr>
      <t>3</t>
    </r>
    <r>
      <rPr>
        <sz val="11"/>
        <color theme="1"/>
        <rFont val="ＭＳ Ｐ明朝"/>
        <family val="1"/>
        <charset val="128"/>
      </rPr>
      <t>）</t>
    </r>
    <rPh sb="12" eb="13">
      <t>チュウ</t>
    </rPh>
    <phoneticPr fontId="3"/>
  </si>
  <si>
    <r>
      <t>2022-2023</t>
    </r>
    <r>
      <rPr>
        <sz val="11"/>
        <color theme="1"/>
        <rFont val="ＭＳ 明朝"/>
        <family val="1"/>
        <charset val="128"/>
      </rPr>
      <t>年</t>
    </r>
    <rPh sb="9" eb="10">
      <t>ネン</t>
    </rPh>
    <phoneticPr fontId="3"/>
  </si>
  <si>
    <r>
      <t>2024</t>
    </r>
    <r>
      <rPr>
        <sz val="11"/>
        <color theme="1"/>
        <rFont val="ＭＳ 明朝"/>
        <family val="1"/>
        <charset val="128"/>
      </rPr>
      <t>年以降</t>
    </r>
    <rPh sb="4" eb="5">
      <t>ネン</t>
    </rPh>
    <rPh sb="5" eb="7">
      <t>イコウ</t>
    </rPh>
    <phoneticPr fontId="3"/>
  </si>
  <si>
    <t>1.00</t>
    <phoneticPr fontId="3"/>
  </si>
  <si>
    <t>0.0</t>
    <phoneticPr fontId="3"/>
  </si>
  <si>
    <t>1.0</t>
    <phoneticPr fontId="3"/>
  </si>
  <si>
    <t>0.50</t>
    <phoneticPr fontId="3"/>
  </si>
  <si>
    <t>注3：　上記の選択率の下で、今回の資源評価で推定された2020～2021年の年齢別の平均Fと同じ漁獲圧を与えるF値を%SPR換算して算出した。このF値は2021年の漁獲量の仮定に使用した。</t>
    <phoneticPr fontId="3"/>
  </si>
  <si>
    <t>2022年の漁獲量は現状の漁獲圧（F2020-2021）から予測される78.5万トンとし、2023年から漁獲管理規則による漁獲とした。</t>
    <phoneticPr fontId="3"/>
  </si>
  <si>
    <t xml:space="preserve">補足表3-7. 現状の漁獲圧に対応する将来予測 </t>
    <rPh sb="0" eb="2">
      <t>ホソク</t>
    </rPh>
    <rPh sb="2" eb="3">
      <t>ヒョウ</t>
    </rPh>
    <rPh sb="8" eb="10">
      <t>ゲンジョウ</t>
    </rPh>
    <rPh sb="11" eb="13">
      <t>ギョカク</t>
    </rPh>
    <rPh sb="13" eb="14">
      <t>アツ</t>
    </rPh>
    <rPh sb="15" eb="17">
      <t>タイオウ</t>
    </rPh>
    <rPh sb="19" eb="21">
      <t>ショウライ</t>
    </rPh>
    <rPh sb="21" eb="23">
      <t>ヨソク</t>
    </rPh>
    <phoneticPr fontId="3"/>
  </si>
  <si>
    <t xml:space="preserve">補足表3-6. 漁獲管理規則に対応する将来予測 </t>
    <rPh sb="0" eb="2">
      <t>ホソク</t>
    </rPh>
    <rPh sb="2" eb="3">
      <t>ヒョウ</t>
    </rPh>
    <rPh sb="8" eb="10">
      <t>ギョカク</t>
    </rPh>
    <rPh sb="10" eb="12">
      <t>カンリ</t>
    </rPh>
    <rPh sb="12" eb="14">
      <t>キソク</t>
    </rPh>
    <rPh sb="15" eb="17">
      <t>タイオウ</t>
    </rPh>
    <rPh sb="19" eb="21">
      <t>ショウライ</t>
    </rPh>
    <rPh sb="21" eb="23">
      <t>ヨソク</t>
    </rPh>
    <phoneticPr fontId="3"/>
  </si>
  <si>
    <r>
      <t>HCR (2023</t>
    </r>
    <r>
      <rPr>
        <sz val="11"/>
        <rFont val="Osaka"/>
        <family val="3"/>
        <charset val="128"/>
      </rPr>
      <t>年は</t>
    </r>
    <r>
      <rPr>
        <sz val="11"/>
        <rFont val="Times New Roman"/>
        <family val="1"/>
      </rPr>
      <t>1.2Fmsy</t>
    </r>
    <r>
      <rPr>
        <sz val="11"/>
        <rFont val="Osaka"/>
        <family val="3"/>
        <charset val="128"/>
      </rPr>
      <t>、</t>
    </r>
    <r>
      <rPr>
        <sz val="11"/>
        <rFont val="Times New Roman"/>
        <family val="1"/>
      </rPr>
      <t>2024</t>
    </r>
    <r>
      <rPr>
        <sz val="11"/>
        <rFont val="Osaka"/>
        <family val="3"/>
        <charset val="128"/>
      </rPr>
      <t>年以降は</t>
    </r>
    <r>
      <rPr>
        <sz val="11"/>
        <rFont val="Times New Roman"/>
        <family val="1"/>
      </rPr>
      <t>0.85Fmsy</t>
    </r>
    <r>
      <rPr>
        <sz val="11"/>
        <rFont val="Osaka"/>
        <family val="3"/>
        <charset val="128"/>
      </rPr>
      <t>で漁獲</t>
    </r>
    <r>
      <rPr>
        <sz val="11"/>
        <rFont val="Times New Roman"/>
        <family val="1"/>
      </rPr>
      <t>)</t>
    </r>
    <rPh sb="9" eb="10">
      <t>ネン</t>
    </rPh>
    <rPh sb="23" eb="26">
      <t>ネンイコウ</t>
    </rPh>
    <rPh sb="36" eb="38">
      <t>ギョカク</t>
    </rPh>
    <phoneticPr fontId="2"/>
  </si>
  <si>
    <r>
      <rPr>
        <sz val="11"/>
        <rFont val="ＭＳ 明朝"/>
        <family val="1"/>
        <charset val="128"/>
      </rPr>
      <t>年齢別漁獲係数</t>
    </r>
    <rPh sb="0" eb="3">
      <t>ネンレイベツ</t>
    </rPh>
    <rPh sb="3" eb="7">
      <t>ギョカクケイスウ</t>
    </rPh>
    <phoneticPr fontId="9"/>
  </si>
  <si>
    <r>
      <rPr>
        <sz val="11"/>
        <rFont val="ＭＳ 明朝"/>
        <family val="1"/>
        <charset val="128"/>
      </rPr>
      <t>年齢＼年</t>
    </r>
    <rPh sb="0" eb="2">
      <t>ネンレイ</t>
    </rPh>
    <rPh sb="3" eb="4">
      <t>ネン</t>
    </rPh>
    <phoneticPr fontId="9"/>
  </si>
  <si>
    <r>
      <t>0</t>
    </r>
    <r>
      <rPr>
        <sz val="11"/>
        <rFont val="ＭＳ 明朝"/>
        <family val="1"/>
        <charset val="128"/>
      </rPr>
      <t>歳</t>
    </r>
    <rPh sb="1" eb="2">
      <t>サイ</t>
    </rPh>
    <phoneticPr fontId="9"/>
  </si>
  <si>
    <r>
      <t>1</t>
    </r>
    <r>
      <rPr>
        <sz val="11"/>
        <rFont val="ＭＳ 明朝"/>
        <family val="1"/>
        <charset val="128"/>
      </rPr>
      <t>歳</t>
    </r>
    <rPh sb="1" eb="2">
      <t>サイ</t>
    </rPh>
    <phoneticPr fontId="9"/>
  </si>
  <si>
    <r>
      <t>2</t>
    </r>
    <r>
      <rPr>
        <sz val="11"/>
        <rFont val="ＭＳ 明朝"/>
        <family val="1"/>
        <charset val="128"/>
      </rPr>
      <t>歳</t>
    </r>
    <rPh sb="1" eb="2">
      <t>サイ</t>
    </rPh>
    <phoneticPr fontId="9"/>
  </si>
  <si>
    <r>
      <t>3</t>
    </r>
    <r>
      <rPr>
        <sz val="11"/>
        <rFont val="ＭＳ 明朝"/>
        <family val="1"/>
        <charset val="128"/>
      </rPr>
      <t>歳</t>
    </r>
    <rPh sb="1" eb="2">
      <t>サイ</t>
    </rPh>
    <phoneticPr fontId="9"/>
  </si>
  <si>
    <r>
      <t>4</t>
    </r>
    <r>
      <rPr>
        <sz val="11"/>
        <rFont val="ＭＳ 明朝"/>
        <family val="1"/>
        <charset val="128"/>
      </rPr>
      <t>歳</t>
    </r>
    <rPh sb="1" eb="2">
      <t>サイ</t>
    </rPh>
    <phoneticPr fontId="9"/>
  </si>
  <si>
    <r>
      <t>5</t>
    </r>
    <r>
      <rPr>
        <sz val="11"/>
        <rFont val="ＭＳ 明朝"/>
        <family val="1"/>
        <charset val="128"/>
      </rPr>
      <t>歳以上</t>
    </r>
    <rPh sb="1" eb="2">
      <t>サイ</t>
    </rPh>
    <rPh sb="2" eb="4">
      <t>イジョウ</t>
    </rPh>
    <phoneticPr fontId="9"/>
  </si>
  <si>
    <r>
      <rPr>
        <sz val="11"/>
        <rFont val="ＭＳ 明朝"/>
        <family val="1"/>
        <charset val="128"/>
      </rPr>
      <t>単純平均</t>
    </r>
    <rPh sb="0" eb="2">
      <t>タンジュン</t>
    </rPh>
    <rPh sb="2" eb="4">
      <t>カジュウヘイキン</t>
    </rPh>
    <phoneticPr fontId="9"/>
  </si>
  <si>
    <r>
      <rPr>
        <sz val="11"/>
        <rFont val="ＭＳ 明朝"/>
        <family val="1"/>
        <charset val="128"/>
      </rPr>
      <t>年齢別平均資源尾数（百万尾）</t>
    </r>
    <r>
      <rPr>
        <vertAlign val="superscript"/>
        <sz val="11"/>
        <rFont val="ＭＳ 明朝"/>
        <family val="1"/>
        <charset val="128"/>
      </rPr>
      <t>※</t>
    </r>
    <rPh sb="0" eb="3">
      <t>ネンレイベツ</t>
    </rPh>
    <rPh sb="3" eb="5">
      <t>ヘイキン</t>
    </rPh>
    <rPh sb="5" eb="9">
      <t>シゲンビスウ</t>
    </rPh>
    <rPh sb="10" eb="13">
      <t>ヒャクマンビ</t>
    </rPh>
    <phoneticPr fontId="9"/>
  </si>
  <si>
    <r>
      <rPr>
        <sz val="11"/>
        <rFont val="ＭＳ 明朝"/>
        <family val="1"/>
        <charset val="128"/>
      </rPr>
      <t>計</t>
    </r>
    <rPh sb="0" eb="1">
      <t>ケイ</t>
    </rPh>
    <phoneticPr fontId="9"/>
  </si>
  <si>
    <r>
      <rPr>
        <sz val="11"/>
        <rFont val="ＭＳ 明朝"/>
        <family val="1"/>
        <charset val="128"/>
      </rPr>
      <t>年齢別平均資源量（千トン）</t>
    </r>
    <r>
      <rPr>
        <vertAlign val="superscript"/>
        <sz val="11"/>
        <rFont val="ＭＳ 明朝"/>
        <family val="1"/>
        <charset val="128"/>
      </rPr>
      <t>※</t>
    </r>
    <rPh sb="0" eb="3">
      <t>ネンレイベツ</t>
    </rPh>
    <rPh sb="3" eb="5">
      <t>ヘイキン</t>
    </rPh>
    <rPh sb="8" eb="9">
      <t>リョウ</t>
    </rPh>
    <rPh sb="10" eb="11">
      <t>セン</t>
    </rPh>
    <phoneticPr fontId="9"/>
  </si>
  <si>
    <r>
      <rPr>
        <sz val="11"/>
        <rFont val="ＭＳ Ｐ明朝"/>
        <family val="1"/>
        <charset val="128"/>
      </rPr>
      <t>親魚量</t>
    </r>
    <rPh sb="0" eb="3">
      <t>シンギョリョウ</t>
    </rPh>
    <phoneticPr fontId="4"/>
  </si>
  <si>
    <r>
      <rPr>
        <sz val="11"/>
        <rFont val="ＭＳ 明朝"/>
        <family val="1"/>
        <charset val="128"/>
      </rPr>
      <t>年齢別平均漁獲尾数（百万尾）</t>
    </r>
    <r>
      <rPr>
        <vertAlign val="superscript"/>
        <sz val="11"/>
        <rFont val="ＭＳ 明朝"/>
        <family val="1"/>
        <charset val="128"/>
      </rPr>
      <t>※</t>
    </r>
    <rPh sb="0" eb="3">
      <t>ネンレイベツ</t>
    </rPh>
    <rPh sb="3" eb="5">
      <t>ヘイキン</t>
    </rPh>
    <rPh sb="5" eb="7">
      <t>ギョカク</t>
    </rPh>
    <rPh sb="7" eb="9">
      <t>ビスウ</t>
    </rPh>
    <rPh sb="10" eb="12">
      <t>ヒャクマン</t>
    </rPh>
    <rPh sb="12" eb="13">
      <t>オ</t>
    </rPh>
    <phoneticPr fontId="9"/>
  </si>
  <si>
    <r>
      <rPr>
        <sz val="11"/>
        <rFont val="ＭＳ 明朝"/>
        <family val="1"/>
        <charset val="128"/>
      </rPr>
      <t>年齢別平均漁獲量（千トン）</t>
    </r>
    <r>
      <rPr>
        <vertAlign val="superscript"/>
        <sz val="11"/>
        <rFont val="ＭＳ 明朝"/>
        <family val="1"/>
        <charset val="128"/>
      </rPr>
      <t>※</t>
    </r>
    <rPh sb="0" eb="3">
      <t>ネンレイベツ</t>
    </rPh>
    <rPh sb="3" eb="5">
      <t>ヘイキン</t>
    </rPh>
    <rPh sb="5" eb="8">
      <t>ギョカクリョウ</t>
    </rPh>
    <rPh sb="9" eb="10">
      <t>セン</t>
    </rPh>
    <phoneticPr fontId="9"/>
  </si>
  <si>
    <r>
      <rPr>
        <sz val="11"/>
        <rFont val="ＭＳ 明朝"/>
        <family val="1"/>
        <charset val="128"/>
      </rPr>
      <t>漁獲割合</t>
    </r>
    <rPh sb="0" eb="4">
      <t>ギョカクワリアイ</t>
    </rPh>
    <phoneticPr fontId="9"/>
  </si>
  <si>
    <r>
      <rPr>
        <sz val="11"/>
        <rFont val="Osaka"/>
        <family val="3"/>
        <charset val="128"/>
      </rPr>
      <t>※</t>
    </r>
    <r>
      <rPr>
        <sz val="11"/>
        <rFont val="Times New Roman"/>
        <family val="1"/>
      </rPr>
      <t>10,000</t>
    </r>
    <r>
      <rPr>
        <sz val="11"/>
        <rFont val="Osaka"/>
        <family val="3"/>
        <charset val="128"/>
      </rPr>
      <t>回の繰り返し計算を行った平均値である。</t>
    </r>
  </si>
  <si>
    <t>F2020-2021</t>
  </si>
  <si>
    <r>
      <rPr>
        <sz val="11"/>
        <rFont val="ＭＳ 明朝"/>
        <family val="1"/>
        <charset val="128"/>
      </rPr>
      <t>年齢別平均資源量（千トン）</t>
    </r>
    <r>
      <rPr>
        <vertAlign val="superscript"/>
        <sz val="11"/>
        <rFont val="ＭＳ 明朝"/>
        <family val="1"/>
        <charset val="128"/>
      </rPr>
      <t>※</t>
    </r>
    <rPh sb="0" eb="3">
      <t>ネンレイベツ</t>
    </rPh>
    <rPh sb="3" eb="5">
      <t>ヘイキン</t>
    </rPh>
    <rPh sb="5" eb="8">
      <t>シゲンリョウ</t>
    </rPh>
    <rPh sb="9" eb="10">
      <t>セン</t>
    </rPh>
    <phoneticPr fontId="9"/>
  </si>
  <si>
    <r>
      <rPr>
        <sz val="11"/>
        <rFont val="ＭＳ 明朝"/>
        <family val="1"/>
        <charset val="128"/>
      </rPr>
      <t>年齢別漁獲量（千トン）</t>
    </r>
    <r>
      <rPr>
        <vertAlign val="superscript"/>
        <sz val="11"/>
        <rFont val="ＭＳ 明朝"/>
        <family val="1"/>
        <charset val="128"/>
      </rPr>
      <t>※</t>
    </r>
    <rPh sb="0" eb="3">
      <t>ネンレイベツ</t>
    </rPh>
    <rPh sb="3" eb="6">
      <t>ギョカクリョウ</t>
    </rPh>
    <rPh sb="7" eb="8">
      <t>セン</t>
    </rPh>
    <phoneticPr fontId="9"/>
  </si>
  <si>
    <r>
      <rPr>
        <sz val="11"/>
        <color theme="1"/>
        <rFont val="ＭＳ Ｐゴシック"/>
        <family val="2"/>
        <charset val="128"/>
      </rPr>
      <t>補足表5</t>
    </r>
    <r>
      <rPr>
        <sz val="11"/>
        <color theme="1"/>
        <rFont val="Times New Roman"/>
        <family val="1"/>
      </rPr>
      <t xml:space="preserve">-1. </t>
    </r>
    <r>
      <rPr>
        <sz val="11"/>
        <color theme="1"/>
        <rFont val="ＭＳ Ｐゴシック"/>
        <family val="2"/>
        <charset val="128"/>
      </rPr>
      <t>漁獲量とコホート解析結果（日本の漁獲量のみで資源量推定を行った場合の試算）</t>
    </r>
    <rPh sb="0" eb="2">
      <t>ホソク</t>
    </rPh>
    <rPh sb="2" eb="3">
      <t>ヒョウ</t>
    </rPh>
    <rPh sb="8" eb="11">
      <t>ギョカクリョウ</t>
    </rPh>
    <rPh sb="16" eb="18">
      <t>カイセキ</t>
    </rPh>
    <rPh sb="18" eb="20">
      <t>ケッカ</t>
    </rPh>
    <rPh sb="21" eb="23">
      <t>ニホン</t>
    </rPh>
    <rPh sb="24" eb="27">
      <t>ギョカクリョウ</t>
    </rPh>
    <rPh sb="30" eb="33">
      <t>シゲンリョウ</t>
    </rPh>
    <rPh sb="33" eb="35">
      <t>スイテイ</t>
    </rPh>
    <rPh sb="36" eb="37">
      <t>オコナ</t>
    </rPh>
    <phoneticPr fontId="3"/>
  </si>
  <si>
    <r>
      <t>表</t>
    </r>
    <r>
      <rPr>
        <sz val="11"/>
        <color theme="1"/>
        <rFont val="Times New Roman"/>
        <family val="1"/>
      </rPr>
      <t>5-2</t>
    </r>
    <r>
      <rPr>
        <sz val="11"/>
        <color theme="1"/>
        <rFont val="ＭＳ Ｐゴシック"/>
        <family val="2"/>
        <charset val="128"/>
        <scheme val="minor"/>
      </rPr>
      <t>.　将来の親魚量が目標管理基準値（</t>
    </r>
    <r>
      <rPr>
        <sz val="11"/>
        <color theme="1"/>
        <rFont val="Times New Roman"/>
        <family val="1"/>
      </rPr>
      <t>a</t>
    </r>
    <r>
      <rPr>
        <sz val="11"/>
        <color theme="1"/>
        <rFont val="ＭＳ Ｐゴシック"/>
        <family val="2"/>
        <charset val="128"/>
        <scheme val="minor"/>
      </rPr>
      <t>）、限界管理基準値（</t>
    </r>
    <r>
      <rPr>
        <sz val="11"/>
        <color theme="1"/>
        <rFont val="Times New Roman"/>
        <family val="1"/>
      </rPr>
      <t>b</t>
    </r>
    <r>
      <rPr>
        <sz val="11"/>
        <color theme="1"/>
        <rFont val="ＭＳ Ｐゴシック"/>
        <family val="2"/>
        <charset val="128"/>
        <scheme val="minor"/>
      </rPr>
      <t>）を上回る確率</t>
    </r>
    <phoneticPr fontId="3"/>
  </si>
  <si>
    <r>
      <t>表</t>
    </r>
    <r>
      <rPr>
        <sz val="11"/>
        <color theme="1"/>
        <rFont val="Times New Roman"/>
        <family val="1"/>
      </rPr>
      <t>5-3</t>
    </r>
    <r>
      <rPr>
        <sz val="11"/>
        <color theme="1"/>
        <rFont val="ＭＳ Ｐゴシック"/>
        <family val="2"/>
        <charset val="128"/>
        <scheme val="minor"/>
      </rPr>
      <t>.　将来の親魚量（</t>
    </r>
    <r>
      <rPr>
        <sz val="11"/>
        <color theme="1"/>
        <rFont val="Times New Roman"/>
        <family val="1"/>
      </rPr>
      <t>a</t>
    </r>
    <r>
      <rPr>
        <sz val="11"/>
        <color theme="1"/>
        <rFont val="ＭＳ Ｐゴシック"/>
        <family val="2"/>
        <charset val="128"/>
        <scheme val="minor"/>
      </rPr>
      <t>）および漁獲量（</t>
    </r>
    <r>
      <rPr>
        <sz val="11"/>
        <color theme="1"/>
        <rFont val="Times New Roman"/>
        <family val="1"/>
      </rPr>
      <t>b</t>
    </r>
    <r>
      <rPr>
        <sz val="11"/>
        <color theme="1"/>
        <rFont val="ＭＳ Ｐゴシック"/>
        <family val="2"/>
        <charset val="128"/>
        <scheme val="minor"/>
      </rPr>
      <t>）の平均値の推移</t>
    </r>
    <rPh sb="18" eb="21">
      <t>ギョカクリョウ</t>
    </rPh>
    <rPh sb="25" eb="28">
      <t>ヘイキンチ</t>
    </rPh>
    <rPh sb="29" eb="31">
      <t>スイイ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</si>
</sst>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76" formatCode="#,##0_);[Red]\(#,##0\)"/>
    <numFmt numFmtId="177" formatCode="#,##0.0_);[Red]\(#,##0.0\)"/>
    <numFmt numFmtId="178" formatCode="#,##0_ "/>
    <numFmt numFmtId="179" formatCode="#,##0.0_ ;[Red]\-#,##0.0\ "/>
    <numFmt numFmtId="180" formatCode="#,##0_ ;[Red]\-#,##0\ "/>
    <numFmt numFmtId="181" formatCode="#,##0.0_ "/>
    <numFmt numFmtId="182" formatCode="#,##0.00_ ;[Red]\-#,##0.00\ "/>
    <numFmt numFmtId="183" formatCode="0.0%"/>
    <numFmt numFmtId="184" formatCode="0_ "/>
    <numFmt numFmtId="185" formatCode="0_);[Red]\(0\)"/>
    <numFmt numFmtId="186" formatCode="0.0"/>
    <numFmt numFmtId="187" formatCode="#,##0.0;[Red]\-#,##0.0"/>
    <numFmt numFmtId="188" formatCode="#,##0.00_);[Red]\(#,##0.00\)"/>
  </numFmts>
  <fonts count="45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b/>
      <sz val="18"/>
      <color theme="3"/>
      <name val="ＭＳ Ｐゴシック"/>
      <family val="2"/>
      <charset val="128"/>
      <scheme val="major"/>
    </font>
    <font>
      <sz val="6"/>
      <name val="ＭＳ Ｐゴシック"/>
      <family val="2"/>
      <charset val="128"/>
      <scheme val="minor"/>
    </font>
    <font>
      <sz val="6"/>
      <name val="ＭＳ 明朝"/>
      <family val="1"/>
      <charset val="128"/>
    </font>
    <font>
      <sz val="11"/>
      <name val="Times New Roman"/>
      <family val="1"/>
    </font>
    <font>
      <sz val="11"/>
      <name val="ＭＳ 明朝"/>
      <family val="1"/>
      <charset val="128"/>
    </font>
    <font>
      <sz val="12"/>
      <name val="リュウミンライト－ＫＬ"/>
      <family val="3"/>
      <charset val="128"/>
    </font>
    <font>
      <sz val="14"/>
      <name val="リュウミンライト－ＫＬ"/>
      <family val="3"/>
      <charset val="128"/>
    </font>
    <font>
      <sz val="10"/>
      <name val="ＭＳ 明朝"/>
      <family val="1"/>
      <charset val="128"/>
    </font>
    <font>
      <sz val="11"/>
      <color indexed="22"/>
      <name val="Times New Roman"/>
      <family val="1"/>
    </font>
    <font>
      <sz val="11"/>
      <color theme="0" tint="-0.499984740745262"/>
      <name val="Times New Roman"/>
      <family val="1"/>
    </font>
    <font>
      <sz val="10"/>
      <name val="Times New Roman"/>
      <family val="1"/>
    </font>
    <font>
      <sz val="11"/>
      <name val="ＭＳ Ｐ明朝"/>
      <family val="1"/>
      <charset val="128"/>
    </font>
    <font>
      <b/>
      <u/>
      <sz val="11"/>
      <name val="Times New Roman"/>
      <family val="1"/>
    </font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</font>
    <font>
      <sz val="11"/>
      <color theme="1"/>
      <name val="Times New Roman"/>
      <family val="1"/>
    </font>
    <font>
      <sz val="11"/>
      <name val="Times New Roman"/>
      <family val="1"/>
      <charset val="128"/>
    </font>
    <font>
      <sz val="12"/>
      <color theme="1"/>
      <name val="ＭＳ Ｐゴシック"/>
      <family val="2"/>
      <charset val="128"/>
      <scheme val="minor"/>
    </font>
    <font>
      <sz val="11"/>
      <name val="ＭＳ Ｐゴシック"/>
      <family val="2"/>
      <charset val="128"/>
    </font>
    <font>
      <sz val="12"/>
      <name val="Times New Roman"/>
      <family val="1"/>
    </font>
    <font>
      <sz val="12"/>
      <name val="ＭＳ 明朝"/>
      <family val="1"/>
      <charset val="128"/>
    </font>
    <font>
      <sz val="11"/>
      <name val="明朝"/>
      <family val="1"/>
      <charset val="128"/>
    </font>
    <font>
      <sz val="12"/>
      <name val="Osaka"/>
      <family val="3"/>
      <charset val="128"/>
    </font>
    <font>
      <sz val="11"/>
      <name val="Times New Roman"/>
      <family val="2"/>
      <charset val="128"/>
    </font>
    <font>
      <sz val="11"/>
      <name val="Osaka"/>
      <family val="3"/>
      <charset val="128"/>
    </font>
    <font>
      <sz val="14"/>
      <color indexed="10"/>
      <name val="リュウミンライト－ＫＬ"/>
      <family val="3"/>
      <charset val="128"/>
    </font>
    <font>
      <sz val="12"/>
      <color indexed="22"/>
      <name val="Times New Roman"/>
      <family val="1"/>
    </font>
    <font>
      <sz val="11"/>
      <color theme="1"/>
      <name val="Times New Roman"/>
      <family val="2"/>
      <charset val="128"/>
    </font>
    <font>
      <sz val="10.5"/>
      <name val="Times New Roman"/>
      <family val="1"/>
    </font>
    <font>
      <sz val="10.5"/>
      <name val="ＭＳ 明朝"/>
      <family val="1"/>
      <charset val="128"/>
    </font>
    <font>
      <sz val="10.5"/>
      <color theme="1"/>
      <name val="Times New Roman"/>
      <family val="1"/>
    </font>
    <font>
      <sz val="10.5"/>
      <color theme="1"/>
      <name val="ＭＳ 明朝"/>
      <family val="1"/>
      <charset val="128"/>
    </font>
    <font>
      <sz val="10.5"/>
      <color theme="1"/>
      <name val="ＭＳ Ｐ明朝"/>
      <family val="1"/>
      <charset val="128"/>
    </font>
    <font>
      <sz val="11"/>
      <color theme="1"/>
      <name val="ＭＳ 明朝"/>
      <family val="1"/>
      <charset val="128"/>
    </font>
    <font>
      <sz val="11"/>
      <color theme="1"/>
      <name val="ＭＳ Ｐ明朝"/>
      <family val="1"/>
      <charset val="128"/>
    </font>
    <font>
      <sz val="11"/>
      <color theme="1"/>
      <name val="ＭＳ Ｐゴシック"/>
      <family val="1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9"/>
      <name val="Times New Roman"/>
      <family val="1"/>
    </font>
    <font>
      <sz val="8"/>
      <name val="Times New Roman"/>
      <family val="1"/>
    </font>
    <font>
      <sz val="12"/>
      <name val="Times New Roman"/>
      <family val="1"/>
      <charset val="128"/>
    </font>
    <font>
      <sz val="12"/>
      <name val="Yu Gothic"/>
      <family val="1"/>
      <charset val="128"/>
    </font>
    <font>
      <vertAlign val="superscript"/>
      <sz val="11"/>
      <name val="ＭＳ 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11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7" fillId="0" borderId="0"/>
    <xf numFmtId="0" fontId="8" fillId="2" borderId="0"/>
    <xf numFmtId="38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7" fillId="0" borderId="0"/>
    <xf numFmtId="0" fontId="15" fillId="0" borderId="0"/>
    <xf numFmtId="0" fontId="24" fillId="0" borderId="0"/>
    <xf numFmtId="38" fontId="15" fillId="0" borderId="0" applyFont="0" applyFill="0" applyBorder="0" applyAlignment="0" applyProtection="0"/>
    <xf numFmtId="9" fontId="23" fillId="0" borderId="0" applyFont="0" applyFill="0" applyBorder="0" applyAlignment="0" applyProtection="0"/>
  </cellStyleXfs>
  <cellXfs count="212">
    <xf numFmtId="0" fontId="0" fillId="0" borderId="0" xfId="0">
      <alignment vertical="center"/>
    </xf>
    <xf numFmtId="0" fontId="5" fillId="0" borderId="0" xfId="3" applyFont="1" applyFill="1"/>
    <xf numFmtId="178" fontId="5" fillId="0" borderId="0" xfId="3" applyNumberFormat="1" applyFont="1" applyFill="1"/>
    <xf numFmtId="0" fontId="5" fillId="0" borderId="0" xfId="3" applyFont="1" applyFill="1" applyAlignment="1">
      <alignment horizontal="center"/>
    </xf>
    <xf numFmtId="180" fontId="5" fillId="0" borderId="0" xfId="3" applyNumberFormat="1" applyFont="1" applyFill="1"/>
    <xf numFmtId="178" fontId="11" fillId="0" borderId="0" xfId="3" applyNumberFormat="1" applyFont="1" applyFill="1"/>
    <xf numFmtId="178" fontId="10" fillId="0" borderId="0" xfId="3" applyNumberFormat="1" applyFont="1" applyFill="1"/>
    <xf numFmtId="0" fontId="10" fillId="0" borderId="0" xfId="3" applyFont="1" applyFill="1" applyAlignment="1">
      <alignment horizontal="center"/>
    </xf>
    <xf numFmtId="177" fontId="5" fillId="0" borderId="0" xfId="3" applyNumberFormat="1" applyFont="1" applyFill="1"/>
    <xf numFmtId="0" fontId="11" fillId="0" borderId="0" xfId="3" applyFont="1" applyFill="1"/>
    <xf numFmtId="0" fontId="5" fillId="0" borderId="0" xfId="0" applyFont="1" applyAlignment="1"/>
    <xf numFmtId="178" fontId="6" fillId="0" borderId="0" xfId="3" applyNumberFormat="1" applyFont="1" applyFill="1"/>
    <xf numFmtId="178" fontId="0" fillId="0" borderId="0" xfId="0" applyNumberFormat="1">
      <alignment vertical="center"/>
    </xf>
    <xf numFmtId="178" fontId="5" fillId="0" borderId="7" xfId="7" applyNumberFormat="1" applyFont="1" applyBorder="1" applyAlignment="1">
      <alignment horizontal="center"/>
    </xf>
    <xf numFmtId="180" fontId="5" fillId="0" borderId="7" xfId="3" applyNumberFormat="1" applyFont="1" applyFill="1" applyBorder="1"/>
    <xf numFmtId="0" fontId="5" fillId="0" borderId="0" xfId="2" applyFont="1"/>
    <xf numFmtId="181" fontId="0" fillId="0" borderId="0" xfId="0" applyNumberFormat="1">
      <alignment vertical="center"/>
    </xf>
    <xf numFmtId="0" fontId="5" fillId="0" borderId="7" xfId="3" applyFont="1" applyFill="1" applyBorder="1" applyAlignment="1">
      <alignment horizontal="center"/>
    </xf>
    <xf numFmtId="176" fontId="5" fillId="0" borderId="0" xfId="3" applyNumberFormat="1" applyFont="1" applyFill="1"/>
    <xf numFmtId="176" fontId="5" fillId="0" borderId="7" xfId="3" applyNumberFormat="1" applyFont="1" applyFill="1" applyBorder="1"/>
    <xf numFmtId="2" fontId="0" fillId="0" borderId="0" xfId="0" applyNumberFormat="1">
      <alignment vertical="center"/>
    </xf>
    <xf numFmtId="186" fontId="0" fillId="0" borderId="0" xfId="0" applyNumberFormat="1">
      <alignment vertical="center"/>
    </xf>
    <xf numFmtId="187" fontId="0" fillId="0" borderId="0" xfId="0" applyNumberFormat="1">
      <alignment vertical="center"/>
    </xf>
    <xf numFmtId="0" fontId="18" fillId="0" borderId="0" xfId="3" applyFont="1" applyFill="1"/>
    <xf numFmtId="0" fontId="25" fillId="0" borderId="0" xfId="0" applyFont="1">
      <alignment vertical="center"/>
    </xf>
    <xf numFmtId="0" fontId="6" fillId="0" borderId="0" xfId="3" applyFont="1" applyFill="1"/>
    <xf numFmtId="0" fontId="5" fillId="0" borderId="6" xfId="3" applyFont="1" applyFill="1" applyBorder="1" applyAlignment="1">
      <alignment horizontal="center"/>
    </xf>
    <xf numFmtId="0" fontId="5" fillId="0" borderId="8" xfId="3" applyFont="1" applyFill="1" applyBorder="1" applyAlignment="1">
      <alignment horizontal="center"/>
    </xf>
    <xf numFmtId="0" fontId="18" fillId="0" borderId="0" xfId="0" applyFont="1" applyAlignment="1"/>
    <xf numFmtId="184" fontId="5" fillId="0" borderId="0" xfId="3" applyNumberFormat="1" applyFont="1" applyFill="1" applyAlignment="1">
      <alignment horizontal="center"/>
    </xf>
    <xf numFmtId="181" fontId="5" fillId="0" borderId="0" xfId="3" applyNumberFormat="1" applyFont="1" applyFill="1"/>
    <xf numFmtId="185" fontId="5" fillId="0" borderId="0" xfId="3" applyNumberFormat="1" applyFont="1" applyFill="1" applyAlignment="1">
      <alignment horizontal="center"/>
    </xf>
    <xf numFmtId="0" fontId="6" fillId="0" borderId="6" xfId="3" applyFont="1" applyFill="1" applyBorder="1" applyAlignment="1">
      <alignment horizontal="center"/>
    </xf>
    <xf numFmtId="0" fontId="0" fillId="0" borderId="0" xfId="0" applyAlignment="1"/>
    <xf numFmtId="176" fontId="14" fillId="0" borderId="0" xfId="3" applyNumberFormat="1" applyFont="1" applyFill="1"/>
    <xf numFmtId="0" fontId="19" fillId="0" borderId="0" xfId="0" applyFont="1">
      <alignment vertical="center"/>
    </xf>
    <xf numFmtId="0" fontId="0" fillId="0" borderId="1" xfId="0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178" fontId="26" fillId="0" borderId="1" xfId="0" applyNumberFormat="1" applyFont="1" applyBorder="1" applyAlignment="1"/>
    <xf numFmtId="3" fontId="26" fillId="0" borderId="1" xfId="0" applyNumberFormat="1" applyFont="1" applyBorder="1" applyAlignment="1"/>
    <xf numFmtId="0" fontId="5" fillId="0" borderId="9" xfId="0" applyFont="1" applyBorder="1" applyAlignment="1">
      <alignment horizontal="center" vertical="center"/>
    </xf>
    <xf numFmtId="178" fontId="5" fillId="0" borderId="2" xfId="0" applyNumberFormat="1" applyFont="1" applyBorder="1">
      <alignment vertical="center"/>
    </xf>
    <xf numFmtId="181" fontId="5" fillId="0" borderId="2" xfId="0" applyNumberFormat="1" applyFont="1" applyBorder="1">
      <alignment vertical="center"/>
    </xf>
    <xf numFmtId="0" fontId="0" fillId="0" borderId="9" xfId="0" applyBorder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178" fontId="5" fillId="0" borderId="3" xfId="0" applyNumberFormat="1" applyFont="1" applyBorder="1">
      <alignment vertical="center"/>
    </xf>
    <xf numFmtId="181" fontId="5" fillId="0" borderId="3" xfId="0" applyNumberFormat="1" applyFont="1" applyBorder="1">
      <alignment vertical="center"/>
    </xf>
    <xf numFmtId="0" fontId="21" fillId="0" borderId="0" xfId="3" applyFont="1" applyFill="1"/>
    <xf numFmtId="38" fontId="5" fillId="0" borderId="0" xfId="4" applyFont="1" applyFill="1" applyBorder="1"/>
    <xf numFmtId="0" fontId="12" fillId="0" borderId="0" xfId="3" applyFont="1" applyFill="1"/>
    <xf numFmtId="0" fontId="10" fillId="0" borderId="0" xfId="3" applyFont="1" applyFill="1"/>
    <xf numFmtId="0" fontId="13" fillId="0" borderId="0" xfId="0" applyFont="1" applyAlignment="1"/>
    <xf numFmtId="182" fontId="5" fillId="0" borderId="0" xfId="0" applyNumberFormat="1" applyFont="1" applyAlignment="1"/>
    <xf numFmtId="0" fontId="5" fillId="0" borderId="0" xfId="6" applyFont="1"/>
    <xf numFmtId="0" fontId="5" fillId="0" borderId="0" xfId="2" applyFont="1" applyAlignment="1">
      <alignment horizontal="center"/>
    </xf>
    <xf numFmtId="0" fontId="10" fillId="0" borderId="0" xfId="2" applyFont="1"/>
    <xf numFmtId="0" fontId="29" fillId="0" borderId="0" xfId="0" applyFont="1">
      <alignment vertical="center"/>
    </xf>
    <xf numFmtId="184" fontId="5" fillId="0" borderId="0" xfId="0" applyNumberFormat="1" applyFont="1" applyAlignment="1"/>
    <xf numFmtId="184" fontId="0" fillId="0" borderId="0" xfId="0" applyNumberFormat="1">
      <alignment vertical="center"/>
    </xf>
    <xf numFmtId="178" fontId="5" fillId="0" borderId="0" xfId="0" applyNumberFormat="1" applyFont="1" applyAlignment="1"/>
    <xf numFmtId="0" fontId="13" fillId="0" borderId="0" xfId="0" applyFont="1" applyAlignment="1">
      <alignment horizontal="right" vertical="top"/>
    </xf>
    <xf numFmtId="0" fontId="5" fillId="0" borderId="0" xfId="0" applyFont="1" applyAlignment="1">
      <alignment horizontal="left" vertical="center" wrapText="1"/>
    </xf>
    <xf numFmtId="179" fontId="5" fillId="0" borderId="0" xfId="1" applyNumberFormat="1" applyFont="1" applyFill="1" applyBorder="1">
      <alignment vertical="center"/>
    </xf>
    <xf numFmtId="0" fontId="13" fillId="0" borderId="0" xfId="0" applyFont="1" applyAlignment="1">
      <alignment horizontal="right" vertical="center"/>
    </xf>
    <xf numFmtId="0" fontId="13" fillId="0" borderId="0" xfId="0" applyFont="1" applyAlignment="1">
      <alignment vertical="center" wrapText="1"/>
    </xf>
    <xf numFmtId="0" fontId="5" fillId="0" borderId="0" xfId="0" applyFont="1" applyAlignment="1">
      <alignment horizontal="left" wrapText="1"/>
    </xf>
    <xf numFmtId="179" fontId="5" fillId="0" borderId="0" xfId="1" applyNumberFormat="1" applyFont="1" applyFill="1" applyBorder="1" applyAlignment="1">
      <alignment horizontal="center" vertical="center"/>
    </xf>
    <xf numFmtId="179" fontId="17" fillId="0" borderId="0" xfId="0" applyNumberFormat="1" applyFont="1" applyAlignment="1">
      <alignment horizontal="center" vertical="center"/>
    </xf>
    <xf numFmtId="0" fontId="5" fillId="0" borderId="8" xfId="0" applyFont="1" applyBorder="1" applyAlignment="1"/>
    <xf numFmtId="184" fontId="5" fillId="0" borderId="8" xfId="0" applyNumberFormat="1" applyFont="1" applyBorder="1" applyAlignment="1">
      <alignment horizontal="center" vertical="center"/>
    </xf>
    <xf numFmtId="0" fontId="13" fillId="0" borderId="7" xfId="0" applyFont="1" applyBorder="1" applyAlignment="1">
      <alignment horizontal="right" vertical="top"/>
    </xf>
    <xf numFmtId="0" fontId="5" fillId="0" borderId="7" xfId="0" applyFont="1" applyBorder="1" applyAlignment="1">
      <alignment vertical="center" wrapText="1"/>
    </xf>
    <xf numFmtId="179" fontId="5" fillId="0" borderId="7" xfId="1" applyNumberFormat="1" applyFont="1" applyFill="1" applyBorder="1" applyAlignment="1">
      <alignment horizontal="center" vertical="center"/>
    </xf>
    <xf numFmtId="0" fontId="5" fillId="0" borderId="8" xfId="0" applyFont="1" applyBorder="1" applyAlignment="1">
      <alignment horizontal="left" wrapText="1"/>
    </xf>
    <xf numFmtId="184" fontId="5" fillId="0" borderId="8" xfId="0" applyNumberFormat="1" applyFont="1" applyBorder="1" applyAlignment="1">
      <alignment horizontal="center" vertical="center" wrapText="1"/>
    </xf>
    <xf numFmtId="179" fontId="5" fillId="0" borderId="7" xfId="0" applyNumberFormat="1" applyFont="1" applyBorder="1" applyAlignment="1">
      <alignment horizontal="center" vertical="center"/>
    </xf>
    <xf numFmtId="179" fontId="17" fillId="0" borderId="7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84" fontId="5" fillId="0" borderId="0" xfId="3" applyNumberFormat="1" applyFont="1" applyFill="1" applyAlignment="1">
      <alignment horizontal="right"/>
    </xf>
    <xf numFmtId="185" fontId="5" fillId="0" borderId="0" xfId="3" applyNumberFormat="1" applyFont="1" applyFill="1" applyAlignment="1">
      <alignment horizontal="right"/>
    </xf>
    <xf numFmtId="184" fontId="17" fillId="0" borderId="0" xfId="0" applyNumberFormat="1" applyFont="1">
      <alignment vertical="center"/>
    </xf>
    <xf numFmtId="178" fontId="17" fillId="0" borderId="0" xfId="0" applyNumberFormat="1" applyFont="1">
      <alignment vertical="center"/>
    </xf>
    <xf numFmtId="178" fontId="14" fillId="0" borderId="0" xfId="3" applyNumberFormat="1" applyFont="1" applyFill="1"/>
    <xf numFmtId="0" fontId="32" fillId="0" borderId="0" xfId="0" applyFont="1" applyAlignment="1">
      <alignment horizontal="justify" vertical="center" wrapText="1"/>
    </xf>
    <xf numFmtId="0" fontId="32" fillId="0" borderId="15" xfId="0" applyFont="1" applyBorder="1" applyAlignment="1">
      <alignment horizontal="justify" vertical="center" wrapText="1"/>
    </xf>
    <xf numFmtId="0" fontId="17" fillId="0" borderId="0" xfId="0" applyFont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0" fontId="17" fillId="0" borderId="18" xfId="0" applyFont="1" applyBorder="1" applyAlignment="1">
      <alignment horizontal="center" vertical="center"/>
    </xf>
    <xf numFmtId="186" fontId="5" fillId="0" borderId="18" xfId="0" applyNumberFormat="1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37" fillId="0" borderId="0" xfId="0" applyFont="1">
      <alignment vertical="center"/>
    </xf>
    <xf numFmtId="187" fontId="17" fillId="0" borderId="18" xfId="1" applyNumberFormat="1" applyFont="1" applyBorder="1" applyAlignment="1">
      <alignment horizontal="center" vertical="center"/>
    </xf>
    <xf numFmtId="181" fontId="5" fillId="0" borderId="1" xfId="0" applyNumberFormat="1" applyFont="1" applyBorder="1">
      <alignment vertical="center"/>
    </xf>
    <xf numFmtId="181" fontId="26" fillId="0" borderId="5" xfId="0" applyNumberFormat="1" applyFont="1" applyBorder="1" applyAlignment="1"/>
    <xf numFmtId="181" fontId="26" fillId="0" borderId="1" xfId="0" applyNumberFormat="1" applyFont="1" applyBorder="1" applyAlignment="1"/>
    <xf numFmtId="181" fontId="5" fillId="0" borderId="12" xfId="0" applyNumberFormat="1" applyFont="1" applyBorder="1">
      <alignment vertical="center"/>
    </xf>
    <xf numFmtId="181" fontId="5" fillId="0" borderId="14" xfId="0" applyNumberFormat="1" applyFont="1" applyBorder="1">
      <alignment vertical="center"/>
    </xf>
    <xf numFmtId="181" fontId="5" fillId="0" borderId="6" xfId="0" applyNumberFormat="1" applyFont="1" applyBorder="1">
      <alignment vertical="center"/>
    </xf>
    <xf numFmtId="181" fontId="5" fillId="0" borderId="0" xfId="0" applyNumberFormat="1" applyFont="1">
      <alignment vertical="center"/>
    </xf>
    <xf numFmtId="181" fontId="5" fillId="0" borderId="7" xfId="0" applyNumberFormat="1" applyFont="1" applyBorder="1">
      <alignment vertical="center"/>
    </xf>
    <xf numFmtId="0" fontId="5" fillId="3" borderId="0" xfId="8" applyFont="1" applyFill="1"/>
    <xf numFmtId="0" fontId="6" fillId="0" borderId="5" xfId="0" applyFont="1" applyBorder="1" applyAlignment="1">
      <alignment horizontal="center" vertical="center" wrapText="1"/>
    </xf>
    <xf numFmtId="0" fontId="5" fillId="3" borderId="0" xfId="3" applyFont="1" applyFill="1" applyAlignment="1">
      <alignment horizontal="center"/>
    </xf>
    <xf numFmtId="178" fontId="5" fillId="3" borderId="0" xfId="3" applyNumberFormat="1" applyFont="1" applyFill="1"/>
    <xf numFmtId="0" fontId="0" fillId="3" borderId="0" xfId="0" applyFill="1" applyAlignment="1"/>
    <xf numFmtId="180" fontId="5" fillId="3" borderId="0" xfId="3" applyNumberFormat="1" applyFont="1" applyFill="1"/>
    <xf numFmtId="184" fontId="5" fillId="0" borderId="19" xfId="3" applyNumberFormat="1" applyFont="1" applyFill="1" applyBorder="1" applyAlignment="1">
      <alignment horizontal="right" vertical="center"/>
    </xf>
    <xf numFmtId="178" fontId="5" fillId="0" borderId="0" xfId="3" applyNumberFormat="1" applyFont="1" applyFill="1" applyAlignment="1">
      <alignment horizontal="right" vertical="center"/>
    </xf>
    <xf numFmtId="180" fontId="5" fillId="0" borderId="7" xfId="3" applyNumberFormat="1" applyFont="1" applyFill="1" applyBorder="1" applyAlignment="1">
      <alignment horizontal="right" vertical="center"/>
    </xf>
    <xf numFmtId="184" fontId="5" fillId="0" borderId="19" xfId="3" applyNumberFormat="1" applyFont="1" applyFill="1" applyBorder="1" applyAlignment="1">
      <alignment horizontal="right"/>
    </xf>
    <xf numFmtId="178" fontId="14" fillId="0" borderId="0" xfId="3" applyNumberFormat="1" applyFont="1" applyFill="1" applyAlignment="1">
      <alignment horizontal="right" vertical="center"/>
    </xf>
    <xf numFmtId="0" fontId="5" fillId="0" borderId="19" xfId="3" applyFont="1" applyFill="1" applyBorder="1" applyAlignment="1">
      <alignment horizontal="center"/>
    </xf>
    <xf numFmtId="178" fontId="5" fillId="0" borderId="7" xfId="3" applyNumberFormat="1" applyFont="1" applyFill="1" applyBorder="1" applyAlignment="1">
      <alignment horizontal="right" vertical="center"/>
    </xf>
    <xf numFmtId="178" fontId="5" fillId="0" borderId="0" xfId="3" applyNumberFormat="1" applyFont="1" applyFill="1" applyAlignment="1">
      <alignment vertical="center"/>
    </xf>
    <xf numFmtId="181" fontId="5" fillId="0" borderId="7" xfId="3" applyNumberFormat="1" applyFont="1" applyFill="1" applyBorder="1"/>
    <xf numFmtId="180" fontId="40" fillId="0" borderId="0" xfId="3" applyNumberFormat="1" applyFont="1" applyFill="1"/>
    <xf numFmtId="180" fontId="41" fillId="0" borderId="7" xfId="3" applyNumberFormat="1" applyFont="1" applyFill="1" applyBorder="1" applyAlignment="1">
      <alignment shrinkToFit="1"/>
    </xf>
    <xf numFmtId="185" fontId="5" fillId="0" borderId="19" xfId="3" applyNumberFormat="1" applyFont="1" applyFill="1" applyBorder="1" applyAlignment="1">
      <alignment horizontal="right"/>
    </xf>
    <xf numFmtId="184" fontId="5" fillId="0" borderId="19" xfId="3" applyNumberFormat="1" applyFont="1" applyFill="1" applyBorder="1" applyAlignment="1">
      <alignment horizontal="center"/>
    </xf>
    <xf numFmtId="178" fontId="5" fillId="0" borderId="7" xfId="3" applyNumberFormat="1" applyFont="1" applyFill="1" applyBorder="1" applyAlignment="1">
      <alignment horizontal="center" vertical="center"/>
    </xf>
    <xf numFmtId="178" fontId="14" fillId="0" borderId="7" xfId="3" applyNumberFormat="1" applyFont="1" applyFill="1" applyBorder="1" applyAlignment="1">
      <alignment horizontal="center" vertical="center"/>
    </xf>
    <xf numFmtId="184" fontId="5" fillId="0" borderId="6" xfId="3" applyNumberFormat="1" applyFont="1" applyFill="1" applyBorder="1" applyAlignment="1">
      <alignment horizontal="center"/>
    </xf>
    <xf numFmtId="178" fontId="14" fillId="0" borderId="0" xfId="3" applyNumberFormat="1" applyFont="1" applyFill="1" applyAlignment="1">
      <alignment horizontal="center" vertical="center"/>
    </xf>
    <xf numFmtId="0" fontId="22" fillId="3" borderId="7" xfId="3" applyFont="1" applyFill="1" applyBorder="1"/>
    <xf numFmtId="0" fontId="21" fillId="3" borderId="7" xfId="3" applyFont="1" applyFill="1" applyBorder="1"/>
    <xf numFmtId="0" fontId="0" fillId="3" borderId="7" xfId="0" applyFill="1" applyBorder="1" applyAlignment="1"/>
    <xf numFmtId="0" fontId="21" fillId="3" borderId="7" xfId="3" applyFont="1" applyFill="1" applyBorder="1" applyAlignment="1">
      <alignment horizontal="center"/>
    </xf>
    <xf numFmtId="184" fontId="21" fillId="3" borderId="7" xfId="3" applyNumberFormat="1" applyFont="1" applyFill="1" applyBorder="1" applyAlignment="1">
      <alignment horizontal="right"/>
    </xf>
    <xf numFmtId="0" fontId="21" fillId="3" borderId="7" xfId="3" applyFont="1" applyFill="1" applyBorder="1" applyAlignment="1">
      <alignment horizontal="center" shrinkToFit="1"/>
    </xf>
    <xf numFmtId="184" fontId="21" fillId="3" borderId="7" xfId="3" applyNumberFormat="1" applyFont="1" applyFill="1" applyBorder="1" applyAlignment="1">
      <alignment shrinkToFit="1"/>
    </xf>
    <xf numFmtId="184" fontId="21" fillId="3" borderId="7" xfId="3" applyNumberFormat="1" applyFont="1" applyFill="1" applyBorder="1" applyAlignment="1">
      <alignment horizontal="right" shrinkToFit="1"/>
    </xf>
    <xf numFmtId="184" fontId="21" fillId="3" borderId="8" xfId="3" applyNumberFormat="1" applyFont="1" applyFill="1" applyBorder="1" applyAlignment="1">
      <alignment horizontal="right" shrinkToFit="1"/>
    </xf>
    <xf numFmtId="0" fontId="21" fillId="3" borderId="0" xfId="3" applyFont="1" applyFill="1" applyAlignment="1">
      <alignment horizontal="center"/>
    </xf>
    <xf numFmtId="176" fontId="21" fillId="3" borderId="0" xfId="3" applyNumberFormat="1" applyFont="1" applyFill="1"/>
    <xf numFmtId="0" fontId="21" fillId="3" borderId="0" xfId="3" applyFont="1" applyFill="1" applyAlignment="1">
      <alignment horizontal="center" shrinkToFit="1"/>
    </xf>
    <xf numFmtId="176" fontId="21" fillId="3" borderId="0" xfId="3" applyNumberFormat="1" applyFont="1" applyFill="1" applyAlignment="1">
      <alignment shrinkToFit="1"/>
    </xf>
    <xf numFmtId="38" fontId="22" fillId="3" borderId="8" xfId="9" applyFont="1" applyFill="1" applyBorder="1" applyAlignment="1">
      <alignment horizontal="center"/>
    </xf>
    <xf numFmtId="176" fontId="21" fillId="3" borderId="8" xfId="3" applyNumberFormat="1" applyFont="1" applyFill="1" applyBorder="1"/>
    <xf numFmtId="180" fontId="21" fillId="3" borderId="8" xfId="3" applyNumberFormat="1" applyFont="1" applyFill="1" applyBorder="1"/>
    <xf numFmtId="0" fontId="21" fillId="3" borderId="0" xfId="3" applyFont="1" applyFill="1"/>
    <xf numFmtId="0" fontId="28" fillId="3" borderId="0" xfId="3" applyFont="1" applyFill="1"/>
    <xf numFmtId="178" fontId="21" fillId="3" borderId="0" xfId="3" applyNumberFormat="1" applyFont="1" applyFill="1"/>
    <xf numFmtId="179" fontId="21" fillId="3" borderId="0" xfId="3" applyNumberFormat="1" applyFont="1" applyFill="1"/>
    <xf numFmtId="179" fontId="21" fillId="3" borderId="0" xfId="3" applyNumberFormat="1" applyFont="1" applyFill="1" applyAlignment="1">
      <alignment shrinkToFit="1"/>
    </xf>
    <xf numFmtId="0" fontId="22" fillId="3" borderId="8" xfId="3" applyFont="1" applyFill="1" applyBorder="1" applyAlignment="1">
      <alignment horizontal="center"/>
    </xf>
    <xf numFmtId="183" fontId="21" fillId="3" borderId="8" xfId="10" applyNumberFormat="1" applyFont="1" applyFill="1" applyBorder="1" applyAlignment="1"/>
    <xf numFmtId="0" fontId="22" fillId="3" borderId="8" xfId="3" applyFont="1" applyFill="1" applyBorder="1" applyAlignment="1">
      <alignment horizontal="center" shrinkToFit="1"/>
    </xf>
    <xf numFmtId="183" fontId="21" fillId="3" borderId="8" xfId="10" applyNumberFormat="1" applyFont="1" applyFill="1" applyBorder="1" applyAlignment="1">
      <alignment shrinkToFit="1"/>
    </xf>
    <xf numFmtId="0" fontId="21" fillId="3" borderId="0" xfId="0" applyFont="1" applyFill="1" applyAlignment="1"/>
    <xf numFmtId="0" fontId="21" fillId="3" borderId="0" xfId="0" applyFont="1" applyFill="1" applyAlignment="1">
      <alignment horizontal="right"/>
    </xf>
    <xf numFmtId="0" fontId="42" fillId="3" borderId="7" xfId="3" applyFont="1" applyFill="1" applyBorder="1"/>
    <xf numFmtId="0" fontId="21" fillId="3" borderId="7" xfId="0" applyFont="1" applyFill="1" applyBorder="1" applyAlignment="1"/>
    <xf numFmtId="0" fontId="21" fillId="3" borderId="7" xfId="0" applyFont="1" applyFill="1" applyBorder="1" applyAlignment="1">
      <alignment horizontal="right"/>
    </xf>
    <xf numFmtId="182" fontId="21" fillId="3" borderId="0" xfId="3" applyNumberFormat="1" applyFont="1" applyFill="1"/>
    <xf numFmtId="182" fontId="21" fillId="3" borderId="0" xfId="3" applyNumberFormat="1" applyFont="1" applyFill="1" applyAlignment="1">
      <alignment shrinkToFit="1"/>
    </xf>
    <xf numFmtId="38" fontId="21" fillId="3" borderId="8" xfId="9" applyFont="1" applyFill="1" applyBorder="1" applyAlignment="1">
      <alignment horizontal="center"/>
    </xf>
    <xf numFmtId="182" fontId="21" fillId="3" borderId="8" xfId="3" applyNumberFormat="1" applyFont="1" applyFill="1" applyBorder="1"/>
    <xf numFmtId="182" fontId="21" fillId="3" borderId="8" xfId="3" applyNumberFormat="1" applyFont="1" applyFill="1" applyBorder="1" applyAlignment="1">
      <alignment shrinkToFit="1"/>
    </xf>
    <xf numFmtId="38" fontId="21" fillId="3" borderId="0" xfId="9" applyFont="1" applyFill="1" applyBorder="1" applyAlignment="1">
      <alignment horizontal="center"/>
    </xf>
    <xf numFmtId="38" fontId="21" fillId="3" borderId="0" xfId="9" applyFont="1" applyFill="1" applyBorder="1" applyAlignment="1">
      <alignment horizontal="center" shrinkToFit="1"/>
    </xf>
    <xf numFmtId="178" fontId="21" fillId="3" borderId="0" xfId="3" applyNumberFormat="1" applyFont="1" applyFill="1" applyAlignment="1">
      <alignment shrinkToFit="1"/>
    </xf>
    <xf numFmtId="38" fontId="21" fillId="3" borderId="7" xfId="9" applyFont="1" applyFill="1" applyBorder="1"/>
    <xf numFmtId="180" fontId="21" fillId="3" borderId="0" xfId="3" applyNumberFormat="1" applyFont="1" applyFill="1"/>
    <xf numFmtId="180" fontId="21" fillId="3" borderId="0" xfId="3" applyNumberFormat="1" applyFont="1" applyFill="1" applyAlignment="1">
      <alignment shrinkToFit="1"/>
    </xf>
    <xf numFmtId="178" fontId="21" fillId="3" borderId="8" xfId="0" applyNumberFormat="1" applyFont="1" applyFill="1" applyBorder="1" applyAlignment="1"/>
    <xf numFmtId="178" fontId="21" fillId="3" borderId="8" xfId="0" applyNumberFormat="1" applyFont="1" applyFill="1" applyBorder="1" applyAlignment="1">
      <alignment shrinkToFit="1"/>
    </xf>
    <xf numFmtId="0" fontId="21" fillId="3" borderId="8" xfId="3" applyFont="1" applyFill="1" applyBorder="1" applyAlignment="1">
      <alignment horizontal="center"/>
    </xf>
    <xf numFmtId="181" fontId="21" fillId="3" borderId="8" xfId="0" applyNumberFormat="1" applyFont="1" applyFill="1" applyBorder="1" applyAlignment="1"/>
    <xf numFmtId="0" fontId="21" fillId="3" borderId="8" xfId="3" applyFont="1" applyFill="1" applyBorder="1" applyAlignment="1">
      <alignment horizontal="center" shrinkToFit="1"/>
    </xf>
    <xf numFmtId="181" fontId="21" fillId="3" borderId="8" xfId="0" applyNumberFormat="1" applyFont="1" applyFill="1" applyBorder="1" applyAlignment="1">
      <alignment shrinkToFit="1"/>
    </xf>
    <xf numFmtId="176" fontId="21" fillId="3" borderId="7" xfId="3" applyNumberFormat="1" applyFont="1" applyFill="1" applyBorder="1"/>
    <xf numFmtId="176" fontId="21" fillId="3" borderId="7" xfId="3" applyNumberFormat="1" applyFont="1" applyFill="1" applyBorder="1" applyAlignment="1">
      <alignment shrinkToFit="1"/>
    </xf>
    <xf numFmtId="0" fontId="17" fillId="0" borderId="7" xfId="0" applyFont="1" applyBorder="1" applyAlignment="1">
      <alignment horizontal="center" vertical="center" wrapText="1"/>
    </xf>
    <xf numFmtId="49" fontId="17" fillId="0" borderId="0" xfId="0" applyNumberFormat="1" applyFont="1" applyAlignment="1">
      <alignment horizontal="center" vertical="center" wrapText="1"/>
    </xf>
    <xf numFmtId="49" fontId="17" fillId="0" borderId="15" xfId="0" applyNumberFormat="1" applyFont="1" applyBorder="1" applyAlignment="1">
      <alignment horizontal="center" vertical="center" wrapText="1"/>
    </xf>
    <xf numFmtId="0" fontId="5" fillId="3" borderId="0" xfId="3" applyFont="1" applyFill="1"/>
    <xf numFmtId="0" fontId="5" fillId="3" borderId="0" xfId="3" applyFont="1" applyFill="1" applyAlignment="1">
      <alignment horizontal="left"/>
    </xf>
    <xf numFmtId="0" fontId="5" fillId="3" borderId="8" xfId="3" applyFont="1" applyFill="1" applyBorder="1" applyAlignment="1">
      <alignment horizontal="center"/>
    </xf>
    <xf numFmtId="184" fontId="5" fillId="3" borderId="8" xfId="3" applyNumberFormat="1" applyFont="1" applyFill="1" applyBorder="1"/>
    <xf numFmtId="188" fontId="5" fillId="3" borderId="0" xfId="3" applyNumberFormat="1" applyFont="1" applyFill="1"/>
    <xf numFmtId="38" fontId="5" fillId="3" borderId="8" xfId="9" applyFont="1" applyFill="1" applyBorder="1" applyAlignment="1">
      <alignment horizontal="center"/>
    </xf>
    <xf numFmtId="188" fontId="5" fillId="3" borderId="8" xfId="3" applyNumberFormat="1" applyFont="1" applyFill="1" applyBorder="1"/>
    <xf numFmtId="180" fontId="5" fillId="3" borderId="8" xfId="3" applyNumberFormat="1" applyFont="1" applyFill="1" applyBorder="1"/>
    <xf numFmtId="0" fontId="5" fillId="3" borderId="0" xfId="2" applyFont="1" applyFill="1"/>
    <xf numFmtId="0" fontId="5" fillId="3" borderId="6" xfId="3" applyFont="1" applyFill="1" applyBorder="1" applyAlignment="1">
      <alignment horizontal="center"/>
    </xf>
    <xf numFmtId="0" fontId="5" fillId="3" borderId="8" xfId="3" applyFont="1" applyFill="1" applyBorder="1" applyAlignment="1">
      <alignment horizontal="center" shrinkToFit="1"/>
    </xf>
    <xf numFmtId="9" fontId="5" fillId="3" borderId="8" xfId="10" applyFont="1" applyFill="1" applyBorder="1"/>
    <xf numFmtId="0" fontId="5" fillId="0" borderId="0" xfId="8" applyFont="1"/>
    <xf numFmtId="0" fontId="5" fillId="0" borderId="0" xfId="3" applyFont="1" applyFill="1" applyAlignment="1">
      <alignment horizontal="left"/>
    </xf>
    <xf numFmtId="184" fontId="5" fillId="0" borderId="8" xfId="3" applyNumberFormat="1" applyFont="1" applyFill="1" applyBorder="1"/>
    <xf numFmtId="188" fontId="5" fillId="0" borderId="0" xfId="3" applyNumberFormat="1" applyFont="1" applyFill="1"/>
    <xf numFmtId="38" fontId="5" fillId="0" borderId="8" xfId="9" applyFont="1" applyFill="1" applyBorder="1" applyAlignment="1">
      <alignment horizontal="center"/>
    </xf>
    <xf numFmtId="188" fontId="5" fillId="0" borderId="8" xfId="3" applyNumberFormat="1" applyFont="1" applyFill="1" applyBorder="1"/>
    <xf numFmtId="180" fontId="5" fillId="0" borderId="8" xfId="3" applyNumberFormat="1" applyFont="1" applyFill="1" applyBorder="1"/>
    <xf numFmtId="0" fontId="5" fillId="0" borderId="8" xfId="3" applyFont="1" applyFill="1" applyBorder="1" applyAlignment="1">
      <alignment horizontal="center" shrinkToFit="1"/>
    </xf>
    <xf numFmtId="9" fontId="5" fillId="0" borderId="8" xfId="10" applyFont="1" applyFill="1" applyBorder="1"/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13" fillId="0" borderId="6" xfId="3" applyFont="1" applyFill="1" applyBorder="1" applyAlignment="1">
      <alignment horizontal="center" vertical="center" wrapText="1"/>
    </xf>
    <xf numFmtId="0" fontId="13" fillId="0" borderId="0" xfId="3" applyFont="1" applyFill="1" applyAlignment="1">
      <alignment horizontal="center" vertical="center" wrapText="1"/>
    </xf>
    <xf numFmtId="0" fontId="13" fillId="0" borderId="7" xfId="3" applyFont="1" applyFill="1" applyBorder="1" applyAlignment="1">
      <alignment horizontal="center" vertical="center" wrapText="1"/>
    </xf>
    <xf numFmtId="0" fontId="32" fillId="0" borderId="17" xfId="0" applyFont="1" applyBorder="1" applyAlignment="1">
      <alignment horizontal="center" vertical="center" wrapText="1"/>
    </xf>
    <xf numFmtId="0" fontId="32" fillId="0" borderId="7" xfId="0" applyFont="1" applyBorder="1" applyAlignment="1">
      <alignment horizontal="center" vertical="center" wrapText="1"/>
    </xf>
    <xf numFmtId="0" fontId="35" fillId="0" borderId="17" xfId="0" applyFont="1" applyBorder="1" applyAlignment="1">
      <alignment horizontal="center" vertical="center" wrapText="1"/>
    </xf>
    <xf numFmtId="0" fontId="35" fillId="0" borderId="7" xfId="0" applyFont="1" applyBorder="1" applyAlignment="1">
      <alignment horizontal="center" vertical="center" wrapText="1"/>
    </xf>
    <xf numFmtId="0" fontId="35" fillId="0" borderId="16" xfId="0" applyFont="1" applyBorder="1" applyAlignment="1">
      <alignment horizontal="center" vertical="center" wrapText="1"/>
    </xf>
    <xf numFmtId="0" fontId="17" fillId="0" borderId="17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</cellXfs>
  <cellStyles count="11">
    <cellStyle name="パーセント 2" xfId="5" xr:uid="{00000000-0005-0000-0000-000000000000}"/>
    <cellStyle name="パーセント 2 2" xfId="10" xr:uid="{00000000-0005-0000-0000-000001000000}"/>
    <cellStyle name="桁区切り" xfId="1" builtinId="6"/>
    <cellStyle name="桁区切り 2" xfId="4" xr:uid="{00000000-0005-0000-0000-000003000000}"/>
    <cellStyle name="桁区切り 2 2" xfId="9" xr:uid="{00000000-0005-0000-0000-000004000000}"/>
    <cellStyle name="標準" xfId="0" builtinId="0"/>
    <cellStyle name="標準 2" xfId="8" xr:uid="{00000000-0005-0000-0000-000006000000}"/>
    <cellStyle name="標準_SarP-CAA-2009.xls" xfId="7" xr:uid="{00000000-0005-0000-0000-000007000000}"/>
    <cellStyle name="標準_TCPO2kwk3" xfId="6" xr:uid="{00000000-0005-0000-0000-000008000000}"/>
    <cellStyle name="標準_再生産・予測_1" xfId="2" xr:uid="{00000000-0005-0000-0000-000009000000}"/>
    <cellStyle name="標準_資源解析" xfId="3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externalLink" Target="externalLinks/externalLink14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externalLink" Target="externalLinks/externalLink1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externalLink" Target="externalLinks/externalLink16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externalLink" Target="externalLinks/externalLink15.xml"/><Relationship Id="rId30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Z/&#26085;&#26412;&#28023;/0730/TC-JS-2003-TF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Z/Work/VPA/Wada/SAR98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ondas/Documents/Ponch%20in%20Air/&#36039;&#28304;&#35413;&#20385;&#65288;&#20013;&#22830;&#27700;&#30740;&#20998;&#65289;/2008&#24180;/08&#36039;&#28304;&#35413;&#20385;&#22577;&#21578;&#26360;&#20316;&#25104;/&#12473;&#12465;&#12477;&#26085;&#26412;&#28023;&#65288;&#26412;&#30000;&#65289;&#20363;/Macintosh%20HDSIGENHYO/HOKKE/1996/DOUHOKU/ABC/pa-ABC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A/98&#24180;&#35413;&#20385;/&#25105;&#12364;&#22269;/98&#24180;/&#35413;&#20385;&#34920;/&#28417;&#28023;&#27841;/98/no-1/&#28417;&#28023;&#27841;/97/&#28417;&#28023;&#27841;/97/no-1/&#28417;&#28023;&#27841;/96/NO-2/TAI96-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ondas/Documents/Ponch%20in%20Air/&#36039;&#28304;&#35413;&#20385;&#65288;&#20013;&#22830;&#27700;&#30740;&#20998;&#65289;/2008&#24180;/08&#36039;&#28304;&#35413;&#20385;&#22577;&#21578;&#26360;&#20316;&#25104;/&#12473;&#12465;&#12477;&#26085;&#26412;&#28023;&#65288;&#26412;&#30000;&#65289;&#20363;/Macintosh%20HD02Gyoumu/01&#12473;&#12465;&#12488;&#12454;&#12480;&#12521;/2002/&#22826;&#24179;&#27915;/TCPO2002ABC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ondas/Documents/Ponch%20in%20Air/&#36039;&#28304;&#35413;&#20385;&#65288;&#20013;&#22830;&#27700;&#30740;&#20998;&#65289;/2008&#24180;/08&#36039;&#28304;&#35413;&#20385;&#22577;&#21578;&#26360;&#20316;&#25104;/&#12473;&#12465;&#12477;&#26085;&#26412;&#28023;&#65288;&#26412;&#30000;&#65289;&#20363;/Macintosh%20HDUsers/HONDA_Satoshi/Ponch%20in%20Pismo/&#36039;&#28304;&#35413;&#20385;&#38306;&#20418;/2005&#24180;/&#27700;&#30740;&#35413;&#20385;&#31080;/&#12473;&#12465;&#12477;&#26085;&#26412;&#28023;/TC-JS-2005-5yrav-1%20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&#28204;&#23450;&#32080;&#26524;/&#65403;&#65437;&#65420;&#65439;&#65432;&#65437;&#65400;&#65438;/99&#24180;&#23721;&#2086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KANRI2\DB-Sdotai\Work\TAC\RPS-ex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010Job\010&#25105;&#12364;&#22269;&#35519;&#26619;\010&#36039;&#28304;&#35413;&#20385;&#35519;&#26619;\010&#36039;&#28304;&#35413;&#20385;\010&#12473;&#12465;&#12488;&#12454;&#12480;&#12521;\2004\&#22826;&#24179;&#27915;\TC-PS-2004-Fsim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ondas/Documents/Ponch%20in%20Air/&#36039;&#28304;&#35413;&#20385;&#65288;&#20013;&#22830;&#27700;&#30740;&#20998;&#65289;/2008&#24180;/08&#36039;&#28304;&#35413;&#20385;&#22577;&#21578;&#26360;&#20316;&#25104;/&#12473;&#12465;&#12477;&#26085;&#26412;&#28023;&#65288;&#26412;&#30000;&#65289;&#20363;/Macintosh%20HD02Gyoumu/01&#12473;&#12465;&#12488;&#12454;&#12480;&#12521;/2002/&#22826;&#24179;&#27915;/2000/TC-PO-2kP3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TC-JS-2008-5yrav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ondas/Documents/Ponch%20in%20Air/&#36039;&#28304;&#35413;&#20385;&#65288;&#20013;&#22830;&#27700;&#30740;&#20998;&#65289;/2008&#24180;/08&#36039;&#28304;&#35413;&#20385;&#22577;&#21578;&#26360;&#20316;&#25104;/&#12473;&#12465;&#12477;&#26085;&#26412;&#28023;&#65288;&#26412;&#30000;&#65289;&#20363;/Macintosh%20HD&#12473;&#12465;&#12488;&#12454;&#12480;&#12521;/2000/&#22826;&#24179;&#27915;/CatAtAge/CatatAge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ondas/Documents/Ponch%20in%20Air/&#36039;&#28304;&#35413;&#20385;&#65288;&#20013;&#22830;&#27700;&#30740;&#20998;&#65289;/2008&#24180;/08&#36039;&#28304;&#35413;&#20385;&#22577;&#21578;&#26360;&#20316;&#25104;/&#12473;&#12465;&#12477;&#26085;&#26412;&#28023;&#65288;&#26412;&#30000;&#65289;&#20363;/Macintosh%20HDSIGENHYO/Wada/pa-spr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ondas/Documents/Ponch%20in%20Air/&#36039;&#28304;&#35413;&#20385;&#65288;&#20013;&#22830;&#27700;&#30740;&#20998;&#65289;/2010&#24180;/&#12510;&#12452;&#12527;&#12471;&#35413;&#20385;/&#28417;&#29554;&#37327;&#25913;&#35330;&#24460;&#12496;&#12540;&#12472;&#12519;&#12531;0708/2005&#24180;&#35413;&#20385;&#26989;&#21209;&#38306;&#36899;/2005&#12473;&#12465;&#12488;&#12454;&#12480;&#12521;&#22826;&#24179;&#27915;&#31995;&#32676;/Work/VPA/Wada/SAR98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ondas/Documents/Ponch%20in%20Air/&#36039;&#28304;&#35413;&#20385;&#65288;&#20013;&#22830;&#27700;&#30740;&#20998;&#65289;/2008&#24180;/08&#36039;&#28304;&#35413;&#20385;&#22577;&#21578;&#26360;&#20316;&#25104;/&#12473;&#12465;&#12477;&#26085;&#26412;&#28023;&#65288;&#26412;&#30000;&#65289;&#20363;/Macintosh%20HD&#12473;&#12465;&#12488;&#12454;&#12480;&#12521;/1999/&#35413;&#20385;&#31080;/Taihieyou/&#12467;&#12507;&#12540;&#12488;&#22826;&#24179;&#27915;1999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ondas/Documents/Ponch%20in%20Air/&#36039;&#28304;&#35413;&#20385;&#65288;&#20013;&#22830;&#27700;&#30740;&#20998;&#65289;/2008&#24180;/08&#36039;&#28304;&#35413;&#20385;&#22577;&#21578;&#26360;&#20316;&#25104;/&#12473;&#12465;&#12477;&#26085;&#26412;&#28023;&#65288;&#26412;&#30000;&#65289;&#20363;/Macintosh%20HDUsers/HONDA_Satoshi/Ponch%20in%20Pismo/&#36039;&#28304;&#35413;&#20385;&#38306;&#20418;/2006&#24180;/&#12473;&#12465;&#12477;&#35413;&#20385;/&#26085;&#26412;&#28023;&#12473;&#12465;&#12477;2&#12501;&#12449;&#12452;&#12523;%20&#12501;&#12457;&#12523;&#12480;&#26412;&#38291;060612/2005&#26085;&#26412;&#28023;&#12473;&#12465;&#12477;&#28417;&#29554;&#65286;&#36039;&#28304;&#23614;&#25968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3沖底CPUE"/>
      <sheetName val="表2沖底努力量"/>
      <sheetName val="図3､4､5"/>
      <sheetName val="長期漁獲量図"/>
      <sheetName val="表１漁獲量"/>
      <sheetName val="長期漁獲量元"/>
      <sheetName val="2003年度水試資料　沿岸沖底漁獲量"/>
      <sheetName val="知事管理TACスケトウダラ2001-2002年度"/>
      <sheetName val="年度科学計算"/>
      <sheetName val="2000年度海域・漁法別年齢別漁獲尾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海老沢"/>
      <sheetName val="半年ＣからのＦチューニング"/>
      <sheetName val="チューニング図"/>
      <sheetName val="０歳魚のチューニング"/>
      <sheetName val="図－１"/>
      <sheetName val="冷水－再生産"/>
      <sheetName val="ゆえに94"/>
      <sheetName val="S26-ｺﾎｰﾄ"/>
      <sheetName val="解析97-98.8"/>
      <sheetName val="ｼｭﾐﾚｰﾄ α"/>
      <sheetName val="ｼｭﾐﾚｰﾄ α 期中"/>
      <sheetName val="ｼｭﾐﾚｰﾄ β"/>
      <sheetName val="ｼｭﾐﾚｰﾄ β期中"/>
      <sheetName val="解析97-1昔です"/>
      <sheetName val="表-1"/>
      <sheetName val="表－２"/>
      <sheetName val="表-3"/>
      <sheetName val="表４－１"/>
      <sheetName val="表-4 (2)"/>
      <sheetName val="表-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62">
          <cell r="B62">
            <v>45695.830624708266</v>
          </cell>
          <cell r="C62">
            <v>78221.349849409962</v>
          </cell>
          <cell r="D62">
            <v>99582.014199395504</v>
          </cell>
          <cell r="E62">
            <v>64837.461280724703</v>
          </cell>
          <cell r="F62">
            <v>323176.64444252412</v>
          </cell>
          <cell r="G62">
            <v>238282.8965724119</v>
          </cell>
          <cell r="H62">
            <v>197519.52807685887</v>
          </cell>
          <cell r="I62">
            <v>226747.13612850878</v>
          </cell>
          <cell r="J62">
            <v>271479.285924825</v>
          </cell>
          <cell r="K62">
            <v>355048.48011325375</v>
          </cell>
          <cell r="L62">
            <v>529630.44298597239</v>
          </cell>
          <cell r="M62">
            <v>464672.04910281592</v>
          </cell>
          <cell r="N62">
            <v>36630.050441881773</v>
          </cell>
          <cell r="O62">
            <v>20717.689636598236</v>
          </cell>
          <cell r="P62">
            <v>5649.1202437734028</v>
          </cell>
          <cell r="Q62">
            <v>3677.6894138987273</v>
          </cell>
          <cell r="R62">
            <v>27902.834475425258</v>
          </cell>
          <cell r="S62">
            <v>8660.7158545512139</v>
          </cell>
          <cell r="T62">
            <v>6666.5729391200402</v>
          </cell>
          <cell r="U62">
            <v>2658.9286721446474</v>
          </cell>
        </row>
        <row r="63">
          <cell r="B63">
            <v>26116.049957876876</v>
          </cell>
          <cell r="C63">
            <v>28895.940822218981</v>
          </cell>
          <cell r="D63">
            <v>49642.285694783488</v>
          </cell>
          <cell r="E63">
            <v>64635.401345753904</v>
          </cell>
          <cell r="F63">
            <v>41302.857034662724</v>
          </cell>
          <cell r="G63">
            <v>206709.58518380413</v>
          </cell>
          <cell r="H63">
            <v>154928.03998688766</v>
          </cell>
          <cell r="I63">
            <v>129260.64798461064</v>
          </cell>
          <cell r="J63">
            <v>148435.76560598754</v>
          </cell>
          <cell r="K63">
            <v>171783.17210152416</v>
          </cell>
          <cell r="L63">
            <v>221549.4501665695</v>
          </cell>
          <cell r="M63">
            <v>351936.92544663523</v>
          </cell>
          <cell r="N63">
            <v>297804.54830816598</v>
          </cell>
          <cell r="O63">
            <v>22789.492325606931</v>
          </cell>
          <cell r="P63">
            <v>9403.2943363485101</v>
          </cell>
          <cell r="Q63">
            <v>2735.4682549149206</v>
          </cell>
          <cell r="R63">
            <v>2229.4344803429194</v>
          </cell>
          <cell r="S63">
            <v>15958.625075021408</v>
          </cell>
          <cell r="T63">
            <v>3721.7816837408973</v>
          </cell>
          <cell r="U63">
            <v>2571.7383245692085</v>
          </cell>
        </row>
        <row r="64">
          <cell r="B64">
            <v>5980.75766768424</v>
          </cell>
          <cell r="C64">
            <v>12495.479601195835</v>
          </cell>
          <cell r="D64">
            <v>15695.883493132031</v>
          </cell>
          <cell r="E64">
            <v>27638.43926654664</v>
          </cell>
          <cell r="F64">
            <v>40113.705730539776</v>
          </cell>
          <cell r="G64">
            <v>26602.133511803298</v>
          </cell>
          <cell r="H64">
            <v>110460.28301851993</v>
          </cell>
          <cell r="I64">
            <v>95049.196569880529</v>
          </cell>
          <cell r="J64">
            <v>82163.452634538815</v>
          </cell>
          <cell r="K64">
            <v>85824.209465679407</v>
          </cell>
          <cell r="L64">
            <v>102271.06908532517</v>
          </cell>
          <cell r="M64">
            <v>126709.5126033711</v>
          </cell>
          <cell r="N64">
            <v>227902.37057117413</v>
          </cell>
          <cell r="O64">
            <v>185476.69111836507</v>
          </cell>
          <cell r="P64">
            <v>14226.640719383713</v>
          </cell>
          <cell r="Q64">
            <v>3534.2692855180644</v>
          </cell>
          <cell r="R64">
            <v>1195.8479499158516</v>
          </cell>
          <cell r="S64">
            <v>707.63436978896675</v>
          </cell>
          <cell r="T64">
            <v>1931.2361217479061</v>
          </cell>
          <cell r="U64">
            <v>1102.1238585941501</v>
          </cell>
        </row>
        <row r="65">
          <cell r="B65">
            <v>413.11030524163056</v>
          </cell>
          <cell r="C65">
            <v>2368.2853259618269</v>
          </cell>
          <cell r="D65">
            <v>4577.0597672291478</v>
          </cell>
          <cell r="E65">
            <v>7460.0310599277191</v>
          </cell>
          <cell r="F65">
            <v>14927.459490973957</v>
          </cell>
          <cell r="G65">
            <v>24294.463315451383</v>
          </cell>
          <cell r="H65">
            <v>16330.391159133191</v>
          </cell>
          <cell r="I65">
            <v>53898.053087847198</v>
          </cell>
          <cell r="J65">
            <v>48376.098622963007</v>
          </cell>
          <cell r="K65">
            <v>46231.061026929681</v>
          </cell>
          <cell r="L65">
            <v>48419.670950507862</v>
          </cell>
          <cell r="M65">
            <v>58767.240315095027</v>
          </cell>
          <cell r="N65">
            <v>70451.760568742553</v>
          </cell>
          <cell r="O65">
            <v>139749.70855896088</v>
          </cell>
          <cell r="P65">
            <v>118772.83723861333</v>
          </cell>
          <cell r="Q65">
            <v>7415.8898114778176</v>
          </cell>
          <cell r="R65">
            <v>1586.3849502282642</v>
          </cell>
          <cell r="S65">
            <v>564.16893444660366</v>
          </cell>
          <cell r="T65">
            <v>281.93977636001512</v>
          </cell>
          <cell r="U65">
            <v>154.87307775119501</v>
          </cell>
        </row>
        <row r="66">
          <cell r="B66">
            <v>96.21262421434264</v>
          </cell>
          <cell r="C66">
            <v>97.614083903288758</v>
          </cell>
          <cell r="D66">
            <v>397.89334450195315</v>
          </cell>
          <cell r="E66">
            <v>1431.4521384740287</v>
          </cell>
          <cell r="F66">
            <v>2900.5639818730242</v>
          </cell>
          <cell r="G66">
            <v>6394.753981357826</v>
          </cell>
          <cell r="H66">
            <v>13491.556438522448</v>
          </cell>
          <cell r="I66">
            <v>9184.6799729463401</v>
          </cell>
          <cell r="J66">
            <v>16322.211048614528</v>
          </cell>
          <cell r="K66">
            <v>17999.795325228992</v>
          </cell>
          <cell r="L66">
            <v>20612.194660584533</v>
          </cell>
          <cell r="M66">
            <v>22095.638380373079</v>
          </cell>
          <cell r="N66">
            <v>26481.475257362203</v>
          </cell>
          <cell r="O66">
            <v>38232.288795922796</v>
          </cell>
          <cell r="P66">
            <v>83236.576511459396</v>
          </cell>
          <cell r="Q66">
            <v>73368.898079585779</v>
          </cell>
          <cell r="R66">
            <v>4177.6695000924747</v>
          </cell>
          <cell r="S66">
            <v>796.47940736383327</v>
          </cell>
          <cell r="T66">
            <v>166.94121181600559</v>
          </cell>
          <cell r="U66">
            <v>31.793579277950659</v>
          </cell>
        </row>
        <row r="67">
          <cell r="B67">
            <v>1.1054207473826188</v>
          </cell>
          <cell r="C67">
            <v>1.4509827055632132</v>
          </cell>
          <cell r="D67">
            <v>26.952331821114129</v>
          </cell>
          <cell r="E67">
            <v>26.009043598897051</v>
          </cell>
          <cell r="F67">
            <v>390.51318997052795</v>
          </cell>
          <cell r="G67">
            <v>650.71159199523152</v>
          </cell>
          <cell r="H67">
            <v>2875.8586956170029</v>
          </cell>
          <cell r="I67">
            <v>5976.6953319326731</v>
          </cell>
          <cell r="J67">
            <v>5293.7328885438119</v>
          </cell>
          <cell r="K67">
            <v>3898.3833235339112</v>
          </cell>
          <cell r="L67">
            <v>5735.1974482406258</v>
          </cell>
          <cell r="M67">
            <v>6123.9731178578659</v>
          </cell>
          <cell r="N67">
            <v>7535.089133714494</v>
          </cell>
          <cell r="O67">
            <v>10673.9550840006</v>
          </cell>
          <cell r="P67">
            <v>18143.033041091912</v>
          </cell>
          <cell r="Q67">
            <v>46068.624452444055</v>
          </cell>
          <cell r="R67">
            <v>43603.449248324847</v>
          </cell>
          <cell r="S67">
            <v>2558.8500394656689</v>
          </cell>
          <cell r="T67">
            <v>420.91126908580191</v>
          </cell>
          <cell r="U67">
            <v>49.680503555823648</v>
          </cell>
        </row>
        <row r="71">
          <cell r="B71">
            <v>1976</v>
          </cell>
          <cell r="C71">
            <v>1977</v>
          </cell>
          <cell r="D71">
            <v>1978</v>
          </cell>
          <cell r="E71">
            <v>1979</v>
          </cell>
          <cell r="F71">
            <v>1980</v>
          </cell>
          <cell r="G71">
            <v>1981</v>
          </cell>
          <cell r="H71">
            <v>1982</v>
          </cell>
          <cell r="I71">
            <v>1983</v>
          </cell>
          <cell r="J71">
            <v>1984</v>
          </cell>
          <cell r="K71">
            <v>1985</v>
          </cell>
          <cell r="L71">
            <v>1986</v>
          </cell>
          <cell r="M71">
            <v>1987</v>
          </cell>
          <cell r="N71">
            <v>1988</v>
          </cell>
          <cell r="O71">
            <v>1989</v>
          </cell>
          <cell r="P71">
            <v>1990</v>
          </cell>
          <cell r="Q71">
            <v>1991</v>
          </cell>
          <cell r="R71">
            <v>1992</v>
          </cell>
          <cell r="S71">
            <v>1993</v>
          </cell>
          <cell r="T71">
            <v>1994</v>
          </cell>
          <cell r="U71">
            <v>1995</v>
          </cell>
        </row>
        <row r="72">
          <cell r="B72">
            <v>5.8305930868176634E-2</v>
          </cell>
          <cell r="C72">
            <v>5.4699621567233063E-2</v>
          </cell>
          <cell r="D72">
            <v>3.2219298821642893E-2</v>
          </cell>
          <cell r="E72">
            <v>5.0951867334179848E-2</v>
          </cell>
          <cell r="F72">
            <v>4.6884222498759003E-2</v>
          </cell>
          <cell r="G72">
            <v>3.0497857888588543E-2</v>
          </cell>
          <cell r="H72">
            <v>2.4006562936845527E-2</v>
          </cell>
          <cell r="I72">
            <v>2.3683149009644102E-2</v>
          </cell>
          <cell r="J72">
            <v>5.7652787289498929E-2</v>
          </cell>
          <cell r="K72">
            <v>7.160852796608444E-2</v>
          </cell>
          <cell r="L72">
            <v>8.7275154805122636E-3</v>
          </cell>
          <cell r="M72">
            <v>4.4894492857600658E-2</v>
          </cell>
          <cell r="N72">
            <v>7.4569387036057436E-2</v>
          </cell>
          <cell r="O72">
            <v>0.38992781795665699</v>
          </cell>
          <cell r="P72">
            <v>0.32519719436991851</v>
          </cell>
          <cell r="Q72">
            <v>0.10053672127351006</v>
          </cell>
          <cell r="R72">
            <v>0.15872883763917353</v>
          </cell>
          <cell r="S72">
            <v>0.44459488047776508</v>
          </cell>
          <cell r="T72">
            <v>0.55252386451418289</v>
          </cell>
          <cell r="U72">
            <v>0.27657442155340217</v>
          </cell>
        </row>
        <row r="73">
          <cell r="B73">
            <v>0.33718311924544803</v>
          </cell>
          <cell r="C73">
            <v>0.21030264919023331</v>
          </cell>
          <cell r="D73">
            <v>0.18563547387193621</v>
          </cell>
          <cell r="E73">
            <v>7.7044204427408905E-2</v>
          </cell>
          <cell r="F73">
            <v>3.9940255387189344E-2</v>
          </cell>
          <cell r="G73">
            <v>0.22665881140394151</v>
          </cell>
          <cell r="H73">
            <v>8.8566134780597633E-2</v>
          </cell>
          <cell r="I73">
            <v>5.3120304814999394E-2</v>
          </cell>
          <cell r="J73">
            <v>0.14785118152361512</v>
          </cell>
          <cell r="K73">
            <v>0.11860622591691684</v>
          </cell>
          <cell r="L73">
            <v>0.15874865163344268</v>
          </cell>
          <cell r="M73">
            <v>3.4534632468031387E-2</v>
          </cell>
          <cell r="N73">
            <v>7.3508173358828463E-2</v>
          </cell>
          <cell r="O73">
            <v>7.1183252903067262E-2</v>
          </cell>
          <cell r="P73">
            <v>0.57855351969246716</v>
          </cell>
          <cell r="Q73">
            <v>0.42744711432878341</v>
          </cell>
          <cell r="R73">
            <v>0.74757570258671147</v>
          </cell>
          <cell r="S73">
            <v>1.7118391646409326</v>
          </cell>
          <cell r="T73">
            <v>0.81696340208510421</v>
          </cell>
          <cell r="U73">
            <v>1.2528089724967524</v>
          </cell>
        </row>
        <row r="74">
          <cell r="B74">
            <v>0.52638105807271984</v>
          </cell>
          <cell r="C74">
            <v>0.60431012724635313</v>
          </cell>
          <cell r="D74">
            <v>0.34383890234851955</v>
          </cell>
          <cell r="E74">
            <v>0.21600509510983729</v>
          </cell>
          <cell r="F74">
            <v>0.10146958742291337</v>
          </cell>
          <cell r="G74">
            <v>8.7963559679572839E-2</v>
          </cell>
          <cell r="H74">
            <v>0.31756167020740189</v>
          </cell>
          <cell r="I74">
            <v>0.27538875454408435</v>
          </cell>
          <cell r="J74">
            <v>0.17505869925557016</v>
          </cell>
          <cell r="K74">
            <v>0.17239497254672223</v>
          </cell>
          <cell r="L74">
            <v>0.15404226617334846</v>
          </cell>
          <cell r="M74">
            <v>0.18696893588886998</v>
          </cell>
          <cell r="N74">
            <v>8.9064311414411179E-2</v>
          </cell>
          <cell r="O74">
            <v>4.5716481790698635E-2</v>
          </cell>
          <cell r="P74">
            <v>0.25149134397719525</v>
          </cell>
          <cell r="Q74">
            <v>0.40104875806615531</v>
          </cell>
          <cell r="R74">
            <v>0.35125705844241467</v>
          </cell>
          <cell r="S74">
            <v>0.52023404432360065</v>
          </cell>
          <cell r="T74">
            <v>2.1233096262125617</v>
          </cell>
          <cell r="U74">
            <v>1.6046057845212187</v>
          </cell>
        </row>
        <row r="75">
          <cell r="B75">
            <v>1.0426928549139911</v>
          </cell>
          <cell r="C75">
            <v>1.3837374903943629</v>
          </cell>
          <cell r="D75">
            <v>0.76236740928329516</v>
          </cell>
          <cell r="E75">
            <v>0.54465438314392378</v>
          </cell>
          <cell r="F75">
            <v>0.4477244718943823</v>
          </cell>
          <cell r="G75">
            <v>0.18818443651341474</v>
          </cell>
          <cell r="H75">
            <v>0.17549098439972691</v>
          </cell>
          <cell r="I75">
            <v>0.7945675351641599</v>
          </cell>
          <cell r="J75">
            <v>0.58864547463336703</v>
          </cell>
          <cell r="K75">
            <v>0.40776901432140583</v>
          </cell>
          <cell r="L75">
            <v>0.38452592505992522</v>
          </cell>
          <cell r="M75">
            <v>0.39713912049445266</v>
          </cell>
          <cell r="N75">
            <v>0.21124781334010281</v>
          </cell>
          <cell r="O75">
            <v>0.11816615383342244</v>
          </cell>
          <cell r="P75">
            <v>8.1712624078191895E-2</v>
          </cell>
          <cell r="Q75">
            <v>0.17387141474549656</v>
          </cell>
          <cell r="R75">
            <v>0.28901181530608433</v>
          </cell>
          <cell r="S75">
            <v>0.81771201042126818</v>
          </cell>
          <cell r="T75">
            <v>1.7824291292228462</v>
          </cell>
          <cell r="U75">
            <v>1.3221643100136904</v>
          </cell>
        </row>
        <row r="76">
          <cell r="B76">
            <v>3.7943195230480113</v>
          </cell>
          <cell r="C76">
            <v>0.88695196770969442</v>
          </cell>
          <cell r="D76">
            <v>2.3277396824642298</v>
          </cell>
          <cell r="E76">
            <v>0.89898294360928455</v>
          </cell>
          <cell r="F76">
            <v>1.094593952578335</v>
          </cell>
          <cell r="G76">
            <v>0.39912665743226028</v>
          </cell>
          <cell r="H76">
            <v>0.41419624563758917</v>
          </cell>
          <cell r="I76">
            <v>0.15101322867799225</v>
          </cell>
          <cell r="J76">
            <v>1.0319648865131774</v>
          </cell>
          <cell r="K76">
            <v>0.74373820838392712</v>
          </cell>
          <cell r="L76">
            <v>0.81367178631497583</v>
          </cell>
          <cell r="M76">
            <v>0.67580956939142811</v>
          </cell>
          <cell r="N76">
            <v>0.50863877173203553</v>
          </cell>
          <cell r="O76">
            <v>0.34539378248767444</v>
          </cell>
          <cell r="P76">
            <v>0.19155475202381786</v>
          </cell>
          <cell r="Q76">
            <v>0.12036385550901979</v>
          </cell>
          <cell r="R76">
            <v>9.0195600957001326E-2</v>
          </cell>
          <cell r="S76">
            <v>0.23777922590744793</v>
          </cell>
          <cell r="T76">
            <v>0.81202915182688895</v>
          </cell>
          <cell r="U76">
            <v>0.95364576211077268</v>
          </cell>
        </row>
        <row r="97">
          <cell r="B97">
            <v>557.25923133179435</v>
          </cell>
          <cell r="C97">
            <v>1310.0002373441644</v>
          </cell>
          <cell r="D97">
            <v>1849.5546114337685</v>
          </cell>
          <cell r="E97">
            <v>3194.3613879776781</v>
          </cell>
          <cell r="F97">
            <v>7445.5430315035746</v>
          </cell>
          <cell r="G97">
            <v>5445.4296820829422</v>
          </cell>
          <cell r="H97">
            <v>3293.8666866555332</v>
          </cell>
          <cell r="I97">
            <v>3771.9483516616733</v>
          </cell>
          <cell r="J97">
            <v>4330.1909007160921</v>
          </cell>
          <cell r="K97">
            <v>3825.4755085320276</v>
          </cell>
          <cell r="L97">
            <v>5967.1604780371144</v>
          </cell>
          <cell r="M97">
            <v>4719.0829254946939</v>
          </cell>
          <cell r="N97">
            <v>8457.0346633799963</v>
          </cell>
          <cell r="O97">
            <v>15381.749340526963</v>
          </cell>
          <cell r="P97">
            <v>19050.079081799191</v>
          </cell>
          <cell r="Q97">
            <v>13695.72891851918</v>
          </cell>
          <cell r="R97">
            <v>5912.0860084558408</v>
          </cell>
          <cell r="S97">
            <v>577.6140204488072</v>
          </cell>
          <cell r="T97">
            <v>297.8157361692115</v>
          </cell>
          <cell r="U97">
            <v>123.18179691128913</v>
          </cell>
        </row>
        <row r="99">
          <cell r="B99">
            <v>45695.830624708266</v>
          </cell>
          <cell r="C99">
            <v>78221.349849409962</v>
          </cell>
          <cell r="D99">
            <v>99582.014199395504</v>
          </cell>
          <cell r="E99">
            <v>64837.461280724703</v>
          </cell>
          <cell r="F99">
            <v>323176.64444252412</v>
          </cell>
          <cell r="G99">
            <v>238282.8965724119</v>
          </cell>
          <cell r="H99">
            <v>197519.52807685887</v>
          </cell>
          <cell r="I99">
            <v>226747.13612850878</v>
          </cell>
          <cell r="J99">
            <v>271479.285924825</v>
          </cell>
          <cell r="K99">
            <v>355048.48011325375</v>
          </cell>
          <cell r="L99">
            <v>529630.44298597239</v>
          </cell>
          <cell r="M99">
            <v>464672.04910281592</v>
          </cell>
          <cell r="N99">
            <v>36630.050441881773</v>
          </cell>
          <cell r="O99">
            <v>20717.689636598236</v>
          </cell>
          <cell r="P99">
            <v>5649.1202437734028</v>
          </cell>
          <cell r="Q99">
            <v>3677.6894138987273</v>
          </cell>
          <cell r="R99">
            <v>27902.834475425258</v>
          </cell>
          <cell r="S99">
            <v>8660.7158545512139</v>
          </cell>
          <cell r="T99">
            <v>6666.5729391200402</v>
          </cell>
          <cell r="U99">
            <v>2658.9286721446474</v>
          </cell>
        </row>
        <row r="106">
          <cell r="B106">
            <v>557.25923133179435</v>
          </cell>
          <cell r="C106">
            <v>4.406731801125165</v>
          </cell>
        </row>
        <row r="107">
          <cell r="B107">
            <v>1310.0002373441644</v>
          </cell>
          <cell r="C107">
            <v>4.0895153078744997</v>
          </cell>
        </row>
        <row r="108">
          <cell r="B108">
            <v>1849.5546114337685</v>
          </cell>
          <cell r="C108">
            <v>3.9860367084277879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</row>
        <row r="109">
          <cell r="B109">
            <v>3194.3613879776781</v>
          </cell>
          <cell r="C109">
            <v>3.0104963532193683</v>
          </cell>
          <cell r="M109">
            <v>1000</v>
          </cell>
          <cell r="N109">
            <v>70732.31970730731</v>
          </cell>
          <cell r="O109">
            <v>91152.094667295285</v>
          </cell>
          <cell r="P109">
            <v>21608.542159125067</v>
          </cell>
        </row>
        <row r="110">
          <cell r="B110">
            <v>7445.5430315035746</v>
          </cell>
          <cell r="C110">
            <v>3.7705834579903579</v>
          </cell>
          <cell r="M110">
            <v>2000</v>
          </cell>
          <cell r="N110">
            <v>83269.442430150433</v>
          </cell>
          <cell r="O110">
            <v>167456.30036866909</v>
          </cell>
          <cell r="P110">
            <v>33672.105455217432</v>
          </cell>
        </row>
        <row r="111">
          <cell r="B111">
            <v>5445.4296820829422</v>
          </cell>
          <cell r="C111">
            <v>3.778681942439551</v>
          </cell>
          <cell r="M111">
            <v>3000</v>
          </cell>
          <cell r="N111">
            <v>73521.553562647474</v>
          </cell>
          <cell r="O111">
            <v>230726.56176070624</v>
          </cell>
          <cell r="P111">
            <v>39352.86369984776</v>
          </cell>
        </row>
        <row r="112">
          <cell r="B112">
            <v>3293.8666866555332</v>
          </cell>
          <cell r="C112">
            <v>4.0937752964231473</v>
          </cell>
          <cell r="M112">
            <v>4000</v>
          </cell>
          <cell r="N112">
            <v>57702.040567344076</v>
          </cell>
          <cell r="O112">
            <v>282579.83955464448</v>
          </cell>
          <cell r="P112">
            <v>40881.788529372505</v>
          </cell>
        </row>
        <row r="113">
          <cell r="B113">
            <v>3771.9483516616733</v>
          </cell>
          <cell r="C113">
            <v>4.0962437867147967</v>
          </cell>
          <cell r="M113">
            <v>5000</v>
          </cell>
          <cell r="N113">
            <v>42455.987278933724</v>
          </cell>
          <cell r="O113">
            <v>324456.16488100076</v>
          </cell>
          <cell r="P113">
            <v>39815.732489663111</v>
          </cell>
        </row>
        <row r="114">
          <cell r="B114">
            <v>4330.1909007160921</v>
          </cell>
          <cell r="C114">
            <v>4.1382742125594465</v>
          </cell>
          <cell r="M114">
            <v>6000</v>
          </cell>
          <cell r="N114">
            <v>29988.721448702679</v>
          </cell>
          <cell r="O114">
            <v>357636.73364452017</v>
          </cell>
          <cell r="P114">
            <v>37226.376493960044</v>
          </cell>
        </row>
        <row r="115">
          <cell r="B115">
            <v>3825.4755085320276</v>
          </cell>
          <cell r="C115">
            <v>4.5305715683427525</v>
          </cell>
          <cell r="M115">
            <v>7000</v>
          </cell>
          <cell r="N115">
            <v>20594.084938727225</v>
          </cell>
          <cell r="O115">
            <v>383260.22710949491</v>
          </cell>
          <cell r="P115">
            <v>33838.598259455757</v>
          </cell>
        </row>
        <row r="116">
          <cell r="B116">
            <v>5967.1604780371144</v>
          </cell>
          <cell r="C116">
            <v>4.4859083035140319</v>
          </cell>
          <cell r="M116">
            <v>8000</v>
          </cell>
          <cell r="N116">
            <v>13853.905034830024</v>
          </cell>
          <cell r="O116">
            <v>402337.52762012737</v>
          </cell>
          <cell r="P116">
            <v>30131.386815414495</v>
          </cell>
        </row>
        <row r="117">
          <cell r="B117">
            <v>4719.0829254946939</v>
          </cell>
          <cell r="C117">
            <v>4.5897174007466948</v>
          </cell>
          <cell r="M117">
            <v>9000</v>
          </cell>
          <cell r="N117">
            <v>9174.0792721576217</v>
          </cell>
          <cell r="O117">
            <v>415764.98261362314</v>
          </cell>
          <cell r="P117">
            <v>26411.097755931958</v>
          </cell>
        </row>
        <row r="118">
          <cell r="B118">
            <v>8457.0346633799963</v>
          </cell>
          <cell r="C118">
            <v>1.4658703542831304</v>
          </cell>
          <cell r="M118">
            <v>10000</v>
          </cell>
          <cell r="N118">
            <v>6000.0896412755174</v>
          </cell>
          <cell r="O118">
            <v>424336.35578134569</v>
          </cell>
          <cell r="P118">
            <v>22864.344374061653</v>
          </cell>
        </row>
        <row r="119">
          <cell r="B119">
            <v>15381.749340526963</v>
          </cell>
          <cell r="C119">
            <v>0.29780620828298343</v>
          </cell>
          <cell r="M119">
            <v>11000</v>
          </cell>
          <cell r="N119">
            <v>3884.974599519247</v>
          </cell>
          <cell r="O119">
            <v>428753.59124478104</v>
          </cell>
          <cell r="P119">
            <v>19595.946597974544</v>
          </cell>
        </row>
        <row r="120">
          <cell r="B120">
            <v>19050.079081799191</v>
          </cell>
          <cell r="C120">
            <v>-1.2155714288718615</v>
          </cell>
          <cell r="M120">
            <v>12000</v>
          </cell>
          <cell r="N120">
            <v>2494.6780411962131</v>
          </cell>
          <cell r="O120">
            <v>429636.50481912855</v>
          </cell>
          <cell r="P120">
            <v>16655.958020913735</v>
          </cell>
        </row>
        <row r="121">
          <cell r="B121">
            <v>13695.72891851918</v>
          </cell>
          <cell r="C121">
            <v>-1.3147993481294113</v>
          </cell>
          <cell r="M121">
            <v>13000</v>
          </cell>
          <cell r="N121">
            <v>1590.7955603520861</v>
          </cell>
          <cell r="O121">
            <v>427531.5057296016</v>
          </cell>
          <cell r="P121">
            <v>14058.744339202554</v>
          </cell>
        </row>
        <row r="122">
          <cell r="B122">
            <v>5912.0860084558408</v>
          </cell>
          <cell r="C122">
            <v>1.5517295461131813</v>
          </cell>
          <cell r="M122">
            <v>14000</v>
          </cell>
          <cell r="N122">
            <v>1008.4092328689565</v>
          </cell>
          <cell r="O122">
            <v>422919.44242529984</v>
          </cell>
          <cell r="P122">
            <v>11796.305899985309</v>
          </cell>
        </row>
        <row r="123">
          <cell r="B123">
            <v>577.6140204488072</v>
          </cell>
          <cell r="C123">
            <v>2.7076467994142894</v>
          </cell>
          <cell r="M123">
            <v>15000</v>
          </cell>
          <cell r="N123">
            <v>635.97170877483984</v>
          </cell>
          <cell r="O123">
            <v>416222.65731296805</v>
          </cell>
          <cell r="P123">
            <v>9847.4562245854868</v>
          </cell>
        </row>
        <row r="124">
          <cell r="B124">
            <v>297.8157361692115</v>
          </cell>
          <cell r="C124">
            <v>3.108386244382364</v>
          </cell>
          <cell r="M124">
            <v>16000</v>
          </cell>
          <cell r="N124">
            <v>399.30456919019997</v>
          </cell>
          <cell r="O124">
            <v>407811.32722634566</v>
          </cell>
          <cell r="P124">
            <v>8184.0371464974587</v>
          </cell>
        </row>
        <row r="125">
          <cell r="B125">
            <v>123.18179691128913</v>
          </cell>
          <cell r="C125">
            <v>3.0720172779758599</v>
          </cell>
          <cell r="M125">
            <v>17000</v>
          </cell>
          <cell r="N125">
            <v>249.73015012610333</v>
          </cell>
          <cell r="O125">
            <v>398009.15918174793</v>
          </cell>
          <cell r="P125">
            <v>6775.0318324465597</v>
          </cell>
        </row>
        <row r="126">
          <cell r="M126">
            <v>18000</v>
          </cell>
          <cell r="N126">
            <v>155.64397785027458</v>
          </cell>
          <cell r="O126">
            <v>387098.50437931652</v>
          </cell>
          <cell r="P126">
            <v>5589.2010663350184</v>
          </cell>
        </row>
        <row r="127">
          <cell r="M127">
            <v>19000</v>
          </cell>
          <cell r="N127">
            <v>96.705500568056266</v>
          </cell>
          <cell r="O127">
            <v>375324.94743047882</v>
          </cell>
          <cell r="P127">
            <v>4596.694472173589</v>
          </cell>
        </row>
        <row r="128">
          <cell r="M128">
            <v>20000</v>
          </cell>
          <cell r="N128">
            <v>59.919106923506675</v>
          </cell>
          <cell r="O128">
            <v>362901.42236952146</v>
          </cell>
          <cell r="P128">
            <v>3769.9608713862731</v>
          </cell>
        </row>
        <row r="141">
          <cell r="B141">
            <v>0</v>
          </cell>
          <cell r="C141">
            <v>0.1</v>
          </cell>
          <cell r="D141">
            <v>0.2</v>
          </cell>
          <cell r="E141">
            <v>0.3</v>
          </cell>
          <cell r="F141">
            <v>0.4</v>
          </cell>
          <cell r="G141">
            <v>0.5</v>
          </cell>
          <cell r="H141">
            <v>0.6</v>
          </cell>
          <cell r="I141">
            <v>0.7</v>
          </cell>
          <cell r="J141">
            <v>0.8</v>
          </cell>
          <cell r="K141">
            <v>0.9</v>
          </cell>
          <cell r="L141">
            <v>1</v>
          </cell>
          <cell r="M141">
            <v>1.1000000000000001</v>
          </cell>
          <cell r="N141">
            <v>1.2</v>
          </cell>
          <cell r="O141">
            <v>1.3</v>
          </cell>
          <cell r="P141">
            <v>1.4</v>
          </cell>
          <cell r="Q141">
            <v>1.5</v>
          </cell>
          <cell r="R141">
            <v>1.6</v>
          </cell>
          <cell r="S141">
            <v>1.7</v>
          </cell>
          <cell r="T141">
            <v>1.8</v>
          </cell>
        </row>
        <row r="151">
          <cell r="B151">
            <v>100</v>
          </cell>
          <cell r="C151">
            <v>74.090508528276828</v>
          </cell>
          <cell r="D151">
            <v>55.622553251608679</v>
          </cell>
          <cell r="E151">
            <v>42.286316453943883</v>
          </cell>
          <cell r="F151">
            <v>32.531231292725252</v>
          </cell>
          <cell r="G151">
            <v>25.305749664169895</v>
          </cell>
          <cell r="H151">
            <v>19.889070589917786</v>
          </cell>
          <cell r="I151">
            <v>15.781591204150159</v>
          </cell>
          <cell r="J151">
            <v>12.633060990912441</v>
          </cell>
          <cell r="K151">
            <v>10.195088224271302</v>
          </cell>
          <cell r="L151">
            <v>8.2894773561510018</v>
          </cell>
          <cell r="M151">
            <v>6.7869300196163165</v>
          </cell>
          <cell r="N151">
            <v>5.5925816305988283</v>
          </cell>
          <cell r="O151">
            <v>4.6360828546187367</v>
          </cell>
          <cell r="P151">
            <v>3.8647286170376112</v>
          </cell>
          <cell r="Q151">
            <v>3.2386489252238486</v>
          </cell>
          <cell r="R151">
            <v>2.7274076106583367</v>
          </cell>
          <cell r="S151">
            <v>2.3075717242952232</v>
          </cell>
          <cell r="T151">
            <v>1.9609567002305164</v>
          </cell>
        </row>
      </sheetData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PR-org"/>
      <sheetName val="YPR (2)"/>
      <sheetName val="cat F0.1"/>
      <sheetName val="cat F0.1 (2)"/>
      <sheetName val="Kcohort.bas results (2)"/>
      <sheetName val="Mar.5 cohort"/>
      <sheetName val="Kcohort - &gt; spr"/>
      <sheetName val="Esitmation Exec"/>
      <sheetName val="Esitmation Exec (2)"/>
      <sheetName val="Esitmation Output Ricker"/>
      <sheetName val="Kcohort BH spr (2)"/>
      <sheetName val="Esitmation Bev.&amp;Holt"/>
      <sheetName val="Esitmation Bev.&amp;Holt (2)"/>
      <sheetName val="Esitmation 1997年度最終版"/>
      <sheetName val="Esitmation 1997年度最終版 (2)"/>
      <sheetName val="Sheet1"/>
    </sheetNames>
    <sheetDataSet>
      <sheetData sheetId="0">
        <row r="3">
          <cell r="B3">
            <v>3000</v>
          </cell>
        </row>
        <row r="4">
          <cell r="B4">
            <v>0.1</v>
          </cell>
        </row>
        <row r="5">
          <cell r="B5">
            <v>-0.8</v>
          </cell>
        </row>
        <row r="6">
          <cell r="B6">
            <v>15</v>
          </cell>
        </row>
        <row r="8">
          <cell r="B8">
            <v>3.7</v>
          </cell>
        </row>
        <row r="10">
          <cell r="B10">
            <v>3.7</v>
          </cell>
        </row>
        <row r="14">
          <cell r="C14">
            <v>0</v>
          </cell>
          <cell r="E14">
            <v>1</v>
          </cell>
        </row>
        <row r="15">
          <cell r="C15">
            <v>1</v>
          </cell>
          <cell r="E15">
            <v>-3</v>
          </cell>
        </row>
        <row r="16">
          <cell r="C16">
            <v>2</v>
          </cell>
          <cell r="E16">
            <v>3</v>
          </cell>
        </row>
        <row r="17">
          <cell r="C17">
            <v>3</v>
          </cell>
          <cell r="E17">
            <v>-1</v>
          </cell>
        </row>
        <row r="27">
          <cell r="H27">
            <v>0.03</v>
          </cell>
        </row>
        <row r="33">
          <cell r="H33">
            <v>0.09</v>
          </cell>
        </row>
        <row r="39">
          <cell r="H39">
            <v>0.18</v>
          </cell>
        </row>
        <row r="45">
          <cell r="H45">
            <v>0.3</v>
          </cell>
        </row>
        <row r="51">
          <cell r="H51">
            <v>0.45</v>
          </cell>
        </row>
      </sheetData>
      <sheetData sheetId="1"/>
      <sheetData sheetId="2">
        <row r="13">
          <cell r="B13">
            <v>452</v>
          </cell>
        </row>
      </sheetData>
      <sheetData sheetId="3"/>
      <sheetData sheetId="4">
        <row r="2">
          <cell r="J2">
            <v>-0.25</v>
          </cell>
        </row>
        <row r="5">
          <cell r="J5">
            <v>254.5585312156301</v>
          </cell>
        </row>
        <row r="6">
          <cell r="J6">
            <v>301.57837569079163</v>
          </cell>
        </row>
        <row r="7">
          <cell r="J7">
            <v>337.40064455997492</v>
          </cell>
        </row>
        <row r="8">
          <cell r="J8">
            <v>364.69199273986806</v>
          </cell>
        </row>
        <row r="9">
          <cell r="J9">
            <v>385.48402264160597</v>
          </cell>
        </row>
        <row r="10">
          <cell r="J10">
            <v>401.32451921895239</v>
          </cell>
        </row>
      </sheetData>
      <sheetData sheetId="5"/>
      <sheetData sheetId="6"/>
      <sheetData sheetId="7">
        <row r="6">
          <cell r="B6">
            <v>0.29499999999999998</v>
          </cell>
          <cell r="E6">
            <v>6.8955103643059332E-2</v>
          </cell>
          <cell r="J6">
            <v>81.613087998906053</v>
          </cell>
          <cell r="L6">
            <v>5.6243967082430124E-2</v>
          </cell>
        </row>
        <row r="7">
          <cell r="E7">
            <v>0.36527055854027618</v>
          </cell>
          <cell r="J7">
            <v>222.53055485792771</v>
          </cell>
          <cell r="K7">
            <v>0.3</v>
          </cell>
          <cell r="L7">
            <v>0.29793683404590227</v>
          </cell>
        </row>
        <row r="8">
          <cell r="E8">
            <v>1.22551087031297</v>
          </cell>
          <cell r="J8">
            <v>402.89424735487108</v>
          </cell>
          <cell r="K8">
            <v>1</v>
          </cell>
          <cell r="L8">
            <v>0.99960103614434748</v>
          </cell>
        </row>
        <row r="9">
          <cell r="E9">
            <v>1.22551087031297</v>
          </cell>
          <cell r="J9">
            <v>593.24426621403961</v>
          </cell>
          <cell r="K9">
            <v>1</v>
          </cell>
          <cell r="L9">
            <v>1</v>
          </cell>
        </row>
        <row r="10">
          <cell r="E10">
            <v>1.22551087031297</v>
          </cell>
          <cell r="J10">
            <v>773.76110833411508</v>
          </cell>
          <cell r="K10">
            <v>1</v>
          </cell>
          <cell r="L10">
            <v>1</v>
          </cell>
        </row>
        <row r="11">
          <cell r="E11">
            <v>1.22551087031297</v>
          </cell>
          <cell r="J11">
            <v>934.03139499371184</v>
          </cell>
          <cell r="K11">
            <v>1</v>
          </cell>
          <cell r="L11">
            <v>1</v>
          </cell>
        </row>
        <row r="12">
          <cell r="E12">
            <v>1.22551087031297</v>
          </cell>
          <cell r="J12">
            <v>1070.2893650880785</v>
          </cell>
          <cell r="K12">
            <v>1</v>
          </cell>
          <cell r="L12">
            <v>1</v>
          </cell>
        </row>
        <row r="33">
          <cell r="B33">
            <v>0.32</v>
          </cell>
        </row>
        <row r="62">
          <cell r="B62">
            <v>1.4</v>
          </cell>
        </row>
        <row r="92">
          <cell r="B92">
            <v>0</v>
          </cell>
        </row>
        <row r="122">
          <cell r="B122">
            <v>0</v>
          </cell>
        </row>
        <row r="152">
          <cell r="B152">
            <v>0</v>
          </cell>
        </row>
      </sheetData>
      <sheetData sheetId="8"/>
      <sheetData sheetId="9"/>
      <sheetData sheetId="10">
        <row r="207">
          <cell r="E207">
            <v>0.16866165035323216</v>
          </cell>
        </row>
        <row r="208">
          <cell r="E208">
            <v>1.9483236842697829E-10</v>
          </cell>
        </row>
      </sheetData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海域月計"/>
      <sheetName val="常磐"/>
      <sheetName val="三陸"/>
    </sheetNames>
    <sheetDataSet>
      <sheetData sheetId="0"/>
      <sheetData sheetId="1"/>
      <sheetData sheetId="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2年度作業　2001年度ABC算定作業"/>
      <sheetName val="2002年再評価ルールH14"/>
      <sheetName val="2001年度ABC算定作業 再評価"/>
      <sheetName val="予測"/>
      <sheetName val="予測加入良好"/>
      <sheetName val="予測加入不良"/>
      <sheetName val="ABC感度"/>
      <sheetName val="管理基準比較"/>
      <sheetName val="管理基準比較 (2)"/>
      <sheetName val="○管理基準選定 Fave 3-yr"/>
      <sheetName val="管理基準選定 2007 SSB av=24万トン"/>
      <sheetName val="管理基準選定 sim 2007-100万トン"/>
      <sheetName val="管理基準選定　Fmed_low"/>
      <sheetName val="管理基準選定 F2001"/>
      <sheetName val="管理基準選定 F30%spr "/>
      <sheetName val="管理基準選定 Fmed"/>
      <sheetName val="管理基準選定original"/>
      <sheetName val="ABC決定用RPSなど"/>
      <sheetName val="TVPA 1歳＋CPUE年齢別 結果 (2)"/>
      <sheetName val="2002年度作成現存量調査資料"/>
      <sheetName val="TVPA 1歳＋CPUE年齢別 結果"/>
      <sheetName val="TVPA 1歳＋CPUE年齢別"/>
      <sheetName val="cohort step1　選択率の決定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56">
          <cell r="U56">
            <v>171791.29582516724</v>
          </cell>
        </row>
        <row r="169">
          <cell r="B169">
            <v>4.3823878084534957E-3</v>
          </cell>
        </row>
        <row r="170">
          <cell r="B170">
            <v>0.1974741370736417</v>
          </cell>
        </row>
      </sheetData>
      <sheetData sheetId="17"/>
      <sheetData sheetId="18">
        <row r="164">
          <cell r="B164">
            <v>6.278734643143288E-3</v>
          </cell>
        </row>
      </sheetData>
      <sheetData sheetId="19"/>
      <sheetData sheetId="20"/>
      <sheetData sheetId="21"/>
      <sheetData sheetId="2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5年度VPA (「基礎シート」直近5年平均で定率F)"/>
      <sheetName val="ABC再評価"/>
      <sheetName val="2005年度VPA (2004年再々評価直近5年平均) "/>
      <sheetName val="2005年度VPA (2005年再評価直近5年平均) "/>
      <sheetName val="2004年齢別漁獲尾数調整"/>
      <sheetName val="cohort設定値"/>
      <sheetName val="ここから右のシートは直接使わず"/>
      <sheetName val="2005年度VPA (「基本シート」直近5年平均)"/>
      <sheetName val="2005年度VPA (「Fを減じず」直近5年平均)"/>
      <sheetName val="2005年度VPA (直近3年平均) (Bban計算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69">
          <cell r="DC69">
            <v>1.8898699654152078E-3</v>
          </cell>
        </row>
        <row r="72">
          <cell r="DB72">
            <v>0.32827556815976988</v>
          </cell>
          <cell r="DC72">
            <v>0.26135892040356085</v>
          </cell>
        </row>
        <row r="86">
          <cell r="DA86">
            <v>184271.49356492414</v>
          </cell>
        </row>
        <row r="116">
          <cell r="AG116">
            <v>0.156</v>
          </cell>
        </row>
        <row r="127">
          <cell r="AE127">
            <v>0.50065982323152658</v>
          </cell>
        </row>
        <row r="457">
          <cell r="AK457">
            <v>1.6826818877421412</v>
          </cell>
          <cell r="AQ457">
            <v>0.49425094042246714</v>
          </cell>
        </row>
        <row r="509">
          <cell r="I509">
            <v>931.01896113478392</v>
          </cell>
        </row>
      </sheetData>
      <sheetData sheetId="8"/>
      <sheetData sheetId="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91110大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abaSPR"/>
      <sheetName val="SRR"/>
      <sheetName val="Sardine"/>
      <sheetName val="Example"/>
      <sheetName val="masaba"/>
      <sheetName val="Sukeso"/>
      <sheetName val="Graphs"/>
      <sheetName val="Sheet3"/>
      <sheetName val="MasabaStep3"/>
      <sheetName val="Graphs (E-BW)"/>
      <sheetName val="Graphs (E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0.1"/>
      <sheetName val="F30"/>
      <sheetName val="Fcurrent"/>
      <sheetName val="Fsim"/>
      <sheetName val="Fmed"/>
      <sheetName val="Sheet1"/>
      <sheetName val="資源評価まとめ（TVPA）過去5年間の選択率"/>
      <sheetName val="資源評価まとめ（TVPA） 2004年の選択率で"/>
      <sheetName val="資源評価（TVPA）"/>
      <sheetName val="2004年度現存量調査"/>
      <sheetName val="2004年度　TVPA　CPUE+現存量"/>
      <sheetName val="2004年度 選択率の決定"/>
      <sheetName val="従来のcohort設定値"/>
    </sheetNames>
    <sheetDataSet>
      <sheetData sheetId="0" refreshError="1"/>
      <sheetData sheetId="1">
        <row r="5">
          <cell r="I5">
            <v>0.40208274191742399</v>
          </cell>
        </row>
      </sheetData>
      <sheetData sheetId="2" refreshError="1"/>
      <sheetData sheetId="3" refreshError="1"/>
      <sheetData sheetId="4">
        <row r="38">
          <cell r="AA38">
            <v>9.3910296566760872E-3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将来予測"/>
      <sheetName val="太平洋pr98a5 Faveg)"/>
      <sheetName val="太平洋pr98a5 Faveg B"/>
      <sheetName val="太平洋pr98a5 Faveg G"/>
      <sheetName val="太平洋pr98a5 Ftarget P"/>
      <sheetName val="太平洋pr98a5 Ftarget P 再評価"/>
      <sheetName val="太平洋pr98a5 Ftarget P B"/>
      <sheetName val="太平洋pr98a5 Ftarget P G"/>
      <sheetName val="太平洋pr98a5 Flimit B"/>
      <sheetName val="太平洋pr98a5 Flimit G"/>
      <sheetName val="太平洋pr98a5 Flimit"/>
      <sheetName val="太平洋pr98a5 Flimit 再評価"/>
      <sheetName val="太平洋pr98a5 Flimit (2)"/>
    </sheetNames>
    <sheetDataSet>
      <sheetData sheetId="0"/>
      <sheetData sheetId="1"/>
      <sheetData sheetId="2"/>
      <sheetData sheetId="3"/>
      <sheetData sheetId="4" refreshError="1">
        <row r="143">
          <cell r="C143">
            <v>206.306395311187</v>
          </cell>
        </row>
        <row r="148">
          <cell r="E148">
            <v>0.5417558500254005</v>
          </cell>
        </row>
        <row r="161">
          <cell r="B161">
            <v>2086993954.3669837</v>
          </cell>
        </row>
        <row r="163">
          <cell r="B163">
            <v>154.72979648339026</v>
          </cell>
        </row>
        <row r="171">
          <cell r="E171">
            <v>0.40667279553391533</v>
          </cell>
        </row>
        <row r="176">
          <cell r="E176">
            <v>0.48073405575427453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uningの結果まとめグラフ"/>
      <sheetName val="★2007VPAFt5年RPSav10尾数 1LN"/>
      <sheetName val="2007VPAFt5年RPSav10月尾数 (1)"/>
      <sheetName val="★2008VPAFt5年RPSavg (1歳SPR未修正)"/>
      <sheetName val="★2008VPAFt5年RPSavg (BIG)"/>
      <sheetName val="★2008VPAFt5年RPSavg (仮作図用)"/>
      <sheetName val="★2008VPA将来予測 (2006に98代入Blim分のB)"/>
      <sheetName val="★2008VPA将来予測 (2006に98代入)"/>
      <sheetName val="★2008VPAFt5年RPSavg"/>
      <sheetName val="★2007年齢別漁獲尾数調整"/>
      <sheetName val="★cohort設定値"/>
      <sheetName val="ここから右は水試提供基礎データ"/>
      <sheetName val="本間統一成熟率1999-2001"/>
      <sheetName val="本間統一平均体重"/>
      <sheetName val="本間提供年齢別漁獲尾数"/>
      <sheetName val="本間韓国船補正"/>
      <sheetName val="ここから右は再評価に用いるシート（2006年版）"/>
      <sheetName val="ABC再評価"/>
      <sheetName val="★2007年度ABC再評価"/>
      <sheetName val="★2006年度ABC再々評価"/>
      <sheetName val="ここから右のシートは直接使わず"/>
      <sheetName val="ここから右はMや体重変更の試算"/>
      <sheetName val="2005年度VPA0.75M新体重新引き延ばし81-"/>
      <sheetName val="2005年度VPA0.75M新体重従来引き延ばし"/>
      <sheetName val="2005年度VPA0.75M新体重新引き延ばし"/>
      <sheetName val="2005年度VPA0.5M新体重新引き延ばし"/>
    </sheetNames>
    <sheetDataSet>
      <sheetData sheetId="0" refreshError="1"/>
      <sheetData sheetId="1">
        <row r="593">
          <cell r="Y593">
            <v>1.3505475980686774</v>
          </cell>
        </row>
      </sheetData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沿岸"/>
      <sheetName val="道東漁獲量整理"/>
      <sheetName val="太平洋漁獲物平均体重"/>
      <sheetName val="東北まとめ"/>
      <sheetName val="まとめCAA"/>
      <sheetName val="1998年度"/>
      <sheetName val="1998年度道東"/>
      <sheetName val="1998年度襟裳西"/>
      <sheetName val="&lt;-1998  1999-&gt;"/>
      <sheetName val="1999年度"/>
      <sheetName val="1999年度道東"/>
      <sheetName val="東北改訂版"/>
      <sheetName val="1999年度CAA沖底"/>
      <sheetName val="1999年度襟裳西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ada-masaba"/>
      <sheetName val="Cohort calclate"/>
      <sheetName val="Cohort calclate (2)"/>
      <sheetName val="Mar.5 cohort"/>
      <sheetName val="Kcohort - &gt; spr"/>
      <sheetName val="Esitmation Exec"/>
      <sheetName val="Esitmation Output Ricker"/>
      <sheetName val="Kcohort BH spr (2)"/>
      <sheetName val="Esitmation Bev.&amp;Holt"/>
    </sheetNames>
    <sheetDataSet>
      <sheetData sheetId="0">
        <row r="25">
          <cell r="E25">
            <v>100000</v>
          </cell>
        </row>
        <row r="48">
          <cell r="G48">
            <v>1000000000</v>
          </cell>
        </row>
      </sheetData>
      <sheetData sheetId="1">
        <row r="24">
          <cell r="D24">
            <v>10000</v>
          </cell>
        </row>
      </sheetData>
      <sheetData sheetId="2"/>
      <sheetData sheetId="3"/>
      <sheetData sheetId="4"/>
      <sheetData sheetId="5"/>
      <sheetData sheetId="6"/>
      <sheetData sheetId="7">
        <row r="211">
          <cell r="E211">
            <v>5.929030090157875</v>
          </cell>
        </row>
        <row r="273">
          <cell r="B273">
            <v>1233.2296826755883</v>
          </cell>
        </row>
      </sheetData>
      <sheetData sheetId="8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海老沢"/>
      <sheetName val="半年ＣからのＦチューニング"/>
      <sheetName val="チューニング図"/>
      <sheetName val="０歳魚のチューニング"/>
      <sheetName val="図－１"/>
      <sheetName val="冷水－再生産"/>
      <sheetName val="ゆえに94"/>
      <sheetName val="S26-ｺﾎｰﾄ"/>
      <sheetName val="解析97-98.8"/>
      <sheetName val="ｼｭﾐﾚｰﾄ α"/>
      <sheetName val="ｼｭﾐﾚｰﾄ α 期中"/>
      <sheetName val="ｼｭﾐﾚｰﾄ β"/>
      <sheetName val="ｼｭﾐﾚｰﾄ β期中"/>
      <sheetName val="解析97-1昔です"/>
      <sheetName val="表-1"/>
      <sheetName val="表－２"/>
      <sheetName val="表-3"/>
      <sheetName val="表４－１"/>
      <sheetName val="表-4 (2)"/>
      <sheetName val="表-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62">
          <cell r="B62">
            <v>45695.830624708266</v>
          </cell>
          <cell r="C62">
            <v>78221.349849409962</v>
          </cell>
          <cell r="D62">
            <v>99582.014199395504</v>
          </cell>
          <cell r="E62">
            <v>64837.461280724703</v>
          </cell>
          <cell r="F62">
            <v>323176.64444252412</v>
          </cell>
          <cell r="G62">
            <v>238282.8965724119</v>
          </cell>
          <cell r="H62">
            <v>197519.52807685887</v>
          </cell>
          <cell r="I62">
            <v>226747.13612850878</v>
          </cell>
          <cell r="J62">
            <v>271479.285924825</v>
          </cell>
          <cell r="K62">
            <v>355048.48011325375</v>
          </cell>
          <cell r="L62">
            <v>529630.44298597239</v>
          </cell>
          <cell r="M62">
            <v>464672.04910281592</v>
          </cell>
          <cell r="N62">
            <v>36630.050441881773</v>
          </cell>
          <cell r="O62">
            <v>20717.689636598236</v>
          </cell>
          <cell r="P62">
            <v>5649.1202437734028</v>
          </cell>
          <cell r="Q62">
            <v>3677.6894138987273</v>
          </cell>
          <cell r="R62">
            <v>27902.834475425258</v>
          </cell>
          <cell r="S62">
            <v>8660.7158545512139</v>
          </cell>
          <cell r="T62">
            <v>6666.5729391200402</v>
          </cell>
          <cell r="U62">
            <v>2658.9286721446474</v>
          </cell>
        </row>
        <row r="63">
          <cell r="B63">
            <v>26116.049957876876</v>
          </cell>
          <cell r="C63">
            <v>28895.940822218981</v>
          </cell>
          <cell r="D63">
            <v>49642.285694783488</v>
          </cell>
          <cell r="E63">
            <v>64635.401345753904</v>
          </cell>
          <cell r="F63">
            <v>41302.857034662724</v>
          </cell>
          <cell r="G63">
            <v>206709.58518380413</v>
          </cell>
          <cell r="H63">
            <v>154928.03998688766</v>
          </cell>
          <cell r="I63">
            <v>129260.64798461064</v>
          </cell>
          <cell r="J63">
            <v>148435.76560598754</v>
          </cell>
          <cell r="K63">
            <v>171783.17210152416</v>
          </cell>
          <cell r="L63">
            <v>221549.4501665695</v>
          </cell>
          <cell r="M63">
            <v>351936.92544663523</v>
          </cell>
          <cell r="N63">
            <v>297804.54830816598</v>
          </cell>
          <cell r="O63">
            <v>22789.492325606931</v>
          </cell>
          <cell r="P63">
            <v>9403.2943363485101</v>
          </cell>
          <cell r="Q63">
            <v>2735.4682549149206</v>
          </cell>
          <cell r="R63">
            <v>2229.4344803429194</v>
          </cell>
          <cell r="S63">
            <v>15958.625075021408</v>
          </cell>
          <cell r="T63">
            <v>3721.7816837408973</v>
          </cell>
          <cell r="U63">
            <v>2571.7383245692085</v>
          </cell>
        </row>
        <row r="64">
          <cell r="B64">
            <v>5980.75766768424</v>
          </cell>
          <cell r="C64">
            <v>12495.479601195835</v>
          </cell>
          <cell r="D64">
            <v>15695.883493132031</v>
          </cell>
          <cell r="E64">
            <v>27638.43926654664</v>
          </cell>
          <cell r="F64">
            <v>40113.705730539776</v>
          </cell>
          <cell r="G64">
            <v>26602.133511803298</v>
          </cell>
          <cell r="H64">
            <v>110460.28301851993</v>
          </cell>
          <cell r="I64">
            <v>95049.196569880529</v>
          </cell>
          <cell r="J64">
            <v>82163.452634538815</v>
          </cell>
          <cell r="K64">
            <v>85824.209465679407</v>
          </cell>
          <cell r="L64">
            <v>102271.06908532517</v>
          </cell>
          <cell r="M64">
            <v>126709.5126033711</v>
          </cell>
          <cell r="N64">
            <v>227902.37057117413</v>
          </cell>
          <cell r="O64">
            <v>185476.69111836507</v>
          </cell>
          <cell r="P64">
            <v>14226.640719383713</v>
          </cell>
          <cell r="Q64">
            <v>3534.2692855180644</v>
          </cell>
          <cell r="R64">
            <v>1195.8479499158516</v>
          </cell>
          <cell r="S64">
            <v>707.63436978896675</v>
          </cell>
          <cell r="T64">
            <v>1931.2361217479061</v>
          </cell>
          <cell r="U64">
            <v>1102.1238585941501</v>
          </cell>
        </row>
        <row r="65">
          <cell r="B65">
            <v>413.11030524163056</v>
          </cell>
          <cell r="C65">
            <v>2368.2853259618269</v>
          </cell>
          <cell r="D65">
            <v>4577.0597672291478</v>
          </cell>
          <cell r="E65">
            <v>7460.0310599277191</v>
          </cell>
          <cell r="F65">
            <v>14927.459490973957</v>
          </cell>
          <cell r="G65">
            <v>24294.463315451383</v>
          </cell>
          <cell r="H65">
            <v>16330.391159133191</v>
          </cell>
          <cell r="I65">
            <v>53898.053087847198</v>
          </cell>
          <cell r="J65">
            <v>48376.098622963007</v>
          </cell>
          <cell r="K65">
            <v>46231.061026929681</v>
          </cell>
          <cell r="L65">
            <v>48419.670950507862</v>
          </cell>
          <cell r="M65">
            <v>58767.240315095027</v>
          </cell>
          <cell r="N65">
            <v>70451.760568742553</v>
          </cell>
          <cell r="O65">
            <v>139749.70855896088</v>
          </cell>
          <cell r="P65">
            <v>118772.83723861333</v>
          </cell>
          <cell r="Q65">
            <v>7415.8898114778176</v>
          </cell>
          <cell r="R65">
            <v>1586.3849502282642</v>
          </cell>
          <cell r="S65">
            <v>564.16893444660366</v>
          </cell>
          <cell r="T65">
            <v>281.93977636001512</v>
          </cell>
          <cell r="U65">
            <v>154.87307775119501</v>
          </cell>
        </row>
        <row r="66">
          <cell r="B66">
            <v>96.21262421434264</v>
          </cell>
          <cell r="C66">
            <v>97.614083903288758</v>
          </cell>
          <cell r="D66">
            <v>397.89334450195315</v>
          </cell>
          <cell r="E66">
            <v>1431.4521384740287</v>
          </cell>
          <cell r="F66">
            <v>2900.5639818730242</v>
          </cell>
          <cell r="G66">
            <v>6394.753981357826</v>
          </cell>
          <cell r="H66">
            <v>13491.556438522448</v>
          </cell>
          <cell r="I66">
            <v>9184.6799729463401</v>
          </cell>
          <cell r="J66">
            <v>16322.211048614528</v>
          </cell>
          <cell r="K66">
            <v>17999.795325228992</v>
          </cell>
          <cell r="L66">
            <v>20612.194660584533</v>
          </cell>
          <cell r="M66">
            <v>22095.638380373079</v>
          </cell>
          <cell r="N66">
            <v>26481.475257362203</v>
          </cell>
          <cell r="O66">
            <v>38232.288795922796</v>
          </cell>
          <cell r="P66">
            <v>83236.576511459396</v>
          </cell>
          <cell r="Q66">
            <v>73368.898079585779</v>
          </cell>
          <cell r="R66">
            <v>4177.6695000924747</v>
          </cell>
          <cell r="S66">
            <v>796.47940736383327</v>
          </cell>
          <cell r="T66">
            <v>166.94121181600559</v>
          </cell>
          <cell r="U66">
            <v>31.793579277950659</v>
          </cell>
        </row>
        <row r="67">
          <cell r="B67">
            <v>1.1054207473826188</v>
          </cell>
          <cell r="C67">
            <v>1.4509827055632132</v>
          </cell>
          <cell r="D67">
            <v>26.952331821114129</v>
          </cell>
          <cell r="E67">
            <v>26.009043598897051</v>
          </cell>
          <cell r="F67">
            <v>390.51318997052795</v>
          </cell>
          <cell r="G67">
            <v>650.71159199523152</v>
          </cell>
          <cell r="H67">
            <v>2875.8586956170029</v>
          </cell>
          <cell r="I67">
            <v>5976.6953319326731</v>
          </cell>
          <cell r="J67">
            <v>5293.7328885438119</v>
          </cell>
          <cell r="K67">
            <v>3898.3833235339112</v>
          </cell>
          <cell r="L67">
            <v>5735.1974482406258</v>
          </cell>
          <cell r="M67">
            <v>6123.9731178578659</v>
          </cell>
          <cell r="N67">
            <v>7535.089133714494</v>
          </cell>
          <cell r="O67">
            <v>10673.9550840006</v>
          </cell>
          <cell r="P67">
            <v>18143.033041091912</v>
          </cell>
          <cell r="Q67">
            <v>46068.624452444055</v>
          </cell>
          <cell r="R67">
            <v>43603.449248324847</v>
          </cell>
          <cell r="S67">
            <v>2558.8500394656689</v>
          </cell>
          <cell r="T67">
            <v>420.91126908580191</v>
          </cell>
          <cell r="U67">
            <v>49.680503555823648</v>
          </cell>
        </row>
        <row r="71">
          <cell r="B71">
            <v>1976</v>
          </cell>
          <cell r="C71">
            <v>1977</v>
          </cell>
          <cell r="D71">
            <v>1978</v>
          </cell>
          <cell r="E71">
            <v>1979</v>
          </cell>
          <cell r="F71">
            <v>1980</v>
          </cell>
          <cell r="G71">
            <v>1981</v>
          </cell>
          <cell r="H71">
            <v>1982</v>
          </cell>
          <cell r="I71">
            <v>1983</v>
          </cell>
          <cell r="J71">
            <v>1984</v>
          </cell>
          <cell r="K71">
            <v>1985</v>
          </cell>
          <cell r="L71">
            <v>1986</v>
          </cell>
          <cell r="M71">
            <v>1987</v>
          </cell>
          <cell r="N71">
            <v>1988</v>
          </cell>
          <cell r="O71">
            <v>1989</v>
          </cell>
          <cell r="P71">
            <v>1990</v>
          </cell>
          <cell r="Q71">
            <v>1991</v>
          </cell>
          <cell r="R71">
            <v>1992</v>
          </cell>
          <cell r="S71">
            <v>1993</v>
          </cell>
          <cell r="T71">
            <v>1994</v>
          </cell>
          <cell r="U71">
            <v>1995</v>
          </cell>
        </row>
        <row r="72">
          <cell r="B72">
            <v>5.8305930868176634E-2</v>
          </cell>
          <cell r="C72">
            <v>5.4699621567233063E-2</v>
          </cell>
          <cell r="D72">
            <v>3.2219298821642893E-2</v>
          </cell>
          <cell r="E72">
            <v>5.0951867334179848E-2</v>
          </cell>
          <cell r="F72">
            <v>4.6884222498759003E-2</v>
          </cell>
          <cell r="G72">
            <v>3.0497857888588543E-2</v>
          </cell>
          <cell r="H72">
            <v>2.4006562936845527E-2</v>
          </cell>
          <cell r="I72">
            <v>2.3683149009644102E-2</v>
          </cell>
          <cell r="J72">
            <v>5.7652787289498929E-2</v>
          </cell>
          <cell r="K72">
            <v>7.160852796608444E-2</v>
          </cell>
          <cell r="L72">
            <v>8.7275154805122636E-3</v>
          </cell>
          <cell r="M72">
            <v>4.4894492857600658E-2</v>
          </cell>
          <cell r="N72">
            <v>7.4569387036057436E-2</v>
          </cell>
          <cell r="O72">
            <v>0.38992781795665699</v>
          </cell>
          <cell r="P72">
            <v>0.32519719436991851</v>
          </cell>
          <cell r="Q72">
            <v>0.10053672127351006</v>
          </cell>
          <cell r="R72">
            <v>0.15872883763917353</v>
          </cell>
          <cell r="S72">
            <v>0.44459488047776508</v>
          </cell>
          <cell r="T72">
            <v>0.55252386451418289</v>
          </cell>
          <cell r="U72">
            <v>0.27657442155340217</v>
          </cell>
        </row>
        <row r="73">
          <cell r="B73">
            <v>0.33718311924544803</v>
          </cell>
          <cell r="C73">
            <v>0.21030264919023331</v>
          </cell>
          <cell r="D73">
            <v>0.18563547387193621</v>
          </cell>
          <cell r="E73">
            <v>7.7044204427408905E-2</v>
          </cell>
          <cell r="F73">
            <v>3.9940255387189344E-2</v>
          </cell>
          <cell r="G73">
            <v>0.22665881140394151</v>
          </cell>
          <cell r="H73">
            <v>8.8566134780597633E-2</v>
          </cell>
          <cell r="I73">
            <v>5.3120304814999394E-2</v>
          </cell>
          <cell r="J73">
            <v>0.14785118152361512</v>
          </cell>
          <cell r="K73">
            <v>0.11860622591691684</v>
          </cell>
          <cell r="L73">
            <v>0.15874865163344268</v>
          </cell>
          <cell r="M73">
            <v>3.4534632468031387E-2</v>
          </cell>
          <cell r="N73">
            <v>7.3508173358828463E-2</v>
          </cell>
          <cell r="O73">
            <v>7.1183252903067262E-2</v>
          </cell>
          <cell r="P73">
            <v>0.57855351969246716</v>
          </cell>
          <cell r="Q73">
            <v>0.42744711432878341</v>
          </cell>
          <cell r="R73">
            <v>0.74757570258671147</v>
          </cell>
          <cell r="S73">
            <v>1.7118391646409326</v>
          </cell>
          <cell r="T73">
            <v>0.81696340208510421</v>
          </cell>
          <cell r="U73">
            <v>1.2528089724967524</v>
          </cell>
        </row>
        <row r="74">
          <cell r="B74">
            <v>0.52638105807271984</v>
          </cell>
          <cell r="C74">
            <v>0.60431012724635313</v>
          </cell>
          <cell r="D74">
            <v>0.34383890234851955</v>
          </cell>
          <cell r="E74">
            <v>0.21600509510983729</v>
          </cell>
          <cell r="F74">
            <v>0.10146958742291337</v>
          </cell>
          <cell r="G74">
            <v>8.7963559679572839E-2</v>
          </cell>
          <cell r="H74">
            <v>0.31756167020740189</v>
          </cell>
          <cell r="I74">
            <v>0.27538875454408435</v>
          </cell>
          <cell r="J74">
            <v>0.17505869925557016</v>
          </cell>
          <cell r="K74">
            <v>0.17239497254672223</v>
          </cell>
          <cell r="L74">
            <v>0.15404226617334846</v>
          </cell>
          <cell r="M74">
            <v>0.18696893588886998</v>
          </cell>
          <cell r="N74">
            <v>8.9064311414411179E-2</v>
          </cell>
          <cell r="O74">
            <v>4.5716481790698635E-2</v>
          </cell>
          <cell r="P74">
            <v>0.25149134397719525</v>
          </cell>
          <cell r="Q74">
            <v>0.40104875806615531</v>
          </cell>
          <cell r="R74">
            <v>0.35125705844241467</v>
          </cell>
          <cell r="S74">
            <v>0.52023404432360065</v>
          </cell>
          <cell r="T74">
            <v>2.1233096262125617</v>
          </cell>
          <cell r="U74">
            <v>1.6046057845212187</v>
          </cell>
        </row>
        <row r="75">
          <cell r="B75">
            <v>1.0426928549139911</v>
          </cell>
          <cell r="C75">
            <v>1.3837374903943629</v>
          </cell>
          <cell r="D75">
            <v>0.76236740928329516</v>
          </cell>
          <cell r="E75">
            <v>0.54465438314392378</v>
          </cell>
          <cell r="F75">
            <v>0.4477244718943823</v>
          </cell>
          <cell r="G75">
            <v>0.18818443651341474</v>
          </cell>
          <cell r="H75">
            <v>0.17549098439972691</v>
          </cell>
          <cell r="I75">
            <v>0.7945675351641599</v>
          </cell>
          <cell r="J75">
            <v>0.58864547463336703</v>
          </cell>
          <cell r="K75">
            <v>0.40776901432140583</v>
          </cell>
          <cell r="L75">
            <v>0.38452592505992522</v>
          </cell>
          <cell r="M75">
            <v>0.39713912049445266</v>
          </cell>
          <cell r="N75">
            <v>0.21124781334010281</v>
          </cell>
          <cell r="O75">
            <v>0.11816615383342244</v>
          </cell>
          <cell r="P75">
            <v>8.1712624078191895E-2</v>
          </cell>
          <cell r="Q75">
            <v>0.17387141474549656</v>
          </cell>
          <cell r="R75">
            <v>0.28901181530608433</v>
          </cell>
          <cell r="S75">
            <v>0.81771201042126818</v>
          </cell>
          <cell r="T75">
            <v>1.7824291292228462</v>
          </cell>
          <cell r="U75">
            <v>1.3221643100136904</v>
          </cell>
        </row>
        <row r="76">
          <cell r="B76">
            <v>3.7943195230480113</v>
          </cell>
          <cell r="C76">
            <v>0.88695196770969442</v>
          </cell>
          <cell r="D76">
            <v>2.3277396824642298</v>
          </cell>
          <cell r="E76">
            <v>0.89898294360928455</v>
          </cell>
          <cell r="F76">
            <v>1.094593952578335</v>
          </cell>
          <cell r="G76">
            <v>0.39912665743226028</v>
          </cell>
          <cell r="H76">
            <v>0.41419624563758917</v>
          </cell>
          <cell r="I76">
            <v>0.15101322867799225</v>
          </cell>
          <cell r="J76">
            <v>1.0319648865131774</v>
          </cell>
          <cell r="K76">
            <v>0.74373820838392712</v>
          </cell>
          <cell r="L76">
            <v>0.81367178631497583</v>
          </cell>
          <cell r="M76">
            <v>0.67580956939142811</v>
          </cell>
          <cell r="N76">
            <v>0.50863877173203553</v>
          </cell>
          <cell r="O76">
            <v>0.34539378248767444</v>
          </cell>
          <cell r="P76">
            <v>0.19155475202381786</v>
          </cell>
          <cell r="Q76">
            <v>0.12036385550901979</v>
          </cell>
          <cell r="R76">
            <v>9.0195600957001326E-2</v>
          </cell>
          <cell r="S76">
            <v>0.23777922590744793</v>
          </cell>
          <cell r="T76">
            <v>0.81202915182688895</v>
          </cell>
          <cell r="U76">
            <v>0.95364576211077268</v>
          </cell>
        </row>
        <row r="97">
          <cell r="B97">
            <v>557.25923133179435</v>
          </cell>
          <cell r="C97">
            <v>1310.0002373441644</v>
          </cell>
          <cell r="D97">
            <v>1849.5546114337685</v>
          </cell>
          <cell r="E97">
            <v>3194.3613879776781</v>
          </cell>
          <cell r="F97">
            <v>7445.5430315035746</v>
          </cell>
          <cell r="G97">
            <v>5445.4296820829422</v>
          </cell>
          <cell r="H97">
            <v>3293.8666866555332</v>
          </cell>
          <cell r="I97">
            <v>3771.9483516616733</v>
          </cell>
          <cell r="J97">
            <v>4330.1909007160921</v>
          </cell>
          <cell r="K97">
            <v>3825.4755085320276</v>
          </cell>
          <cell r="L97">
            <v>5967.1604780371144</v>
          </cell>
          <cell r="M97">
            <v>4719.0829254946939</v>
          </cell>
          <cell r="N97">
            <v>8457.0346633799963</v>
          </cell>
          <cell r="O97">
            <v>15381.749340526963</v>
          </cell>
          <cell r="P97">
            <v>19050.079081799191</v>
          </cell>
          <cell r="Q97">
            <v>13695.72891851918</v>
          </cell>
          <cell r="R97">
            <v>5912.0860084558408</v>
          </cell>
          <cell r="S97">
            <v>577.6140204488072</v>
          </cell>
          <cell r="T97">
            <v>297.8157361692115</v>
          </cell>
          <cell r="U97">
            <v>123.18179691128913</v>
          </cell>
        </row>
        <row r="99">
          <cell r="B99">
            <v>45695.830624708266</v>
          </cell>
          <cell r="C99">
            <v>78221.349849409962</v>
          </cell>
          <cell r="D99">
            <v>99582.014199395504</v>
          </cell>
          <cell r="E99">
            <v>64837.461280724703</v>
          </cell>
          <cell r="F99">
            <v>323176.64444252412</v>
          </cell>
          <cell r="G99">
            <v>238282.8965724119</v>
          </cell>
          <cell r="H99">
            <v>197519.52807685887</v>
          </cell>
          <cell r="I99">
            <v>226747.13612850878</v>
          </cell>
          <cell r="J99">
            <v>271479.285924825</v>
          </cell>
          <cell r="K99">
            <v>355048.48011325375</v>
          </cell>
          <cell r="L99">
            <v>529630.44298597239</v>
          </cell>
          <cell r="M99">
            <v>464672.04910281592</v>
          </cell>
          <cell r="N99">
            <v>36630.050441881773</v>
          </cell>
          <cell r="O99">
            <v>20717.689636598236</v>
          </cell>
          <cell r="P99">
            <v>5649.1202437734028</v>
          </cell>
          <cell r="Q99">
            <v>3677.6894138987273</v>
          </cell>
          <cell r="R99">
            <v>27902.834475425258</v>
          </cell>
          <cell r="S99">
            <v>8660.7158545512139</v>
          </cell>
          <cell r="T99">
            <v>6666.5729391200402</v>
          </cell>
          <cell r="U99">
            <v>2658.9286721446474</v>
          </cell>
        </row>
        <row r="106">
          <cell r="B106">
            <v>557.25923133179435</v>
          </cell>
          <cell r="C106">
            <v>4.406731801125165</v>
          </cell>
        </row>
        <row r="107">
          <cell r="B107">
            <v>1310.0002373441644</v>
          </cell>
          <cell r="C107">
            <v>4.0895153078744997</v>
          </cell>
        </row>
        <row r="108">
          <cell r="B108">
            <v>1849.5546114337685</v>
          </cell>
          <cell r="C108">
            <v>3.9860367084277879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</row>
        <row r="109">
          <cell r="B109">
            <v>3194.3613879776781</v>
          </cell>
          <cell r="C109">
            <v>3.0104963532193683</v>
          </cell>
          <cell r="M109">
            <v>1000</v>
          </cell>
          <cell r="N109">
            <v>70732.31970730731</v>
          </cell>
          <cell r="O109">
            <v>91152.094667295285</v>
          </cell>
          <cell r="P109">
            <v>21608.542159125067</v>
          </cell>
        </row>
        <row r="110">
          <cell r="B110">
            <v>7445.5430315035746</v>
          </cell>
          <cell r="C110">
            <v>3.7705834579903579</v>
          </cell>
          <cell r="M110">
            <v>2000</v>
          </cell>
          <cell r="N110">
            <v>83269.442430150433</v>
          </cell>
          <cell r="O110">
            <v>167456.30036866909</v>
          </cell>
          <cell r="P110">
            <v>33672.105455217432</v>
          </cell>
        </row>
        <row r="111">
          <cell r="B111">
            <v>5445.4296820829422</v>
          </cell>
          <cell r="C111">
            <v>3.778681942439551</v>
          </cell>
          <cell r="M111">
            <v>3000</v>
          </cell>
          <cell r="N111">
            <v>73521.553562647474</v>
          </cell>
          <cell r="O111">
            <v>230726.56176070624</v>
          </cell>
          <cell r="P111">
            <v>39352.86369984776</v>
          </cell>
        </row>
        <row r="112">
          <cell r="B112">
            <v>3293.8666866555332</v>
          </cell>
          <cell r="C112">
            <v>4.0937752964231473</v>
          </cell>
          <cell r="M112">
            <v>4000</v>
          </cell>
          <cell r="N112">
            <v>57702.040567344076</v>
          </cell>
          <cell r="O112">
            <v>282579.83955464448</v>
          </cell>
          <cell r="P112">
            <v>40881.788529372505</v>
          </cell>
        </row>
        <row r="113">
          <cell r="B113">
            <v>3771.9483516616733</v>
          </cell>
          <cell r="C113">
            <v>4.0962437867147967</v>
          </cell>
          <cell r="M113">
            <v>5000</v>
          </cell>
          <cell r="N113">
            <v>42455.987278933724</v>
          </cell>
          <cell r="O113">
            <v>324456.16488100076</v>
          </cell>
          <cell r="P113">
            <v>39815.732489663111</v>
          </cell>
        </row>
        <row r="114">
          <cell r="B114">
            <v>4330.1909007160921</v>
          </cell>
          <cell r="C114">
            <v>4.1382742125594465</v>
          </cell>
          <cell r="M114">
            <v>6000</v>
          </cell>
          <cell r="N114">
            <v>29988.721448702679</v>
          </cell>
          <cell r="O114">
            <v>357636.73364452017</v>
          </cell>
          <cell r="P114">
            <v>37226.376493960044</v>
          </cell>
        </row>
        <row r="115">
          <cell r="B115">
            <v>3825.4755085320276</v>
          </cell>
          <cell r="C115">
            <v>4.5305715683427525</v>
          </cell>
          <cell r="M115">
            <v>7000</v>
          </cell>
          <cell r="N115">
            <v>20594.084938727225</v>
          </cell>
          <cell r="O115">
            <v>383260.22710949491</v>
          </cell>
          <cell r="P115">
            <v>33838.598259455757</v>
          </cell>
        </row>
        <row r="116">
          <cell r="B116">
            <v>5967.1604780371144</v>
          </cell>
          <cell r="C116">
            <v>4.4859083035140319</v>
          </cell>
          <cell r="M116">
            <v>8000</v>
          </cell>
          <cell r="N116">
            <v>13853.905034830024</v>
          </cell>
          <cell r="O116">
            <v>402337.52762012737</v>
          </cell>
          <cell r="P116">
            <v>30131.386815414495</v>
          </cell>
        </row>
        <row r="117">
          <cell r="B117">
            <v>4719.0829254946939</v>
          </cell>
          <cell r="C117">
            <v>4.5897174007466948</v>
          </cell>
          <cell r="M117">
            <v>9000</v>
          </cell>
          <cell r="N117">
            <v>9174.0792721576217</v>
          </cell>
          <cell r="O117">
            <v>415764.98261362314</v>
          </cell>
          <cell r="P117">
            <v>26411.097755931958</v>
          </cell>
        </row>
        <row r="118">
          <cell r="B118">
            <v>8457.0346633799963</v>
          </cell>
          <cell r="C118">
            <v>1.4658703542831304</v>
          </cell>
          <cell r="M118">
            <v>10000</v>
          </cell>
          <cell r="N118">
            <v>6000.0896412755174</v>
          </cell>
          <cell r="O118">
            <v>424336.35578134569</v>
          </cell>
          <cell r="P118">
            <v>22864.344374061653</v>
          </cell>
        </row>
        <row r="119">
          <cell r="B119">
            <v>15381.749340526963</v>
          </cell>
          <cell r="C119">
            <v>0.29780620828298343</v>
          </cell>
          <cell r="M119">
            <v>11000</v>
          </cell>
          <cell r="N119">
            <v>3884.974599519247</v>
          </cell>
          <cell r="O119">
            <v>428753.59124478104</v>
          </cell>
          <cell r="P119">
            <v>19595.946597974544</v>
          </cell>
        </row>
        <row r="120">
          <cell r="B120">
            <v>19050.079081799191</v>
          </cell>
          <cell r="C120">
            <v>-1.2155714288718615</v>
          </cell>
          <cell r="M120">
            <v>12000</v>
          </cell>
          <cell r="N120">
            <v>2494.6780411962131</v>
          </cell>
          <cell r="O120">
            <v>429636.50481912855</v>
          </cell>
          <cell r="P120">
            <v>16655.958020913735</v>
          </cell>
        </row>
        <row r="121">
          <cell r="B121">
            <v>13695.72891851918</v>
          </cell>
          <cell r="C121">
            <v>-1.3147993481294113</v>
          </cell>
          <cell r="M121">
            <v>13000</v>
          </cell>
          <cell r="N121">
            <v>1590.7955603520861</v>
          </cell>
          <cell r="O121">
            <v>427531.5057296016</v>
          </cell>
          <cell r="P121">
            <v>14058.744339202554</v>
          </cell>
        </row>
        <row r="122">
          <cell r="B122">
            <v>5912.0860084558408</v>
          </cell>
          <cell r="C122">
            <v>1.5517295461131813</v>
          </cell>
          <cell r="M122">
            <v>14000</v>
          </cell>
          <cell r="N122">
            <v>1008.4092328689565</v>
          </cell>
          <cell r="O122">
            <v>422919.44242529984</v>
          </cell>
          <cell r="P122">
            <v>11796.305899985309</v>
          </cell>
        </row>
        <row r="123">
          <cell r="B123">
            <v>577.6140204488072</v>
          </cell>
          <cell r="C123">
            <v>2.7076467994142894</v>
          </cell>
          <cell r="M123">
            <v>15000</v>
          </cell>
          <cell r="N123">
            <v>635.97170877483984</v>
          </cell>
          <cell r="O123">
            <v>416222.65731296805</v>
          </cell>
          <cell r="P123">
            <v>9847.4562245854868</v>
          </cell>
        </row>
        <row r="124">
          <cell r="B124">
            <v>297.8157361692115</v>
          </cell>
          <cell r="C124">
            <v>3.108386244382364</v>
          </cell>
          <cell r="M124">
            <v>16000</v>
          </cell>
          <cell r="N124">
            <v>399.30456919019997</v>
          </cell>
          <cell r="O124">
            <v>407811.32722634566</v>
          </cell>
          <cell r="P124">
            <v>8184.0371464974587</v>
          </cell>
        </row>
        <row r="125">
          <cell r="B125">
            <v>123.18179691128913</v>
          </cell>
          <cell r="C125">
            <v>3.0720172779758599</v>
          </cell>
          <cell r="M125">
            <v>17000</v>
          </cell>
          <cell r="N125">
            <v>249.73015012610333</v>
          </cell>
          <cell r="O125">
            <v>398009.15918174793</v>
          </cell>
          <cell r="P125">
            <v>6775.0318324465597</v>
          </cell>
        </row>
        <row r="126">
          <cell r="M126">
            <v>18000</v>
          </cell>
          <cell r="N126">
            <v>155.64397785027458</v>
          </cell>
          <cell r="O126">
            <v>387098.50437931652</v>
          </cell>
          <cell r="P126">
            <v>5589.2010663350184</v>
          </cell>
        </row>
        <row r="127">
          <cell r="M127">
            <v>19000</v>
          </cell>
          <cell r="N127">
            <v>96.705500568056266</v>
          </cell>
          <cell r="O127">
            <v>375324.94743047882</v>
          </cell>
          <cell r="P127">
            <v>4596.694472173589</v>
          </cell>
        </row>
        <row r="128">
          <cell r="M128">
            <v>20000</v>
          </cell>
          <cell r="N128">
            <v>59.919106923506675</v>
          </cell>
          <cell r="O128">
            <v>362901.42236952146</v>
          </cell>
          <cell r="P128">
            <v>3769.9608713862731</v>
          </cell>
        </row>
        <row r="141">
          <cell r="B141">
            <v>0</v>
          </cell>
          <cell r="C141">
            <v>0.1</v>
          </cell>
          <cell r="D141">
            <v>0.2</v>
          </cell>
          <cell r="E141">
            <v>0.3</v>
          </cell>
          <cell r="F141">
            <v>0.4</v>
          </cell>
          <cell r="G141">
            <v>0.5</v>
          </cell>
          <cell r="H141">
            <v>0.6</v>
          </cell>
          <cell r="I141">
            <v>0.7</v>
          </cell>
          <cell r="J141">
            <v>0.8</v>
          </cell>
          <cell r="K141">
            <v>0.9</v>
          </cell>
          <cell r="L141">
            <v>1</v>
          </cell>
          <cell r="M141">
            <v>1.1000000000000001</v>
          </cell>
          <cell r="N141">
            <v>1.2</v>
          </cell>
          <cell r="O141">
            <v>1.3</v>
          </cell>
          <cell r="P141">
            <v>1.4</v>
          </cell>
          <cell r="Q141">
            <v>1.5</v>
          </cell>
          <cell r="R141">
            <v>1.6</v>
          </cell>
          <cell r="S141">
            <v>1.7</v>
          </cell>
          <cell r="T141">
            <v>1.8</v>
          </cell>
        </row>
        <row r="151">
          <cell r="B151">
            <v>100</v>
          </cell>
          <cell r="C151">
            <v>74.090508528276828</v>
          </cell>
          <cell r="D151">
            <v>55.622553251608679</v>
          </cell>
          <cell r="E151">
            <v>42.286316453943883</v>
          </cell>
          <cell r="F151">
            <v>32.531231292725252</v>
          </cell>
          <cell r="G151">
            <v>25.305749664169895</v>
          </cell>
          <cell r="H151">
            <v>19.889070589917786</v>
          </cell>
          <cell r="I151">
            <v>15.781591204150159</v>
          </cell>
          <cell r="J151">
            <v>12.633060990912441</v>
          </cell>
          <cell r="K151">
            <v>10.195088224271302</v>
          </cell>
          <cell r="L151">
            <v>8.2894773561510018</v>
          </cell>
          <cell r="M151">
            <v>6.7869300196163165</v>
          </cell>
          <cell r="N151">
            <v>5.5925816305988283</v>
          </cell>
          <cell r="O151">
            <v>4.6360828546187367</v>
          </cell>
          <cell r="P151">
            <v>3.8647286170376112</v>
          </cell>
          <cell r="Q151">
            <v>3.2386489252238486</v>
          </cell>
          <cell r="R151">
            <v>2.7274076106583367</v>
          </cell>
          <cell r="S151">
            <v>2.3075717242952232</v>
          </cell>
          <cell r="T151">
            <v>1.9609567002305164</v>
          </cell>
        </row>
      </sheetData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太平洋1999評価解析"/>
      <sheetName val="太平洋1999評価解析1998nasi"/>
      <sheetName val="太平洋1999評価解析P"/>
      <sheetName val="太平洋1999評価解析P1998nasi"/>
      <sheetName val="太平洋1999コホートP"/>
      <sheetName val="Sheet1"/>
      <sheetName val="再生産・予測"/>
      <sheetName val="太平洋1999ABCα"/>
      <sheetName val="太平洋1999ABCβ"/>
      <sheetName val="Sheet2"/>
      <sheetName val="Sheet2 (2)"/>
    </sheetNames>
    <sheetDataSet>
      <sheetData sheetId="0"/>
      <sheetData sheetId="1"/>
      <sheetData sheetId="2"/>
      <sheetData sheetId="3"/>
      <sheetData sheetId="4"/>
      <sheetData sheetId="5"/>
      <sheetData sheetId="6">
        <row r="114">
          <cell r="F114">
            <v>-5.1133402042436334E-3</v>
          </cell>
          <cell r="G114">
            <v>2995.3279457058929</v>
          </cell>
        </row>
      </sheetData>
      <sheetData sheetId="7"/>
      <sheetData sheetId="8"/>
      <sheetData sheetId="9" refreshError="1"/>
      <sheetData sheetId="1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漁獲量"/>
      <sheetName val="真値漁獲尾数"/>
      <sheetName val="真値漁獲尾数2"/>
      <sheetName val="韓国船補正"/>
      <sheetName val="年齢別漁獲尾数"/>
      <sheetName val="コホー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7">
          <cell r="A17" t="str">
            <v>表１　年齢別漁獲尾数(尾）</v>
          </cell>
        </row>
        <row r="36">
          <cell r="A36" t="str">
            <v>表２　年齢別漁獲尾数(尾）</v>
          </cell>
        </row>
        <row r="53">
          <cell r="A53" t="str">
            <v>表３　年齢別資源尾数(尾）</v>
          </cell>
        </row>
        <row r="73">
          <cell r="A73" t="str">
            <v>表４　漁獲係数（Ｆ）</v>
          </cell>
        </row>
        <row r="89">
          <cell r="A89" t="str">
            <v>表５　資源重量(kg)</v>
          </cell>
        </row>
        <row r="106">
          <cell r="A106" t="str">
            <v>表６　産卵親魚量(kg)：N歳のSSB＝N+1歳の資源尾数×N+1歳の平均体重×N歳の成熟率</v>
          </cell>
        </row>
        <row r="123">
          <cell r="A123" t="str">
            <v>表７　親魚と加入尾数（２歳魚）との関係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2"/>
  <sheetViews>
    <sheetView tabSelected="1" zoomScaleNormal="100" workbookViewId="0">
      <selection activeCell="E26" sqref="E26"/>
    </sheetView>
  </sheetViews>
  <sheetFormatPr defaultRowHeight="13.5"/>
  <cols>
    <col min="1" max="1" width="6.5" customWidth="1"/>
    <col min="2" max="7" width="10.125" customWidth="1"/>
    <col min="8" max="9" width="10.625" customWidth="1"/>
    <col min="10" max="11" width="9.375" customWidth="1"/>
    <col min="12" max="12" width="10.125" customWidth="1"/>
  </cols>
  <sheetData>
    <row r="1" spans="1:12" ht="14.25">
      <c r="A1" t="s">
        <v>68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</row>
    <row r="2" spans="1:12" ht="14.25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</row>
    <row r="3" spans="1:12" ht="15">
      <c r="A3" s="57" t="s">
        <v>10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</row>
    <row r="4" spans="1:12" ht="13.5" customHeight="1">
      <c r="A4" s="197" t="s">
        <v>0</v>
      </c>
      <c r="B4" s="199" t="s">
        <v>34</v>
      </c>
      <c r="C4" s="200"/>
      <c r="D4" s="200"/>
      <c r="E4" s="200"/>
      <c r="F4" s="200"/>
      <c r="G4" s="201"/>
      <c r="H4" s="197" t="s">
        <v>35</v>
      </c>
      <c r="I4" s="197" t="s">
        <v>36</v>
      </c>
      <c r="J4" s="197" t="s">
        <v>37</v>
      </c>
      <c r="K4" s="197" t="s">
        <v>38</v>
      </c>
      <c r="L4" s="197" t="s">
        <v>39</v>
      </c>
    </row>
    <row r="5" spans="1:12" ht="25.5" customHeight="1">
      <c r="A5" s="198"/>
      <c r="B5" s="36" t="s">
        <v>3</v>
      </c>
      <c r="C5" s="36" t="s">
        <v>65</v>
      </c>
      <c r="D5" s="36" t="s">
        <v>69</v>
      </c>
      <c r="E5" s="36" t="s">
        <v>70</v>
      </c>
      <c r="F5" s="102" t="s">
        <v>4</v>
      </c>
      <c r="G5" s="78" t="s">
        <v>5</v>
      </c>
      <c r="H5" s="198"/>
      <c r="I5" s="198"/>
      <c r="J5" s="198"/>
      <c r="K5" s="198"/>
      <c r="L5" s="198"/>
    </row>
    <row r="6" spans="1:12" ht="15">
      <c r="A6" s="37">
        <v>1975</v>
      </c>
      <c r="B6" s="93">
        <v>43</v>
      </c>
      <c r="C6" s="93"/>
      <c r="D6" s="93"/>
      <c r="E6" s="93">
        <v>43</v>
      </c>
      <c r="F6" s="98">
        <v>40</v>
      </c>
      <c r="G6" s="93">
        <v>3</v>
      </c>
      <c r="H6" s="94"/>
      <c r="I6" s="95"/>
      <c r="J6" s="38"/>
      <c r="K6" s="38"/>
      <c r="L6" s="39"/>
    </row>
    <row r="7" spans="1:12" ht="15">
      <c r="A7" s="40">
        <v>1976</v>
      </c>
      <c r="B7" s="42">
        <v>75.599999999999994</v>
      </c>
      <c r="C7" s="42"/>
      <c r="D7" s="42"/>
      <c r="E7" s="42">
        <v>75.599999999999994</v>
      </c>
      <c r="F7" s="99">
        <v>67.7</v>
      </c>
      <c r="G7" s="42">
        <v>7.9</v>
      </c>
      <c r="H7" s="96">
        <v>386.2</v>
      </c>
      <c r="I7" s="42">
        <v>85.2</v>
      </c>
      <c r="J7" s="41">
        <v>559</v>
      </c>
      <c r="K7" s="42">
        <v>19.600000000000001</v>
      </c>
      <c r="L7" s="42">
        <v>65.599999999999994</v>
      </c>
    </row>
    <row r="8" spans="1:12" ht="15" customHeight="1">
      <c r="A8" s="40">
        <v>1977</v>
      </c>
      <c r="B8" s="42">
        <v>99.1</v>
      </c>
      <c r="C8" s="42"/>
      <c r="D8" s="42"/>
      <c r="E8" s="42">
        <v>99.1</v>
      </c>
      <c r="F8" s="99">
        <v>93.4</v>
      </c>
      <c r="G8" s="42">
        <v>5.6</v>
      </c>
      <c r="H8" s="96">
        <v>555.29999999999995</v>
      </c>
      <c r="I8" s="42">
        <v>177.4</v>
      </c>
      <c r="J8" s="41">
        <v>923</v>
      </c>
      <c r="K8" s="42">
        <v>17.8</v>
      </c>
      <c r="L8" s="42">
        <v>52</v>
      </c>
    </row>
    <row r="9" spans="1:12" ht="15" customHeight="1">
      <c r="A9" s="40">
        <v>1978</v>
      </c>
      <c r="B9" s="42">
        <v>114.9</v>
      </c>
      <c r="C9" s="42"/>
      <c r="D9" s="42"/>
      <c r="E9" s="42">
        <v>114.9</v>
      </c>
      <c r="F9" s="99">
        <v>97.5</v>
      </c>
      <c r="G9" s="42">
        <v>17.399999999999999</v>
      </c>
      <c r="H9" s="96">
        <v>744</v>
      </c>
      <c r="I9" s="42">
        <v>262</v>
      </c>
      <c r="J9" s="41">
        <v>942</v>
      </c>
      <c r="K9" s="42">
        <v>15.5</v>
      </c>
      <c r="L9" s="42">
        <v>36</v>
      </c>
    </row>
    <row r="10" spans="1:12" ht="15" customHeight="1">
      <c r="A10" s="40">
        <v>1979</v>
      </c>
      <c r="B10" s="42">
        <v>108.9</v>
      </c>
      <c r="C10" s="42"/>
      <c r="D10" s="42"/>
      <c r="E10" s="42">
        <v>108.9</v>
      </c>
      <c r="F10" s="99">
        <v>93.3</v>
      </c>
      <c r="G10" s="42">
        <v>15.6</v>
      </c>
      <c r="H10" s="96">
        <v>864.7</v>
      </c>
      <c r="I10" s="42">
        <v>421.9</v>
      </c>
      <c r="J10" s="41">
        <v>419</v>
      </c>
      <c r="K10" s="42">
        <v>12.6</v>
      </c>
      <c r="L10" s="42">
        <v>9.9</v>
      </c>
    </row>
    <row r="11" spans="1:12" ht="15" customHeight="1">
      <c r="A11" s="40">
        <v>1980</v>
      </c>
      <c r="B11" s="42">
        <v>144.5</v>
      </c>
      <c r="C11" s="42"/>
      <c r="D11" s="42"/>
      <c r="E11" s="42">
        <v>144.5</v>
      </c>
      <c r="F11" s="99">
        <v>128.6</v>
      </c>
      <c r="G11" s="42">
        <v>15.9</v>
      </c>
      <c r="H11" s="96">
        <v>1336.6</v>
      </c>
      <c r="I11" s="42">
        <v>561.29999999999995</v>
      </c>
      <c r="J11" s="41">
        <v>2930</v>
      </c>
      <c r="K11" s="42">
        <v>10.8</v>
      </c>
      <c r="L11" s="42">
        <v>52.2</v>
      </c>
    </row>
    <row r="12" spans="1:12" ht="15" customHeight="1">
      <c r="A12" s="40">
        <v>1981</v>
      </c>
      <c r="B12" s="42">
        <v>229.6</v>
      </c>
      <c r="C12" s="42"/>
      <c r="D12" s="42"/>
      <c r="E12" s="42">
        <v>229.6</v>
      </c>
      <c r="F12" s="99">
        <v>212.9</v>
      </c>
      <c r="G12" s="42">
        <v>16.7</v>
      </c>
      <c r="H12" s="96">
        <v>1541.5</v>
      </c>
      <c r="I12" s="42">
        <v>532.5</v>
      </c>
      <c r="J12" s="41">
        <v>1978</v>
      </c>
      <c r="K12" s="42">
        <v>14.9</v>
      </c>
      <c r="L12" s="42">
        <v>37.1</v>
      </c>
    </row>
    <row r="13" spans="1:12" ht="15" customHeight="1">
      <c r="A13" s="40">
        <v>1982</v>
      </c>
      <c r="B13" s="42">
        <v>241.9</v>
      </c>
      <c r="C13" s="42"/>
      <c r="D13" s="42"/>
      <c r="E13" s="42">
        <v>241.9</v>
      </c>
      <c r="F13" s="99">
        <v>215.8</v>
      </c>
      <c r="G13" s="42">
        <v>26.1</v>
      </c>
      <c r="H13" s="96">
        <v>1583</v>
      </c>
      <c r="I13" s="42">
        <v>815.8</v>
      </c>
      <c r="J13" s="41">
        <v>1562</v>
      </c>
      <c r="K13" s="42">
        <v>15.3</v>
      </c>
      <c r="L13" s="42">
        <v>19.2</v>
      </c>
    </row>
    <row r="14" spans="1:12" ht="15" customHeight="1">
      <c r="A14" s="40">
        <v>1983</v>
      </c>
      <c r="B14" s="42">
        <v>272.5</v>
      </c>
      <c r="C14" s="42"/>
      <c r="D14" s="42"/>
      <c r="E14" s="42">
        <v>272.5</v>
      </c>
      <c r="F14" s="99">
        <v>253.9</v>
      </c>
      <c r="G14" s="42">
        <v>18.600000000000001</v>
      </c>
      <c r="H14" s="96">
        <v>1515.1</v>
      </c>
      <c r="I14" s="42">
        <v>914</v>
      </c>
      <c r="J14" s="41">
        <v>1802</v>
      </c>
      <c r="K14" s="42">
        <v>18</v>
      </c>
      <c r="L14" s="42">
        <v>19.7</v>
      </c>
    </row>
    <row r="15" spans="1:12" ht="15" customHeight="1">
      <c r="A15" s="40">
        <v>1984</v>
      </c>
      <c r="B15" s="42">
        <v>287</v>
      </c>
      <c r="C15" s="42"/>
      <c r="D15" s="42"/>
      <c r="E15" s="42">
        <v>287</v>
      </c>
      <c r="F15" s="99">
        <v>258.89999999999998</v>
      </c>
      <c r="G15" s="42">
        <v>28.1</v>
      </c>
      <c r="H15" s="96">
        <v>1441.9</v>
      </c>
      <c r="I15" s="42">
        <v>836.8</v>
      </c>
      <c r="J15" s="41">
        <v>2128</v>
      </c>
      <c r="K15" s="42">
        <v>19.899999999999999</v>
      </c>
      <c r="L15" s="42">
        <v>25.4</v>
      </c>
    </row>
    <row r="16" spans="1:12" ht="15">
      <c r="A16" s="40">
        <v>1985</v>
      </c>
      <c r="B16" s="42">
        <v>264.39999999999998</v>
      </c>
      <c r="C16" s="42"/>
      <c r="D16" s="42"/>
      <c r="E16" s="42">
        <v>264.39999999999998</v>
      </c>
      <c r="F16" s="99">
        <v>239.7</v>
      </c>
      <c r="G16" s="42">
        <v>24.7</v>
      </c>
      <c r="H16" s="96">
        <v>1739.2</v>
      </c>
      <c r="I16" s="42">
        <v>807.9</v>
      </c>
      <c r="J16" s="41">
        <v>2479</v>
      </c>
      <c r="K16" s="42">
        <v>15.2</v>
      </c>
      <c r="L16" s="42">
        <v>30.7</v>
      </c>
    </row>
    <row r="17" spans="1:12" ht="15">
      <c r="A17" s="40">
        <v>1986</v>
      </c>
      <c r="B17" s="42">
        <v>268.5</v>
      </c>
      <c r="C17" s="42"/>
      <c r="D17" s="42"/>
      <c r="E17" s="42">
        <v>268.5</v>
      </c>
      <c r="F17" s="99">
        <v>247.1</v>
      </c>
      <c r="G17" s="42">
        <v>21.4</v>
      </c>
      <c r="H17" s="96">
        <v>1888.1</v>
      </c>
      <c r="I17" s="42">
        <v>1049.9000000000001</v>
      </c>
      <c r="J17" s="41">
        <v>2600</v>
      </c>
      <c r="K17" s="42">
        <v>14.2</v>
      </c>
      <c r="L17" s="42">
        <v>24.8</v>
      </c>
    </row>
    <row r="18" spans="1:12" ht="15">
      <c r="A18" s="40">
        <v>1987</v>
      </c>
      <c r="B18" s="42">
        <v>291.60000000000002</v>
      </c>
      <c r="C18" s="42"/>
      <c r="D18" s="42"/>
      <c r="E18" s="42">
        <v>291.60000000000002</v>
      </c>
      <c r="F18" s="99">
        <v>269.60000000000002</v>
      </c>
      <c r="G18" s="42">
        <v>22</v>
      </c>
      <c r="H18" s="96">
        <v>1954.2</v>
      </c>
      <c r="I18" s="42">
        <v>1132.2</v>
      </c>
      <c r="J18" s="41">
        <v>1565</v>
      </c>
      <c r="K18" s="42">
        <v>14.9</v>
      </c>
      <c r="L18" s="42">
        <v>13.8</v>
      </c>
    </row>
    <row r="19" spans="1:12" ht="15">
      <c r="A19" s="40">
        <v>1988</v>
      </c>
      <c r="B19" s="42">
        <v>283.8</v>
      </c>
      <c r="C19" s="42"/>
      <c r="D19" s="42"/>
      <c r="E19" s="42">
        <v>283.8</v>
      </c>
      <c r="F19" s="99">
        <v>259.3</v>
      </c>
      <c r="G19" s="42">
        <v>24.4</v>
      </c>
      <c r="H19" s="96">
        <v>1777.4</v>
      </c>
      <c r="I19" s="42">
        <v>1335.5</v>
      </c>
      <c r="J19" s="41">
        <v>228</v>
      </c>
      <c r="K19" s="42">
        <v>16</v>
      </c>
      <c r="L19" s="42">
        <v>1.7</v>
      </c>
    </row>
    <row r="20" spans="1:12" ht="15">
      <c r="A20" s="40">
        <v>1989</v>
      </c>
      <c r="B20" s="42">
        <v>252.4</v>
      </c>
      <c r="C20" s="42"/>
      <c r="D20" s="42"/>
      <c r="E20" s="42">
        <v>252.4</v>
      </c>
      <c r="F20" s="99">
        <v>228</v>
      </c>
      <c r="G20" s="42">
        <v>24.3</v>
      </c>
      <c r="H20" s="96">
        <v>1250.7</v>
      </c>
      <c r="I20" s="42">
        <v>1175.4000000000001</v>
      </c>
      <c r="J20" s="41">
        <v>194</v>
      </c>
      <c r="K20" s="42">
        <v>20.2</v>
      </c>
      <c r="L20" s="42">
        <v>1.7</v>
      </c>
    </row>
    <row r="21" spans="1:12" ht="15">
      <c r="A21" s="40">
        <v>1990</v>
      </c>
      <c r="B21" s="42">
        <v>216.2</v>
      </c>
      <c r="C21" s="42"/>
      <c r="D21" s="42"/>
      <c r="E21" s="42">
        <v>216.2</v>
      </c>
      <c r="F21" s="99">
        <v>191.6</v>
      </c>
      <c r="G21" s="42">
        <v>24.6</v>
      </c>
      <c r="H21" s="96">
        <v>798.1</v>
      </c>
      <c r="I21" s="42">
        <v>760.9</v>
      </c>
      <c r="J21" s="41">
        <v>69</v>
      </c>
      <c r="K21" s="42">
        <v>27.1</v>
      </c>
      <c r="L21" s="42">
        <v>0.9</v>
      </c>
    </row>
    <row r="22" spans="1:12" ht="15">
      <c r="A22" s="40">
        <v>1991</v>
      </c>
      <c r="B22" s="42">
        <v>172.4</v>
      </c>
      <c r="C22" s="42"/>
      <c r="D22" s="42"/>
      <c r="E22" s="42">
        <v>172.4</v>
      </c>
      <c r="F22" s="99">
        <v>154.4</v>
      </c>
      <c r="G22" s="42">
        <v>18</v>
      </c>
      <c r="H22" s="96">
        <v>454.6</v>
      </c>
      <c r="I22" s="42">
        <v>444</v>
      </c>
      <c r="J22" s="41">
        <v>53</v>
      </c>
      <c r="K22" s="42">
        <v>37.9</v>
      </c>
      <c r="L22" s="42">
        <v>1.2</v>
      </c>
    </row>
    <row r="23" spans="1:12" ht="15">
      <c r="A23" s="40">
        <v>1992</v>
      </c>
      <c r="B23" s="42">
        <v>124</v>
      </c>
      <c r="C23" s="42"/>
      <c r="D23" s="42"/>
      <c r="E23" s="42">
        <v>124</v>
      </c>
      <c r="F23" s="99">
        <v>108.9</v>
      </c>
      <c r="G23" s="42">
        <v>15.2</v>
      </c>
      <c r="H23" s="96">
        <v>246.5</v>
      </c>
      <c r="I23" s="42">
        <v>181.9</v>
      </c>
      <c r="J23" s="41">
        <v>273</v>
      </c>
      <c r="K23" s="42">
        <v>50.3</v>
      </c>
      <c r="L23" s="42">
        <v>15</v>
      </c>
    </row>
    <row r="24" spans="1:12" ht="15">
      <c r="A24" s="40">
        <v>1993</v>
      </c>
      <c r="B24" s="42">
        <v>79.099999999999994</v>
      </c>
      <c r="C24" s="42"/>
      <c r="D24" s="42"/>
      <c r="E24" s="42">
        <v>79.099999999999994</v>
      </c>
      <c r="F24" s="99">
        <v>67.5</v>
      </c>
      <c r="G24" s="42">
        <v>11.6</v>
      </c>
      <c r="H24" s="96">
        <v>146.69999999999999</v>
      </c>
      <c r="I24" s="42">
        <v>56.9</v>
      </c>
      <c r="J24" s="41">
        <v>121</v>
      </c>
      <c r="K24" s="42">
        <v>53.9</v>
      </c>
      <c r="L24" s="42">
        <v>21.3</v>
      </c>
    </row>
    <row r="25" spans="1:12" ht="15">
      <c r="A25" s="40">
        <v>1994</v>
      </c>
      <c r="B25" s="42">
        <v>42.5</v>
      </c>
      <c r="C25" s="42"/>
      <c r="D25" s="42"/>
      <c r="E25" s="42">
        <v>42.5</v>
      </c>
      <c r="F25" s="99">
        <v>35.700000000000003</v>
      </c>
      <c r="G25" s="42">
        <v>6.8</v>
      </c>
      <c r="H25" s="96">
        <v>87.9</v>
      </c>
      <c r="I25" s="42">
        <v>48.7</v>
      </c>
      <c r="J25" s="41">
        <v>119</v>
      </c>
      <c r="K25" s="42">
        <v>48.3</v>
      </c>
      <c r="L25" s="42">
        <v>24.4</v>
      </c>
    </row>
    <row r="26" spans="1:12" ht="15">
      <c r="A26" s="40">
        <v>1995</v>
      </c>
      <c r="B26" s="42">
        <v>33.200000000000003</v>
      </c>
      <c r="C26" s="42"/>
      <c r="D26" s="42"/>
      <c r="E26" s="42">
        <v>33.200000000000003</v>
      </c>
      <c r="F26" s="99">
        <v>27.7</v>
      </c>
      <c r="G26" s="42">
        <v>5.5</v>
      </c>
      <c r="H26" s="96">
        <v>75.599999999999994</v>
      </c>
      <c r="I26" s="42">
        <v>31</v>
      </c>
      <c r="J26" s="41">
        <v>73</v>
      </c>
      <c r="K26" s="42">
        <v>43.9</v>
      </c>
      <c r="L26" s="42">
        <v>23.6</v>
      </c>
    </row>
    <row r="27" spans="1:12" ht="15">
      <c r="A27" s="40">
        <v>1996</v>
      </c>
      <c r="B27" s="42">
        <v>18.100000000000001</v>
      </c>
      <c r="C27" s="42"/>
      <c r="D27" s="42"/>
      <c r="E27" s="42">
        <v>18.100000000000001</v>
      </c>
      <c r="F27" s="99">
        <v>15</v>
      </c>
      <c r="G27" s="42">
        <v>3.1</v>
      </c>
      <c r="H27" s="96">
        <v>80.5</v>
      </c>
      <c r="I27" s="42">
        <v>22.1</v>
      </c>
      <c r="J27" s="41">
        <v>134</v>
      </c>
      <c r="K27" s="42">
        <v>22.5</v>
      </c>
      <c r="L27" s="42">
        <v>60.7</v>
      </c>
    </row>
    <row r="28" spans="1:12" ht="15">
      <c r="A28" s="40">
        <v>1997</v>
      </c>
      <c r="B28" s="42">
        <v>25.5</v>
      </c>
      <c r="C28" s="42"/>
      <c r="D28" s="42"/>
      <c r="E28" s="42">
        <v>25.5</v>
      </c>
      <c r="F28" s="99">
        <v>22.8</v>
      </c>
      <c r="G28" s="42">
        <v>2.7</v>
      </c>
      <c r="H28" s="96">
        <v>91.6</v>
      </c>
      <c r="I28" s="42">
        <v>36</v>
      </c>
      <c r="J28" s="41">
        <v>78</v>
      </c>
      <c r="K28" s="42">
        <v>27.9</v>
      </c>
      <c r="L28" s="42">
        <v>21.6</v>
      </c>
    </row>
    <row r="29" spans="1:12" ht="15">
      <c r="A29" s="40">
        <v>1998</v>
      </c>
      <c r="B29" s="42">
        <v>14.2</v>
      </c>
      <c r="C29" s="42"/>
      <c r="D29" s="42"/>
      <c r="E29" s="42">
        <v>14.2</v>
      </c>
      <c r="F29" s="99">
        <v>12.4</v>
      </c>
      <c r="G29" s="42">
        <v>1.8</v>
      </c>
      <c r="H29" s="96">
        <v>72.7</v>
      </c>
      <c r="I29" s="42">
        <v>42.9</v>
      </c>
      <c r="J29" s="41">
        <v>74</v>
      </c>
      <c r="K29" s="42">
        <v>19.5</v>
      </c>
      <c r="L29" s="42">
        <v>17.2</v>
      </c>
    </row>
    <row r="30" spans="1:12" ht="15">
      <c r="A30" s="40">
        <v>1999</v>
      </c>
      <c r="B30" s="42">
        <v>30.8</v>
      </c>
      <c r="C30" s="42"/>
      <c r="D30" s="42"/>
      <c r="E30" s="42">
        <v>30.8</v>
      </c>
      <c r="F30" s="99">
        <v>28.1</v>
      </c>
      <c r="G30" s="42">
        <v>2.7</v>
      </c>
      <c r="H30" s="96">
        <v>70.099999999999994</v>
      </c>
      <c r="I30" s="42">
        <v>47.3</v>
      </c>
      <c r="J30" s="41">
        <v>26</v>
      </c>
      <c r="K30" s="42">
        <v>43.9</v>
      </c>
      <c r="L30" s="42">
        <v>5.4</v>
      </c>
    </row>
    <row r="31" spans="1:12" ht="15">
      <c r="A31" s="40">
        <v>2000</v>
      </c>
      <c r="B31" s="42">
        <v>13.9</v>
      </c>
      <c r="C31" s="42"/>
      <c r="D31" s="42"/>
      <c r="E31" s="42">
        <v>13.9</v>
      </c>
      <c r="F31" s="99">
        <v>12.2</v>
      </c>
      <c r="G31" s="42">
        <v>1.7</v>
      </c>
      <c r="H31" s="96">
        <v>41.1</v>
      </c>
      <c r="I31" s="42">
        <v>23.1</v>
      </c>
      <c r="J31" s="41">
        <v>48</v>
      </c>
      <c r="K31" s="42">
        <v>33.799999999999997</v>
      </c>
      <c r="L31" s="42">
        <v>21</v>
      </c>
    </row>
    <row r="32" spans="1:12" ht="15">
      <c r="A32" s="40">
        <v>2001</v>
      </c>
      <c r="B32" s="42">
        <v>17.7</v>
      </c>
      <c r="C32" s="42"/>
      <c r="D32" s="42"/>
      <c r="E32" s="42">
        <v>17.7</v>
      </c>
      <c r="F32" s="99">
        <v>16.2</v>
      </c>
      <c r="G32" s="42">
        <v>1.5</v>
      </c>
      <c r="H32" s="96">
        <v>30.5</v>
      </c>
      <c r="I32" s="42">
        <v>19.899999999999999</v>
      </c>
      <c r="J32" s="41">
        <v>25</v>
      </c>
      <c r="K32" s="42">
        <v>57.9</v>
      </c>
      <c r="L32" s="42">
        <v>12.4</v>
      </c>
    </row>
    <row r="33" spans="1:13" ht="15">
      <c r="A33" s="40">
        <v>2002</v>
      </c>
      <c r="B33" s="42">
        <v>4.9000000000000004</v>
      </c>
      <c r="C33" s="42"/>
      <c r="D33" s="42"/>
      <c r="E33" s="42">
        <v>4.9000000000000004</v>
      </c>
      <c r="F33" s="99">
        <v>4.3</v>
      </c>
      <c r="G33" s="42">
        <v>0.6</v>
      </c>
      <c r="H33" s="96">
        <v>15.7</v>
      </c>
      <c r="I33" s="42">
        <v>8.6999999999999993</v>
      </c>
      <c r="J33" s="41">
        <v>12</v>
      </c>
      <c r="K33" s="42">
        <v>31.1</v>
      </c>
      <c r="L33" s="42">
        <v>14.1</v>
      </c>
    </row>
    <row r="34" spans="1:13" ht="15">
      <c r="A34" s="40">
        <v>2003</v>
      </c>
      <c r="B34" s="42">
        <v>5.0999999999999996</v>
      </c>
      <c r="C34" s="42"/>
      <c r="D34" s="42"/>
      <c r="E34" s="42">
        <v>5.0999999999999996</v>
      </c>
      <c r="F34" s="99">
        <v>4.5999999999999996</v>
      </c>
      <c r="G34" s="42">
        <v>0.5</v>
      </c>
      <c r="H34" s="96">
        <v>12.1</v>
      </c>
      <c r="I34" s="42">
        <v>7.5</v>
      </c>
      <c r="J34" s="41">
        <v>11</v>
      </c>
      <c r="K34" s="42">
        <v>42</v>
      </c>
      <c r="L34" s="42">
        <v>15</v>
      </c>
    </row>
    <row r="35" spans="1:13" ht="15">
      <c r="A35" s="40">
        <v>2004</v>
      </c>
      <c r="B35" s="42">
        <v>4.8</v>
      </c>
      <c r="C35" s="42"/>
      <c r="D35" s="42"/>
      <c r="E35" s="42">
        <v>4.8</v>
      </c>
      <c r="F35" s="99">
        <v>4.0999999999999996</v>
      </c>
      <c r="G35" s="42">
        <v>0.7</v>
      </c>
      <c r="H35" s="96">
        <v>10.9</v>
      </c>
      <c r="I35" s="42">
        <v>6.3</v>
      </c>
      <c r="J35" s="41">
        <v>9</v>
      </c>
      <c r="K35" s="42">
        <v>44.1</v>
      </c>
      <c r="L35" s="42">
        <v>14.3</v>
      </c>
    </row>
    <row r="36" spans="1:13" ht="15">
      <c r="A36" s="40">
        <v>2005</v>
      </c>
      <c r="B36" s="42">
        <v>2.5</v>
      </c>
      <c r="C36" s="42"/>
      <c r="D36" s="42"/>
      <c r="E36" s="42">
        <v>2.5</v>
      </c>
      <c r="F36" s="99">
        <v>1.6</v>
      </c>
      <c r="G36" s="42">
        <v>0.9</v>
      </c>
      <c r="H36" s="96">
        <v>8.6999999999999993</v>
      </c>
      <c r="I36" s="42">
        <v>3.5</v>
      </c>
      <c r="J36" s="41">
        <v>19</v>
      </c>
      <c r="K36" s="42">
        <v>28.6</v>
      </c>
      <c r="L36" s="42">
        <v>55.4</v>
      </c>
    </row>
    <row r="37" spans="1:13" ht="15">
      <c r="A37" s="40">
        <v>2006</v>
      </c>
      <c r="B37" s="42">
        <v>4.9000000000000004</v>
      </c>
      <c r="C37" s="42"/>
      <c r="D37" s="42"/>
      <c r="E37" s="42">
        <v>4.9000000000000004</v>
      </c>
      <c r="F37" s="99">
        <v>4</v>
      </c>
      <c r="G37" s="42">
        <v>1</v>
      </c>
      <c r="H37" s="96">
        <v>13.1</v>
      </c>
      <c r="I37" s="42">
        <v>6.2</v>
      </c>
      <c r="J37" s="41">
        <v>12</v>
      </c>
      <c r="K37" s="42">
        <v>37.4</v>
      </c>
      <c r="L37" s="42">
        <v>20.100000000000001</v>
      </c>
    </row>
    <row r="38" spans="1:13" ht="15">
      <c r="A38" s="40">
        <v>2007</v>
      </c>
      <c r="B38" s="42">
        <v>6.5</v>
      </c>
      <c r="C38" s="42"/>
      <c r="D38" s="42"/>
      <c r="E38" s="42">
        <v>6.5</v>
      </c>
      <c r="F38" s="99">
        <v>4.2</v>
      </c>
      <c r="G38" s="42">
        <v>2.2999999999999998</v>
      </c>
      <c r="H38" s="96">
        <v>11.2</v>
      </c>
      <c r="I38" s="42">
        <v>5.6</v>
      </c>
      <c r="J38" s="41">
        <v>14</v>
      </c>
      <c r="K38" s="42">
        <v>57.9</v>
      </c>
      <c r="L38" s="42">
        <v>25.4</v>
      </c>
    </row>
    <row r="39" spans="1:13" ht="15">
      <c r="A39" s="40">
        <v>2008</v>
      </c>
      <c r="B39" s="42">
        <v>2.7</v>
      </c>
      <c r="C39" s="42"/>
      <c r="D39" s="42"/>
      <c r="E39" s="42">
        <v>2.7</v>
      </c>
      <c r="F39" s="99">
        <v>1.8</v>
      </c>
      <c r="G39" s="42">
        <v>0.9</v>
      </c>
      <c r="H39" s="96">
        <v>9.9</v>
      </c>
      <c r="I39" s="42">
        <v>2.8</v>
      </c>
      <c r="J39" s="41">
        <v>24</v>
      </c>
      <c r="K39" s="42">
        <v>27.2</v>
      </c>
      <c r="L39" s="42">
        <v>87.4</v>
      </c>
    </row>
    <row r="40" spans="1:13" ht="15">
      <c r="A40" s="40">
        <v>2009</v>
      </c>
      <c r="B40" s="42">
        <v>4.9000000000000004</v>
      </c>
      <c r="C40" s="42"/>
      <c r="D40" s="42"/>
      <c r="E40" s="42">
        <v>4.9000000000000004</v>
      </c>
      <c r="F40" s="99">
        <v>4.5999999999999996</v>
      </c>
      <c r="G40" s="42">
        <v>0.3</v>
      </c>
      <c r="H40" s="96">
        <v>12.9</v>
      </c>
      <c r="I40" s="42">
        <v>5.9</v>
      </c>
      <c r="J40" s="41">
        <v>13</v>
      </c>
      <c r="K40" s="42">
        <v>38.299999999999997</v>
      </c>
      <c r="L40" s="42">
        <v>22.2</v>
      </c>
    </row>
    <row r="41" spans="1:13" ht="15">
      <c r="A41" s="40">
        <v>2010</v>
      </c>
      <c r="B41" s="42">
        <v>6.5</v>
      </c>
      <c r="C41" s="42"/>
      <c r="D41" s="42"/>
      <c r="E41" s="42">
        <v>6.5</v>
      </c>
      <c r="F41" s="99">
        <v>6.2</v>
      </c>
      <c r="G41" s="42">
        <v>0.3</v>
      </c>
      <c r="H41" s="96">
        <v>33.299999999999997</v>
      </c>
      <c r="I41" s="42">
        <v>7.6</v>
      </c>
      <c r="J41" s="41">
        <v>77</v>
      </c>
      <c r="K41" s="42">
        <v>19.399999999999999</v>
      </c>
      <c r="L41" s="42">
        <v>101.5</v>
      </c>
    </row>
    <row r="42" spans="1:13" ht="15">
      <c r="A42" s="40">
        <v>2011</v>
      </c>
      <c r="B42" s="42">
        <v>13.2</v>
      </c>
      <c r="C42" s="42"/>
      <c r="D42" s="42"/>
      <c r="E42" s="42">
        <v>13.2</v>
      </c>
      <c r="F42" s="99">
        <v>12.2</v>
      </c>
      <c r="G42" s="42">
        <v>1</v>
      </c>
      <c r="H42" s="96">
        <v>46.2</v>
      </c>
      <c r="I42" s="42">
        <v>16.5</v>
      </c>
      <c r="J42" s="41">
        <v>53</v>
      </c>
      <c r="K42" s="42">
        <v>28.5</v>
      </c>
      <c r="L42" s="42">
        <v>31.8</v>
      </c>
    </row>
    <row r="43" spans="1:13" ht="15">
      <c r="A43" s="40">
        <v>2012</v>
      </c>
      <c r="B43" s="42">
        <v>10.199999999999999</v>
      </c>
      <c r="C43" s="42"/>
      <c r="D43" s="42"/>
      <c r="E43" s="42">
        <v>10.199999999999999</v>
      </c>
      <c r="F43" s="99">
        <v>9.1999999999999993</v>
      </c>
      <c r="G43" s="42">
        <v>0.9</v>
      </c>
      <c r="H43" s="96">
        <v>50.8</v>
      </c>
      <c r="I43" s="42">
        <v>25.8</v>
      </c>
      <c r="J43" s="41">
        <v>64</v>
      </c>
      <c r="K43" s="42">
        <v>20</v>
      </c>
      <c r="L43" s="42">
        <v>24.9</v>
      </c>
    </row>
    <row r="44" spans="1:13" ht="15">
      <c r="A44" s="40">
        <v>2013</v>
      </c>
      <c r="B44" s="42">
        <v>13</v>
      </c>
      <c r="C44" s="42"/>
      <c r="D44" s="42"/>
      <c r="E44" s="42">
        <v>13</v>
      </c>
      <c r="F44" s="99">
        <v>12.4</v>
      </c>
      <c r="G44" s="42">
        <v>0.6</v>
      </c>
      <c r="H44" s="96">
        <v>59.8</v>
      </c>
      <c r="I44" s="42">
        <v>33</v>
      </c>
      <c r="J44" s="41">
        <v>72</v>
      </c>
      <c r="K44" s="42">
        <v>21.6</v>
      </c>
      <c r="L44" s="42">
        <v>21.8</v>
      </c>
    </row>
    <row r="45" spans="1:13" ht="15">
      <c r="A45" s="40">
        <v>2014</v>
      </c>
      <c r="B45" s="42">
        <v>18.600000000000001</v>
      </c>
      <c r="C45" s="42">
        <v>0</v>
      </c>
      <c r="D45" s="42"/>
      <c r="E45" s="42">
        <v>18.600000000000001</v>
      </c>
      <c r="F45" s="99">
        <v>17.2</v>
      </c>
      <c r="G45" s="42">
        <v>1.4</v>
      </c>
      <c r="H45" s="96">
        <v>103.3</v>
      </c>
      <c r="I45" s="42">
        <v>41.9</v>
      </c>
      <c r="J45" s="41">
        <v>202</v>
      </c>
      <c r="K45" s="42">
        <v>18</v>
      </c>
      <c r="L45" s="42">
        <v>48.1</v>
      </c>
      <c r="M45" s="43"/>
    </row>
    <row r="46" spans="1:13" ht="15">
      <c r="A46" s="40">
        <v>2015</v>
      </c>
      <c r="B46" s="42">
        <v>27.1</v>
      </c>
      <c r="C46" s="42">
        <v>0</v>
      </c>
      <c r="D46" s="42"/>
      <c r="E46" s="42">
        <v>27</v>
      </c>
      <c r="F46" s="99">
        <v>17.5</v>
      </c>
      <c r="G46" s="42">
        <v>9.5</v>
      </c>
      <c r="H46" s="42">
        <v>126.2</v>
      </c>
      <c r="I46" s="42">
        <v>58.4</v>
      </c>
      <c r="J46" s="41">
        <v>228</v>
      </c>
      <c r="K46" s="42">
        <v>21.4</v>
      </c>
      <c r="L46" s="42">
        <v>39</v>
      </c>
    </row>
    <row r="47" spans="1:13" ht="15">
      <c r="A47" s="44">
        <v>2016</v>
      </c>
      <c r="B47" s="42">
        <v>32.200000000000003</v>
      </c>
      <c r="C47" s="42">
        <v>0.7</v>
      </c>
      <c r="D47" s="42"/>
      <c r="E47" s="42">
        <v>31.6</v>
      </c>
      <c r="F47" s="96">
        <v>27.8</v>
      </c>
      <c r="G47" s="42">
        <v>3.8</v>
      </c>
      <c r="H47" s="42">
        <v>162.4</v>
      </c>
      <c r="I47" s="42">
        <v>75</v>
      </c>
      <c r="J47" s="41">
        <v>254</v>
      </c>
      <c r="K47" s="42">
        <v>19.899999999999999</v>
      </c>
      <c r="L47" s="42">
        <v>33.799999999999997</v>
      </c>
    </row>
    <row r="48" spans="1:13" ht="15">
      <c r="A48" s="44">
        <v>2017</v>
      </c>
      <c r="B48" s="42">
        <v>47.3</v>
      </c>
      <c r="C48" s="42">
        <v>1.7</v>
      </c>
      <c r="D48" s="42">
        <v>1</v>
      </c>
      <c r="E48" s="42">
        <v>44.6</v>
      </c>
      <c r="F48" s="96">
        <v>42.3</v>
      </c>
      <c r="G48" s="42">
        <v>2.2999999999999998</v>
      </c>
      <c r="H48" s="42">
        <v>230.2</v>
      </c>
      <c r="I48" s="42">
        <v>110.7</v>
      </c>
      <c r="J48" s="41">
        <v>463</v>
      </c>
      <c r="K48" s="42">
        <v>20.5</v>
      </c>
      <c r="L48" s="42">
        <v>41.9</v>
      </c>
    </row>
    <row r="49" spans="1:12" ht="15">
      <c r="A49" s="40">
        <v>2018</v>
      </c>
      <c r="B49" s="42">
        <v>54.1</v>
      </c>
      <c r="C49" s="42">
        <v>6.3</v>
      </c>
      <c r="D49" s="42">
        <v>2.6</v>
      </c>
      <c r="E49" s="42">
        <v>45.2</v>
      </c>
      <c r="F49" s="96">
        <v>43</v>
      </c>
      <c r="G49" s="42">
        <v>2.2000000000000002</v>
      </c>
      <c r="H49" s="42">
        <v>357.3</v>
      </c>
      <c r="I49" s="42">
        <v>119.1</v>
      </c>
      <c r="J49" s="41">
        <v>880</v>
      </c>
      <c r="K49" s="42">
        <v>15.1</v>
      </c>
      <c r="L49" s="42">
        <v>73.900000000000006</v>
      </c>
    </row>
    <row r="50" spans="1:12" ht="15">
      <c r="A50" s="40">
        <v>2019</v>
      </c>
      <c r="B50" s="42">
        <v>72.099999999999994</v>
      </c>
      <c r="C50" s="42">
        <v>13.3</v>
      </c>
      <c r="D50" s="42">
        <v>4.5999999999999996</v>
      </c>
      <c r="E50" s="42">
        <v>54.2</v>
      </c>
      <c r="F50" s="99">
        <v>51.6</v>
      </c>
      <c r="G50" s="42">
        <v>2.6</v>
      </c>
      <c r="H50" s="96">
        <v>442</v>
      </c>
      <c r="I50" s="42">
        <v>174.7</v>
      </c>
      <c r="J50" s="41">
        <v>550</v>
      </c>
      <c r="K50" s="42">
        <v>16.3</v>
      </c>
      <c r="L50" s="42">
        <v>31.5</v>
      </c>
    </row>
    <row r="51" spans="1:12" ht="15">
      <c r="A51" s="40">
        <v>2020</v>
      </c>
      <c r="B51" s="42">
        <v>103.4</v>
      </c>
      <c r="C51" s="42">
        <v>31.5</v>
      </c>
      <c r="D51" s="42">
        <v>9.3000000000000007</v>
      </c>
      <c r="E51" s="42">
        <v>62.6</v>
      </c>
      <c r="F51" s="99">
        <v>55.4</v>
      </c>
      <c r="G51" s="42">
        <v>7.1</v>
      </c>
      <c r="H51" s="96">
        <v>487</v>
      </c>
      <c r="I51" s="42">
        <v>244.9</v>
      </c>
      <c r="J51" s="41">
        <v>697</v>
      </c>
      <c r="K51" s="42">
        <v>21.2</v>
      </c>
      <c r="L51" s="42">
        <v>28.5</v>
      </c>
    </row>
    <row r="52" spans="1:12" ht="15">
      <c r="A52" s="45">
        <v>2021</v>
      </c>
      <c r="B52" s="47">
        <v>112</v>
      </c>
      <c r="C52" s="47">
        <v>25.6</v>
      </c>
      <c r="D52" s="47">
        <v>23.7</v>
      </c>
      <c r="E52" s="47">
        <v>62.7</v>
      </c>
      <c r="F52" s="100">
        <v>58.4</v>
      </c>
      <c r="G52" s="47">
        <v>4.3</v>
      </c>
      <c r="H52" s="97">
        <v>443</v>
      </c>
      <c r="I52" s="47">
        <v>220.5</v>
      </c>
      <c r="J52" s="46">
        <v>617</v>
      </c>
      <c r="K52" s="47">
        <v>25.3</v>
      </c>
      <c r="L52" s="47">
        <v>28</v>
      </c>
    </row>
  </sheetData>
  <mergeCells count="7">
    <mergeCell ref="L4:L5"/>
    <mergeCell ref="A4:A5"/>
    <mergeCell ref="B4:G4"/>
    <mergeCell ref="H4:H5"/>
    <mergeCell ref="I4:I5"/>
    <mergeCell ref="J4:J5"/>
    <mergeCell ref="K4:K5"/>
  </mergeCells>
  <phoneticPr fontId="3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54"/>
  <sheetViews>
    <sheetView zoomScale="90" zoomScaleNormal="90" workbookViewId="0">
      <selection activeCell="M47" sqref="M47"/>
    </sheetView>
  </sheetViews>
  <sheetFormatPr defaultRowHeight="13.5"/>
  <cols>
    <col min="1" max="1" width="16.125" customWidth="1"/>
    <col min="2" max="14" width="7.625" customWidth="1"/>
  </cols>
  <sheetData>
    <row r="1" spans="1:26">
      <c r="A1" t="s">
        <v>12</v>
      </c>
    </row>
    <row r="3" spans="1:26" ht="15">
      <c r="A3" s="28" t="s">
        <v>71</v>
      </c>
      <c r="B3" s="10"/>
      <c r="C3" s="1"/>
      <c r="D3" s="1"/>
      <c r="E3" s="1"/>
      <c r="F3" s="1"/>
      <c r="G3" s="1"/>
      <c r="H3" s="1"/>
      <c r="I3" s="1"/>
      <c r="J3" s="1"/>
      <c r="K3" s="1"/>
      <c r="L3" s="1"/>
      <c r="M3" s="10"/>
    </row>
    <row r="4" spans="1:26" ht="15">
      <c r="A4" s="32"/>
      <c r="B4" s="107">
        <v>1980</v>
      </c>
      <c r="C4" s="107">
        <v>1981</v>
      </c>
      <c r="D4" s="107">
        <v>1982</v>
      </c>
      <c r="E4" s="107">
        <v>1983</v>
      </c>
      <c r="F4" s="107">
        <v>1984</v>
      </c>
      <c r="G4" s="107">
        <v>1985</v>
      </c>
      <c r="H4" s="107">
        <v>1986</v>
      </c>
      <c r="I4" s="107">
        <v>1987</v>
      </c>
      <c r="J4" s="107">
        <v>1988</v>
      </c>
      <c r="K4" s="107">
        <v>1989</v>
      </c>
      <c r="L4" s="107">
        <v>1990</v>
      </c>
      <c r="M4" s="107">
        <v>1991</v>
      </c>
      <c r="N4" s="107">
        <v>1992</v>
      </c>
      <c r="O4" s="79"/>
      <c r="P4" s="12"/>
      <c r="Q4" s="12"/>
      <c r="R4" s="12"/>
      <c r="S4" s="12"/>
      <c r="T4" s="12"/>
      <c r="U4" s="12"/>
      <c r="V4" s="12"/>
      <c r="W4" s="12"/>
      <c r="X4" s="12"/>
    </row>
    <row r="5" spans="1:26" ht="15">
      <c r="A5" s="3" t="s">
        <v>8</v>
      </c>
      <c r="B5" s="108">
        <v>150</v>
      </c>
      <c r="C5" s="108">
        <v>109</v>
      </c>
      <c r="D5" s="108">
        <v>43</v>
      </c>
      <c r="E5" s="108">
        <v>79</v>
      </c>
      <c r="F5" s="108">
        <v>244</v>
      </c>
      <c r="G5" s="108">
        <v>153</v>
      </c>
      <c r="H5" s="108">
        <v>734</v>
      </c>
      <c r="I5" s="108">
        <v>285</v>
      </c>
      <c r="J5" s="108">
        <v>277</v>
      </c>
      <c r="K5" s="108">
        <v>420</v>
      </c>
      <c r="L5" s="108">
        <v>3379</v>
      </c>
      <c r="M5" s="108">
        <v>2632</v>
      </c>
      <c r="N5" s="108">
        <v>697</v>
      </c>
      <c r="O5" s="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15">
      <c r="A6" s="13" t="s">
        <v>9</v>
      </c>
      <c r="B6" s="109">
        <v>562</v>
      </c>
      <c r="C6" s="109">
        <v>989</v>
      </c>
      <c r="D6" s="109">
        <v>892</v>
      </c>
      <c r="E6" s="109">
        <v>622</v>
      </c>
      <c r="F6" s="109">
        <v>1158</v>
      </c>
      <c r="G6" s="109">
        <v>2052</v>
      </c>
      <c r="H6" s="109">
        <v>5614</v>
      </c>
      <c r="I6" s="109">
        <v>1462</v>
      </c>
      <c r="J6" s="109">
        <v>2727</v>
      </c>
      <c r="K6" s="109">
        <v>2328</v>
      </c>
      <c r="L6" s="109">
        <v>4304</v>
      </c>
      <c r="M6" s="109">
        <v>3423</v>
      </c>
      <c r="N6" s="109">
        <v>1754</v>
      </c>
      <c r="O6" s="4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15">
      <c r="A7" s="25"/>
      <c r="B7" s="110">
        <v>1993</v>
      </c>
      <c r="C7" s="110">
        <v>1994</v>
      </c>
      <c r="D7" s="110">
        <v>1995</v>
      </c>
      <c r="E7" s="110">
        <v>1996</v>
      </c>
      <c r="F7" s="110">
        <v>1997</v>
      </c>
      <c r="G7" s="110">
        <v>1998</v>
      </c>
      <c r="H7" s="110">
        <v>1999</v>
      </c>
      <c r="I7" s="110">
        <v>2000</v>
      </c>
      <c r="J7" s="110">
        <v>2001</v>
      </c>
      <c r="K7" s="110">
        <v>2002</v>
      </c>
      <c r="L7" s="110">
        <v>2003</v>
      </c>
      <c r="M7" s="110">
        <v>2004</v>
      </c>
      <c r="N7" s="110">
        <v>2005</v>
      </c>
      <c r="O7" s="79"/>
      <c r="P7" s="12"/>
      <c r="Q7" s="12"/>
      <c r="R7" s="12"/>
      <c r="S7" s="12"/>
      <c r="T7" s="12"/>
      <c r="U7" s="12"/>
      <c r="V7" s="12"/>
      <c r="W7" s="12"/>
      <c r="X7" s="12"/>
    </row>
    <row r="8" spans="1:26" ht="15">
      <c r="A8" s="3" t="s">
        <v>8</v>
      </c>
      <c r="B8" s="108">
        <v>48</v>
      </c>
      <c r="C8" s="108">
        <v>61</v>
      </c>
      <c r="D8" s="108">
        <v>26</v>
      </c>
      <c r="E8" s="108">
        <v>22</v>
      </c>
      <c r="F8" s="108">
        <v>49</v>
      </c>
      <c r="G8" s="108">
        <v>42</v>
      </c>
      <c r="H8" s="108">
        <v>35</v>
      </c>
      <c r="I8" s="108">
        <v>170</v>
      </c>
      <c r="J8" s="108">
        <v>32</v>
      </c>
      <c r="K8" s="108">
        <v>12</v>
      </c>
      <c r="L8" s="108">
        <v>7</v>
      </c>
      <c r="M8" s="108">
        <v>18</v>
      </c>
      <c r="N8" s="111">
        <v>31</v>
      </c>
      <c r="O8" s="83"/>
      <c r="P8" s="12"/>
      <c r="Q8" s="12"/>
      <c r="R8" s="12"/>
      <c r="S8" s="12"/>
      <c r="T8" s="12"/>
      <c r="U8" s="12"/>
      <c r="V8" s="12"/>
      <c r="W8" s="12"/>
      <c r="X8" s="12"/>
    </row>
    <row r="9" spans="1:26" ht="15">
      <c r="A9" s="13" t="s">
        <v>9</v>
      </c>
      <c r="B9" s="109">
        <v>1280</v>
      </c>
      <c r="C9" s="109">
        <v>638</v>
      </c>
      <c r="D9" s="109">
        <v>143</v>
      </c>
      <c r="E9" s="109">
        <v>148</v>
      </c>
      <c r="F9" s="109">
        <v>172</v>
      </c>
      <c r="G9" s="109">
        <v>121</v>
      </c>
      <c r="H9" s="109">
        <v>145</v>
      </c>
      <c r="I9" s="109">
        <v>283</v>
      </c>
      <c r="J9" s="109">
        <v>63</v>
      </c>
      <c r="K9" s="109">
        <v>33</v>
      </c>
      <c r="L9" s="109">
        <v>44</v>
      </c>
      <c r="M9" s="109">
        <v>62</v>
      </c>
      <c r="N9" s="109">
        <v>101</v>
      </c>
      <c r="O9" s="4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15">
      <c r="A10" s="25"/>
      <c r="B10" s="112">
        <v>2006</v>
      </c>
      <c r="C10" s="112">
        <v>2007</v>
      </c>
      <c r="D10" s="112">
        <v>2008</v>
      </c>
      <c r="E10" s="112">
        <v>2009</v>
      </c>
      <c r="F10" s="112">
        <v>2010</v>
      </c>
      <c r="G10" s="112">
        <v>2011</v>
      </c>
      <c r="H10" s="112">
        <v>2012</v>
      </c>
      <c r="I10" s="112">
        <v>2013</v>
      </c>
      <c r="J10" s="112">
        <v>2014</v>
      </c>
      <c r="K10" s="112">
        <v>2015</v>
      </c>
      <c r="L10" s="112">
        <v>2016</v>
      </c>
      <c r="M10" s="112">
        <v>2017</v>
      </c>
      <c r="N10" s="112">
        <v>2018</v>
      </c>
      <c r="O10" s="3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5">
      <c r="A11" s="3" t="s">
        <v>8</v>
      </c>
      <c r="B11" s="111">
        <v>7</v>
      </c>
      <c r="C11" s="111">
        <v>32</v>
      </c>
      <c r="D11" s="111">
        <v>13</v>
      </c>
      <c r="E11" s="111">
        <v>24</v>
      </c>
      <c r="F11" s="111">
        <v>37</v>
      </c>
      <c r="G11" s="111">
        <v>52</v>
      </c>
      <c r="H11" s="111">
        <v>116</v>
      </c>
      <c r="I11" s="111">
        <v>134</v>
      </c>
      <c r="J11" s="111">
        <v>306</v>
      </c>
      <c r="K11" s="111">
        <v>146</v>
      </c>
      <c r="L11" s="111">
        <v>241</v>
      </c>
      <c r="M11" s="111">
        <v>452</v>
      </c>
      <c r="N11" s="111">
        <v>1354</v>
      </c>
      <c r="O11" s="83"/>
      <c r="P11" s="12"/>
      <c r="Q11" s="12"/>
      <c r="R11" s="12"/>
      <c r="S11" s="12"/>
      <c r="T11" s="12"/>
      <c r="U11" s="12"/>
      <c r="V11" s="12"/>
      <c r="W11" s="12"/>
      <c r="X11" s="12"/>
    </row>
    <row r="12" spans="1:26" ht="15">
      <c r="A12" s="13" t="s">
        <v>9</v>
      </c>
      <c r="B12" s="113">
        <v>38</v>
      </c>
      <c r="C12" s="113">
        <v>148</v>
      </c>
      <c r="D12" s="113">
        <v>84</v>
      </c>
      <c r="E12" s="113">
        <v>118</v>
      </c>
      <c r="F12" s="113">
        <v>75</v>
      </c>
      <c r="G12" s="113">
        <v>120</v>
      </c>
      <c r="H12" s="113">
        <v>192</v>
      </c>
      <c r="I12" s="113">
        <v>245</v>
      </c>
      <c r="J12" s="113">
        <v>426</v>
      </c>
      <c r="K12" s="113">
        <v>228</v>
      </c>
      <c r="L12" s="113">
        <v>347</v>
      </c>
      <c r="M12" s="113">
        <v>531</v>
      </c>
      <c r="N12" s="113">
        <v>1378</v>
      </c>
      <c r="O12" s="2"/>
      <c r="P12" s="12"/>
      <c r="Q12" s="12"/>
      <c r="R12" s="12"/>
      <c r="S12" s="12"/>
      <c r="T12" s="12"/>
      <c r="U12" s="12"/>
      <c r="V12" s="12"/>
      <c r="W12" s="12"/>
      <c r="X12" s="12"/>
    </row>
    <row r="13" spans="1:26" ht="15">
      <c r="A13" s="25"/>
      <c r="B13" s="112">
        <v>2019</v>
      </c>
      <c r="C13" s="112">
        <v>2020</v>
      </c>
      <c r="D13" s="112">
        <v>2021</v>
      </c>
      <c r="E13" s="112">
        <v>2022</v>
      </c>
      <c r="F13" s="2"/>
      <c r="G13" s="2"/>
      <c r="H13" s="2"/>
      <c r="I13" s="2"/>
      <c r="J13" s="2"/>
      <c r="K13" s="2"/>
      <c r="L13" s="2"/>
      <c r="M13" s="2"/>
      <c r="N13" s="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15">
      <c r="A14" s="3" t="s">
        <v>8</v>
      </c>
      <c r="B14" s="111">
        <v>1804</v>
      </c>
      <c r="C14" s="111">
        <v>681</v>
      </c>
      <c r="D14" s="111">
        <v>1066</v>
      </c>
      <c r="E14" s="111">
        <v>1308</v>
      </c>
      <c r="F14" s="114"/>
      <c r="G14" s="2"/>
      <c r="H14" s="2"/>
      <c r="I14" s="2"/>
      <c r="J14" s="2"/>
      <c r="K14" s="2"/>
      <c r="L14" s="2"/>
      <c r="M14" s="2"/>
      <c r="N14" s="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15">
      <c r="A15" s="13" t="s">
        <v>9</v>
      </c>
      <c r="B15" s="113">
        <v>1892</v>
      </c>
      <c r="C15" s="113">
        <v>723</v>
      </c>
      <c r="D15" s="113">
        <v>1088</v>
      </c>
      <c r="E15" s="113">
        <v>1315</v>
      </c>
      <c r="F15" s="114"/>
      <c r="G15" s="2"/>
      <c r="H15" s="2"/>
      <c r="I15" s="2"/>
      <c r="J15" s="2"/>
      <c r="K15" s="2"/>
      <c r="L15" s="2"/>
      <c r="M15" s="2"/>
      <c r="N15" s="2"/>
    </row>
    <row r="16" spans="1:26" ht="15">
      <c r="A16" s="3"/>
      <c r="B16" s="5"/>
      <c r="C16" s="5"/>
      <c r="D16" s="5"/>
      <c r="E16" s="5"/>
      <c r="F16" s="5"/>
      <c r="G16" s="5"/>
      <c r="H16" s="6"/>
      <c r="I16" s="6"/>
      <c r="J16" s="6"/>
      <c r="K16" s="6"/>
      <c r="L16" s="2"/>
      <c r="M16" s="2"/>
    </row>
    <row r="17" spans="1:24" ht="15">
      <c r="A17" s="23" t="s">
        <v>33</v>
      </c>
      <c r="B17" s="9"/>
      <c r="C17" s="9"/>
      <c r="D17" s="9"/>
      <c r="E17" s="9"/>
      <c r="F17" s="9"/>
      <c r="G17" s="9"/>
      <c r="H17" s="1"/>
      <c r="I17" s="1"/>
      <c r="J17" s="1"/>
      <c r="K17" s="1"/>
      <c r="L17" s="1"/>
      <c r="M17" s="1"/>
    </row>
    <row r="18" spans="1:24" ht="15" customHeight="1">
      <c r="A18" s="202" t="s">
        <v>72</v>
      </c>
      <c r="B18" s="110">
        <v>1996</v>
      </c>
      <c r="C18" s="110">
        <v>1997</v>
      </c>
      <c r="D18" s="110">
        <v>1998</v>
      </c>
      <c r="E18" s="110">
        <v>1999</v>
      </c>
      <c r="F18" s="110">
        <v>2000</v>
      </c>
      <c r="G18" s="110">
        <v>2001</v>
      </c>
      <c r="H18" s="110">
        <v>2002</v>
      </c>
      <c r="I18" s="110">
        <v>2003</v>
      </c>
      <c r="J18" s="110">
        <v>2004</v>
      </c>
      <c r="K18" s="110">
        <v>2005</v>
      </c>
      <c r="L18" s="79"/>
      <c r="M18" s="10"/>
    </row>
    <row r="19" spans="1:24" ht="15">
      <c r="A19" s="203"/>
      <c r="B19" s="115">
        <v>187.4</v>
      </c>
      <c r="C19" s="115">
        <v>45</v>
      </c>
      <c r="D19" s="115">
        <v>60.1</v>
      </c>
      <c r="E19" s="115">
        <v>6.1</v>
      </c>
      <c r="F19" s="115">
        <v>45.7</v>
      </c>
      <c r="G19" s="115">
        <v>0.1</v>
      </c>
      <c r="H19" s="115">
        <v>0.8</v>
      </c>
      <c r="I19" s="115">
        <v>0.1</v>
      </c>
      <c r="J19" s="115">
        <v>0.6</v>
      </c>
      <c r="K19" s="115">
        <v>5</v>
      </c>
      <c r="L19" s="30"/>
      <c r="M19" s="10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</row>
    <row r="20" spans="1:24" ht="15">
      <c r="A20" s="203"/>
      <c r="B20" s="110">
        <v>2006</v>
      </c>
      <c r="C20" s="110">
        <v>2007</v>
      </c>
      <c r="D20" s="110">
        <v>2008</v>
      </c>
      <c r="E20" s="110">
        <v>2009</v>
      </c>
      <c r="F20" s="110">
        <v>2010</v>
      </c>
      <c r="G20" s="110">
        <v>2011</v>
      </c>
      <c r="H20" s="110">
        <v>2012</v>
      </c>
      <c r="I20" s="110">
        <v>2013</v>
      </c>
      <c r="J20" s="110">
        <v>2014</v>
      </c>
      <c r="K20" s="110">
        <v>2015</v>
      </c>
      <c r="L20" s="79"/>
      <c r="M20" s="29"/>
    </row>
    <row r="21" spans="1:24" ht="15">
      <c r="A21" s="203"/>
      <c r="B21" s="115">
        <v>0.4</v>
      </c>
      <c r="C21" s="115">
        <v>3.2</v>
      </c>
      <c r="D21" s="115">
        <v>1.2</v>
      </c>
      <c r="E21" s="115">
        <v>16.8</v>
      </c>
      <c r="F21" s="115">
        <v>391.4</v>
      </c>
      <c r="G21" s="115">
        <v>28.8</v>
      </c>
      <c r="H21" s="115">
        <v>123.2</v>
      </c>
      <c r="I21" s="115">
        <v>139.1</v>
      </c>
      <c r="J21" s="115">
        <v>158</v>
      </c>
      <c r="K21" s="115">
        <v>101.5</v>
      </c>
      <c r="L21" s="30"/>
      <c r="M21" s="30"/>
    </row>
    <row r="22" spans="1:24" ht="15">
      <c r="A22" s="203"/>
      <c r="B22" s="110">
        <v>2016</v>
      </c>
      <c r="C22" s="110">
        <v>2017</v>
      </c>
      <c r="D22" s="110">
        <v>2018</v>
      </c>
      <c r="E22" s="110">
        <v>2019</v>
      </c>
      <c r="F22" s="110">
        <v>2020</v>
      </c>
      <c r="G22" s="110">
        <v>2021</v>
      </c>
      <c r="H22" s="110">
        <v>2022</v>
      </c>
      <c r="I22" s="33"/>
      <c r="J22" s="33"/>
      <c r="K22" s="33"/>
      <c r="L22" s="33"/>
      <c r="M22" s="1"/>
    </row>
    <row r="23" spans="1:24" ht="15">
      <c r="A23" s="204"/>
      <c r="B23" s="115">
        <v>102.6</v>
      </c>
      <c r="C23" s="115">
        <v>91.9</v>
      </c>
      <c r="D23" s="115">
        <v>524.79999999999995</v>
      </c>
      <c r="E23" s="115">
        <v>248.1</v>
      </c>
      <c r="F23" s="115">
        <v>257.10000000000002</v>
      </c>
      <c r="G23" s="115">
        <v>836.3</v>
      </c>
      <c r="H23" s="115">
        <v>646.9</v>
      </c>
      <c r="I23" s="33"/>
      <c r="J23" s="33"/>
      <c r="K23" s="33"/>
      <c r="L23" s="33"/>
      <c r="M23" s="1"/>
    </row>
    <row r="24" spans="1:24" ht="15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"/>
      <c r="L24" s="1"/>
      <c r="M24" s="1"/>
    </row>
    <row r="25" spans="1:24" ht="15">
      <c r="A25" s="1"/>
      <c r="B25" s="9"/>
      <c r="C25" s="9"/>
      <c r="D25" s="9"/>
      <c r="E25" s="9"/>
      <c r="F25" s="9"/>
      <c r="G25" s="9"/>
      <c r="H25" s="1"/>
      <c r="I25" s="1"/>
      <c r="J25" s="1"/>
      <c r="K25" s="1"/>
      <c r="L25" s="1"/>
      <c r="M25" s="1"/>
    </row>
    <row r="26" spans="1:24" ht="15">
      <c r="A26" s="23" t="s">
        <v>32</v>
      </c>
      <c r="B26" s="9"/>
      <c r="C26" s="9"/>
      <c r="D26" s="9"/>
      <c r="E26" s="9"/>
      <c r="F26" s="9"/>
      <c r="G26" s="9"/>
      <c r="H26" s="1"/>
      <c r="I26" s="1"/>
      <c r="J26" s="1"/>
      <c r="K26" s="1"/>
      <c r="L26" s="1"/>
      <c r="M26" s="1"/>
    </row>
    <row r="27" spans="1:24" ht="15">
      <c r="A27" s="26"/>
      <c r="B27" s="110">
        <v>2001</v>
      </c>
      <c r="C27" s="110">
        <v>2002</v>
      </c>
      <c r="D27" s="110">
        <v>2003</v>
      </c>
      <c r="E27" s="110">
        <v>2004</v>
      </c>
      <c r="F27" s="110">
        <v>2005</v>
      </c>
      <c r="G27" s="110">
        <v>2006</v>
      </c>
      <c r="H27" s="110">
        <v>2007</v>
      </c>
      <c r="I27" s="110">
        <v>2008</v>
      </c>
      <c r="J27" s="110">
        <v>2009</v>
      </c>
      <c r="K27" s="110">
        <v>2010</v>
      </c>
      <c r="L27" s="110">
        <v>2011</v>
      </c>
      <c r="M27" s="29"/>
    </row>
    <row r="28" spans="1:24" ht="15">
      <c r="A28" s="3" t="s">
        <v>6</v>
      </c>
      <c r="B28" s="4">
        <v>0</v>
      </c>
      <c r="C28" s="4">
        <v>5</v>
      </c>
      <c r="D28" s="4">
        <v>1</v>
      </c>
      <c r="E28" s="4">
        <v>0</v>
      </c>
      <c r="F28" s="4">
        <v>1</v>
      </c>
      <c r="G28" s="4">
        <v>0</v>
      </c>
      <c r="H28" s="4">
        <v>1</v>
      </c>
      <c r="I28" s="4">
        <v>1</v>
      </c>
      <c r="J28" s="4">
        <v>5</v>
      </c>
      <c r="K28" s="4">
        <v>78</v>
      </c>
      <c r="L28" s="4">
        <v>19</v>
      </c>
      <c r="M28" s="4"/>
    </row>
    <row r="29" spans="1:24" ht="15">
      <c r="A29" s="3" t="s">
        <v>7</v>
      </c>
      <c r="B29" s="14">
        <v>19</v>
      </c>
      <c r="C29" s="14">
        <v>2</v>
      </c>
      <c r="D29" s="14">
        <v>8</v>
      </c>
      <c r="E29" s="14">
        <v>1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5</v>
      </c>
      <c r="L29" s="14">
        <v>10</v>
      </c>
      <c r="M29" s="4"/>
    </row>
    <row r="30" spans="1:24" ht="15">
      <c r="A30" s="26"/>
      <c r="B30" s="110">
        <v>2012</v>
      </c>
      <c r="C30" s="110">
        <v>2013</v>
      </c>
      <c r="D30" s="110">
        <v>2014</v>
      </c>
      <c r="E30" s="110">
        <v>2015</v>
      </c>
      <c r="F30" s="110">
        <v>2016</v>
      </c>
      <c r="G30" s="110">
        <v>2017</v>
      </c>
      <c r="H30" s="110">
        <v>2018</v>
      </c>
      <c r="I30" s="110">
        <v>2019</v>
      </c>
      <c r="J30" s="110">
        <v>2020</v>
      </c>
      <c r="K30" s="110">
        <v>2021</v>
      </c>
      <c r="L30" s="110">
        <v>2022</v>
      </c>
      <c r="M30" s="1"/>
    </row>
    <row r="31" spans="1:24" ht="15">
      <c r="A31" s="3" t="s">
        <v>6</v>
      </c>
      <c r="B31" s="4">
        <v>18</v>
      </c>
      <c r="C31" s="4">
        <v>8</v>
      </c>
      <c r="D31" s="4">
        <v>259</v>
      </c>
      <c r="E31" s="4">
        <v>313</v>
      </c>
      <c r="F31" s="4">
        <v>4791</v>
      </c>
      <c r="G31" s="4">
        <v>15107</v>
      </c>
      <c r="H31" s="4">
        <v>85559</v>
      </c>
      <c r="I31" s="4">
        <v>8417</v>
      </c>
      <c r="J31" s="116">
        <v>241930</v>
      </c>
      <c r="K31" s="4">
        <v>40117</v>
      </c>
      <c r="L31" s="4">
        <v>1850</v>
      </c>
      <c r="M31" s="10"/>
    </row>
    <row r="32" spans="1:24" ht="15">
      <c r="A32" s="17" t="s">
        <v>7</v>
      </c>
      <c r="B32" s="14">
        <v>14</v>
      </c>
      <c r="C32" s="14">
        <v>14</v>
      </c>
      <c r="D32" s="14">
        <v>11</v>
      </c>
      <c r="E32" s="14">
        <v>14</v>
      </c>
      <c r="F32" s="14">
        <v>3</v>
      </c>
      <c r="G32" s="14">
        <v>7</v>
      </c>
      <c r="H32" s="14">
        <v>22</v>
      </c>
      <c r="I32" s="14">
        <v>583</v>
      </c>
      <c r="J32" s="117">
        <v>1332458</v>
      </c>
      <c r="K32" s="14">
        <v>520</v>
      </c>
      <c r="L32" s="14">
        <v>815</v>
      </c>
      <c r="M32" s="10"/>
    </row>
    <row r="33" spans="1:14" ht="15">
      <c r="A33" s="10"/>
      <c r="B33" s="11"/>
      <c r="C33" s="10"/>
      <c r="D33" s="10"/>
      <c r="E33" s="10"/>
      <c r="F33" s="10"/>
      <c r="G33" s="10"/>
      <c r="H33" s="10"/>
      <c r="I33" s="10"/>
      <c r="K33" s="10"/>
      <c r="L33" s="10"/>
      <c r="M33" s="10"/>
    </row>
    <row r="34" spans="1:14" ht="1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</row>
    <row r="35" spans="1:14" ht="15">
      <c r="A35" s="23" t="s">
        <v>31</v>
      </c>
      <c r="B35" s="5"/>
      <c r="C35" s="5"/>
      <c r="D35" s="5"/>
      <c r="E35" s="5"/>
      <c r="F35" s="5"/>
      <c r="G35" s="5"/>
      <c r="H35" s="6"/>
      <c r="I35" s="10"/>
      <c r="J35" s="10"/>
      <c r="K35" s="10"/>
      <c r="L35" s="1"/>
      <c r="M35" s="1"/>
    </row>
    <row r="36" spans="1:14" ht="15">
      <c r="A36" s="26"/>
      <c r="B36" s="118">
        <v>2005</v>
      </c>
      <c r="C36" s="118">
        <v>2006</v>
      </c>
      <c r="D36" s="118">
        <v>2007</v>
      </c>
      <c r="E36" s="118">
        <v>2008</v>
      </c>
      <c r="F36" s="118">
        <v>2009</v>
      </c>
      <c r="G36" s="118">
        <v>2010</v>
      </c>
      <c r="H36" s="118">
        <v>2011</v>
      </c>
      <c r="I36" s="118">
        <v>2012</v>
      </c>
      <c r="J36" s="118">
        <v>2013</v>
      </c>
      <c r="K36" s="118">
        <v>2014</v>
      </c>
      <c r="L36" s="80"/>
      <c r="M36" s="31"/>
      <c r="N36" s="31"/>
    </row>
    <row r="37" spans="1:14" ht="15">
      <c r="A37" s="3" t="s">
        <v>1</v>
      </c>
      <c r="B37" s="34">
        <v>1203</v>
      </c>
      <c r="C37" s="34">
        <v>63</v>
      </c>
      <c r="D37" s="18">
        <v>60</v>
      </c>
      <c r="E37" s="34">
        <v>1018</v>
      </c>
      <c r="F37" s="34">
        <v>1415</v>
      </c>
      <c r="G37" s="34">
        <v>15258</v>
      </c>
      <c r="H37" s="34">
        <v>7359</v>
      </c>
      <c r="I37" s="34">
        <v>5715</v>
      </c>
      <c r="J37" s="34">
        <v>6601</v>
      </c>
      <c r="K37" s="34">
        <v>11892</v>
      </c>
      <c r="L37" s="34"/>
      <c r="M37" s="18"/>
      <c r="N37" s="18"/>
    </row>
    <row r="38" spans="1:14" ht="15">
      <c r="A38" s="17" t="s">
        <v>2</v>
      </c>
      <c r="B38" s="19">
        <v>1284</v>
      </c>
      <c r="C38" s="19">
        <v>62</v>
      </c>
      <c r="D38" s="19">
        <v>70</v>
      </c>
      <c r="E38" s="19">
        <v>1236</v>
      </c>
      <c r="F38" s="19">
        <v>1792</v>
      </c>
      <c r="G38" s="19">
        <v>19645</v>
      </c>
      <c r="H38" s="19">
        <v>9199</v>
      </c>
      <c r="I38" s="19">
        <v>5569</v>
      </c>
      <c r="J38" s="19">
        <v>7765</v>
      </c>
      <c r="K38" s="19">
        <v>13140</v>
      </c>
      <c r="L38" s="18"/>
      <c r="M38" s="18"/>
      <c r="N38" s="18"/>
    </row>
    <row r="39" spans="1:14" ht="15">
      <c r="A39" s="26"/>
      <c r="B39" s="118">
        <v>2015</v>
      </c>
      <c r="C39" s="118">
        <v>2016</v>
      </c>
      <c r="D39" s="118">
        <v>2017</v>
      </c>
      <c r="E39" s="118">
        <v>2018</v>
      </c>
      <c r="F39" s="118">
        <v>2019</v>
      </c>
      <c r="G39" s="118">
        <v>2020</v>
      </c>
      <c r="H39" s="118">
        <v>2021</v>
      </c>
      <c r="I39" s="80"/>
      <c r="J39" s="33"/>
      <c r="K39" s="33"/>
      <c r="L39" s="33"/>
      <c r="M39" s="18"/>
      <c r="N39" s="18"/>
    </row>
    <row r="40" spans="1:14" ht="15">
      <c r="A40" s="3" t="s">
        <v>1</v>
      </c>
      <c r="B40" s="34">
        <v>34764</v>
      </c>
      <c r="C40" s="34">
        <v>15551</v>
      </c>
      <c r="D40" s="34">
        <v>17092</v>
      </c>
      <c r="E40" s="34">
        <v>54528</v>
      </c>
      <c r="F40" s="34">
        <v>13870</v>
      </c>
      <c r="G40" s="34">
        <v>23473</v>
      </c>
      <c r="H40" s="34">
        <v>36506</v>
      </c>
      <c r="I40" s="34"/>
      <c r="J40" s="33"/>
      <c r="K40" s="33"/>
      <c r="L40" s="33"/>
      <c r="M40" s="18"/>
      <c r="N40" s="18"/>
    </row>
    <row r="41" spans="1:14" ht="15">
      <c r="A41" s="17" t="s">
        <v>2</v>
      </c>
      <c r="B41" s="19">
        <v>32159</v>
      </c>
      <c r="C41" s="19">
        <v>22002</v>
      </c>
      <c r="D41" s="19">
        <v>14098</v>
      </c>
      <c r="E41" s="19">
        <v>98409</v>
      </c>
      <c r="F41" s="19">
        <v>23183</v>
      </c>
      <c r="G41" s="19">
        <v>46170</v>
      </c>
      <c r="H41" s="19">
        <v>68428</v>
      </c>
      <c r="I41" s="18"/>
      <c r="J41" s="33"/>
      <c r="K41" s="33"/>
      <c r="L41" s="33"/>
      <c r="M41" s="18"/>
      <c r="N41" s="18"/>
    </row>
    <row r="44" spans="1:14" ht="15">
      <c r="A44" s="23" t="s">
        <v>30</v>
      </c>
      <c r="B44" s="1"/>
      <c r="C44" s="9"/>
      <c r="D44" s="9"/>
      <c r="E44" s="9"/>
      <c r="F44" s="9"/>
      <c r="G44" s="9"/>
      <c r="H44" s="9"/>
      <c r="I44" s="1"/>
      <c r="J44" s="1"/>
      <c r="K44" s="1"/>
      <c r="L44" s="10"/>
      <c r="M44" s="10"/>
    </row>
    <row r="45" spans="1:14" ht="15" customHeight="1">
      <c r="A45" s="202" t="s">
        <v>11</v>
      </c>
      <c r="B45" s="119">
        <v>1976</v>
      </c>
      <c r="C45" s="119">
        <v>1977</v>
      </c>
      <c r="D45" s="119">
        <v>1978</v>
      </c>
      <c r="E45" s="119">
        <v>1979</v>
      </c>
      <c r="F45" s="119">
        <v>1980</v>
      </c>
      <c r="G45" s="119">
        <v>1981</v>
      </c>
      <c r="H45" s="119">
        <v>1982</v>
      </c>
      <c r="I45" s="119">
        <v>1983</v>
      </c>
      <c r="J45" s="119">
        <v>1984</v>
      </c>
      <c r="K45" s="119">
        <v>1985</v>
      </c>
      <c r="L45" s="81"/>
      <c r="M45" s="58"/>
      <c r="N45" s="59"/>
    </row>
    <row r="46" spans="1:14" ht="15">
      <c r="A46" s="203"/>
      <c r="B46" s="120">
        <v>7592</v>
      </c>
      <c r="C46" s="120">
        <v>4109</v>
      </c>
      <c r="D46" s="120">
        <v>16840</v>
      </c>
      <c r="E46" s="120">
        <v>11653</v>
      </c>
      <c r="F46" s="120">
        <v>2853</v>
      </c>
      <c r="G46" s="120">
        <v>53698</v>
      </c>
      <c r="H46" s="120">
        <v>41207</v>
      </c>
      <c r="I46" s="120">
        <v>6740</v>
      </c>
      <c r="J46" s="120">
        <v>50085</v>
      </c>
      <c r="K46" s="120">
        <v>41197</v>
      </c>
      <c r="L46" s="82"/>
      <c r="M46" s="60"/>
      <c r="N46" s="12"/>
    </row>
    <row r="47" spans="1:14" ht="15">
      <c r="A47" s="203"/>
      <c r="B47" s="119">
        <v>1986</v>
      </c>
      <c r="C47" s="119">
        <v>1987</v>
      </c>
      <c r="D47" s="119">
        <v>1988</v>
      </c>
      <c r="E47" s="119">
        <v>1989</v>
      </c>
      <c r="F47" s="119">
        <v>1990</v>
      </c>
      <c r="G47" s="119">
        <v>1991</v>
      </c>
      <c r="H47" s="119">
        <v>1992</v>
      </c>
      <c r="I47" s="119">
        <v>1993</v>
      </c>
      <c r="J47" s="119">
        <v>1994</v>
      </c>
      <c r="K47" s="119">
        <v>1995</v>
      </c>
      <c r="L47" s="81"/>
      <c r="M47" s="58"/>
      <c r="N47" s="59"/>
    </row>
    <row r="48" spans="1:14" ht="15">
      <c r="A48" s="203"/>
      <c r="B48" s="120">
        <v>62928</v>
      </c>
      <c r="C48" s="120">
        <v>42986</v>
      </c>
      <c r="D48" s="120">
        <v>39659</v>
      </c>
      <c r="E48" s="120">
        <v>1588</v>
      </c>
      <c r="F48" s="120">
        <v>5944</v>
      </c>
      <c r="G48" s="120">
        <v>224</v>
      </c>
      <c r="H48" s="120">
        <v>30</v>
      </c>
      <c r="I48" s="120">
        <v>30541</v>
      </c>
      <c r="J48" s="120">
        <v>5802</v>
      </c>
      <c r="K48" s="120">
        <v>5054</v>
      </c>
      <c r="L48" s="82"/>
      <c r="M48" s="60"/>
      <c r="N48" s="12"/>
    </row>
    <row r="49" spans="1:14" ht="15">
      <c r="A49" s="203"/>
      <c r="B49" s="119">
        <v>1996</v>
      </c>
      <c r="C49" s="119">
        <v>1997</v>
      </c>
      <c r="D49" s="119">
        <v>1998</v>
      </c>
      <c r="E49" s="119">
        <v>1999</v>
      </c>
      <c r="F49" s="119">
        <v>2000</v>
      </c>
      <c r="G49" s="119">
        <v>2001</v>
      </c>
      <c r="H49" s="119">
        <v>2002</v>
      </c>
      <c r="I49" s="119">
        <v>2003</v>
      </c>
      <c r="J49" s="119">
        <v>2004</v>
      </c>
      <c r="K49" s="119">
        <v>2005</v>
      </c>
      <c r="L49" s="81"/>
      <c r="M49" s="58"/>
      <c r="N49" s="59"/>
    </row>
    <row r="50" spans="1:14" ht="15">
      <c r="A50" s="203"/>
      <c r="B50" s="120">
        <v>239</v>
      </c>
      <c r="C50" s="120">
        <v>8481</v>
      </c>
      <c r="D50" s="120">
        <v>1136</v>
      </c>
      <c r="E50" s="120">
        <v>5763</v>
      </c>
      <c r="F50" s="120">
        <v>0</v>
      </c>
      <c r="G50" s="120">
        <v>8480</v>
      </c>
      <c r="H50" s="120">
        <v>122</v>
      </c>
      <c r="I50" s="120">
        <v>404</v>
      </c>
      <c r="J50" s="120">
        <v>342</v>
      </c>
      <c r="K50" s="120">
        <v>28</v>
      </c>
      <c r="L50" s="83"/>
      <c r="M50" s="60"/>
      <c r="N50" s="12"/>
    </row>
    <row r="51" spans="1:14" ht="15">
      <c r="A51" s="203"/>
      <c r="B51" s="119">
        <v>2006</v>
      </c>
      <c r="C51" s="119">
        <v>2007</v>
      </c>
      <c r="D51" s="119">
        <v>2008</v>
      </c>
      <c r="E51" s="119">
        <v>2009</v>
      </c>
      <c r="F51" s="119">
        <v>2010</v>
      </c>
      <c r="G51" s="119">
        <v>2011</v>
      </c>
      <c r="H51" s="119">
        <v>2012</v>
      </c>
      <c r="I51" s="119">
        <v>2013</v>
      </c>
      <c r="J51" s="119">
        <v>2014</v>
      </c>
      <c r="K51" s="119">
        <v>2015</v>
      </c>
      <c r="L51" s="81"/>
      <c r="M51" s="58"/>
      <c r="N51" s="59"/>
    </row>
    <row r="52" spans="1:14" ht="15">
      <c r="A52" s="203"/>
      <c r="B52" s="121">
        <v>1093</v>
      </c>
      <c r="C52" s="121">
        <v>371</v>
      </c>
      <c r="D52" s="121">
        <v>385</v>
      </c>
      <c r="E52" s="121">
        <v>921</v>
      </c>
      <c r="F52" s="121">
        <v>780</v>
      </c>
      <c r="G52" s="121">
        <v>3374</v>
      </c>
      <c r="H52" s="121">
        <v>408</v>
      </c>
      <c r="I52" s="121">
        <v>1397</v>
      </c>
      <c r="J52" s="121">
        <v>1757</v>
      </c>
      <c r="K52" s="121">
        <v>2065</v>
      </c>
      <c r="L52" s="83"/>
      <c r="M52" s="60"/>
      <c r="N52" s="12"/>
    </row>
    <row r="53" spans="1:14" ht="15">
      <c r="A53" s="203"/>
      <c r="B53" s="119">
        <v>2016</v>
      </c>
      <c r="C53" s="119">
        <v>2017</v>
      </c>
      <c r="D53" s="119">
        <v>2018</v>
      </c>
      <c r="E53" s="119">
        <v>2019</v>
      </c>
      <c r="F53" s="119">
        <v>2020</v>
      </c>
      <c r="G53" s="119">
        <v>2021</v>
      </c>
      <c r="H53" s="119">
        <v>2022</v>
      </c>
      <c r="I53" s="122"/>
      <c r="J53" s="122"/>
      <c r="K53" s="122"/>
      <c r="L53" s="58"/>
      <c r="M53" s="58"/>
      <c r="N53" s="59"/>
    </row>
    <row r="54" spans="1:14" ht="15">
      <c r="A54" s="204"/>
      <c r="B54" s="121">
        <v>2480</v>
      </c>
      <c r="C54" s="121">
        <v>1855</v>
      </c>
      <c r="D54" s="121">
        <v>2178</v>
      </c>
      <c r="E54" s="121">
        <v>6991</v>
      </c>
      <c r="F54" s="121">
        <v>17329</v>
      </c>
      <c r="G54" s="121">
        <v>11661</v>
      </c>
      <c r="H54" s="120">
        <v>630</v>
      </c>
      <c r="I54" s="123"/>
      <c r="J54" s="123"/>
      <c r="K54" s="123"/>
      <c r="L54" s="2"/>
      <c r="M54" s="2"/>
      <c r="N54" s="12"/>
    </row>
  </sheetData>
  <mergeCells count="2">
    <mergeCell ref="A18:A23"/>
    <mergeCell ref="A45:A54"/>
  </mergeCells>
  <phoneticPr fontId="3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B15F5-4925-4281-AAB7-C844217A37CF}">
  <dimension ref="A1:N38"/>
  <sheetViews>
    <sheetView topLeftCell="A3" zoomScale="80" zoomScaleNormal="80" workbookViewId="0">
      <selection activeCell="A36" sqref="A36:A38"/>
    </sheetView>
  </sheetViews>
  <sheetFormatPr defaultRowHeight="13.5"/>
  <sheetData>
    <row r="1" spans="1:14" ht="15">
      <c r="A1" t="s">
        <v>57</v>
      </c>
    </row>
    <row r="3" spans="1:14" ht="15">
      <c r="A3" s="91" t="s">
        <v>58</v>
      </c>
    </row>
    <row r="4" spans="1:14" ht="15">
      <c r="A4" s="88" t="s">
        <v>56</v>
      </c>
      <c r="B4" s="88">
        <v>2022</v>
      </c>
      <c r="C4" s="88">
        <v>2023</v>
      </c>
      <c r="D4" s="88">
        <v>2024</v>
      </c>
      <c r="E4" s="88">
        <v>2025</v>
      </c>
      <c r="F4" s="88">
        <v>2026</v>
      </c>
      <c r="G4" s="88">
        <v>2027</v>
      </c>
      <c r="H4" s="88">
        <v>2028</v>
      </c>
      <c r="I4" s="88">
        <v>2029</v>
      </c>
      <c r="J4" s="88">
        <v>2030</v>
      </c>
      <c r="K4" s="88">
        <v>2031</v>
      </c>
      <c r="L4" s="88">
        <v>2032</v>
      </c>
      <c r="M4" s="88">
        <v>2041</v>
      </c>
      <c r="N4" s="88">
        <v>2051</v>
      </c>
    </row>
    <row r="5" spans="1:14" ht="15">
      <c r="A5" s="89">
        <v>1</v>
      </c>
      <c r="B5" s="88">
        <v>100</v>
      </c>
      <c r="C5" s="88">
        <v>100</v>
      </c>
      <c r="D5" s="88">
        <v>100</v>
      </c>
      <c r="E5" s="88">
        <v>100</v>
      </c>
      <c r="F5" s="88">
        <v>100</v>
      </c>
      <c r="G5" s="88">
        <v>100</v>
      </c>
      <c r="H5" s="88">
        <v>100</v>
      </c>
      <c r="I5" s="88">
        <v>100</v>
      </c>
      <c r="J5" s="88">
        <v>98</v>
      </c>
      <c r="K5" s="88">
        <v>82</v>
      </c>
      <c r="L5" s="88">
        <v>71</v>
      </c>
      <c r="M5" s="88">
        <v>61</v>
      </c>
      <c r="N5" s="88">
        <v>35</v>
      </c>
    </row>
    <row r="6" spans="1:14" ht="15">
      <c r="A6" s="89">
        <v>0.9</v>
      </c>
      <c r="B6" s="88">
        <v>100</v>
      </c>
      <c r="C6" s="88">
        <v>100</v>
      </c>
      <c r="D6" s="88">
        <v>100</v>
      </c>
      <c r="E6" s="88">
        <v>100</v>
      </c>
      <c r="F6" s="88">
        <v>100</v>
      </c>
      <c r="G6" s="88">
        <v>100</v>
      </c>
      <c r="H6" s="88">
        <v>100</v>
      </c>
      <c r="I6" s="88">
        <v>100</v>
      </c>
      <c r="J6" s="88">
        <v>100</v>
      </c>
      <c r="K6" s="88">
        <v>92</v>
      </c>
      <c r="L6" s="88">
        <v>82</v>
      </c>
      <c r="M6" s="88">
        <v>68</v>
      </c>
      <c r="N6" s="88">
        <v>40</v>
      </c>
    </row>
    <row r="7" spans="1:14" ht="15">
      <c r="A7" s="90">
        <v>0.85</v>
      </c>
      <c r="B7" s="88">
        <v>100</v>
      </c>
      <c r="C7" s="88">
        <v>100</v>
      </c>
      <c r="D7" s="88">
        <v>100</v>
      </c>
      <c r="E7" s="88">
        <v>100</v>
      </c>
      <c r="F7" s="88">
        <v>100</v>
      </c>
      <c r="G7" s="88">
        <v>100</v>
      </c>
      <c r="H7" s="88">
        <v>100</v>
      </c>
      <c r="I7" s="88">
        <v>100</v>
      </c>
      <c r="J7" s="88">
        <v>100</v>
      </c>
      <c r="K7" s="88">
        <v>96</v>
      </c>
      <c r="L7" s="88">
        <v>87</v>
      </c>
      <c r="M7" s="88">
        <v>72</v>
      </c>
      <c r="N7" s="88">
        <v>43</v>
      </c>
    </row>
    <row r="8" spans="1:14" ht="15">
      <c r="A8" s="89">
        <v>0.8</v>
      </c>
      <c r="B8" s="88">
        <v>100</v>
      </c>
      <c r="C8" s="88">
        <v>100</v>
      </c>
      <c r="D8" s="88">
        <v>100</v>
      </c>
      <c r="E8" s="88">
        <v>100</v>
      </c>
      <c r="F8" s="88">
        <v>100</v>
      </c>
      <c r="G8" s="88">
        <v>100</v>
      </c>
      <c r="H8" s="88">
        <v>100</v>
      </c>
      <c r="I8" s="88">
        <v>100</v>
      </c>
      <c r="J8" s="88">
        <v>100</v>
      </c>
      <c r="K8" s="88">
        <v>98</v>
      </c>
      <c r="L8" s="88">
        <v>91</v>
      </c>
      <c r="M8" s="88">
        <v>76</v>
      </c>
      <c r="N8" s="88">
        <v>47</v>
      </c>
    </row>
    <row r="9" spans="1:14" ht="15">
      <c r="A9" s="89">
        <v>0.7</v>
      </c>
      <c r="B9" s="88">
        <v>100</v>
      </c>
      <c r="C9" s="88">
        <v>100</v>
      </c>
      <c r="D9" s="88">
        <v>100</v>
      </c>
      <c r="E9" s="88">
        <v>100</v>
      </c>
      <c r="F9" s="88">
        <v>100</v>
      </c>
      <c r="G9" s="88">
        <v>100</v>
      </c>
      <c r="H9" s="88">
        <v>100</v>
      </c>
      <c r="I9" s="88">
        <v>100</v>
      </c>
      <c r="J9" s="88">
        <v>100</v>
      </c>
      <c r="K9" s="88">
        <v>100</v>
      </c>
      <c r="L9" s="88">
        <v>98</v>
      </c>
      <c r="M9" s="88">
        <v>82</v>
      </c>
      <c r="N9" s="88">
        <v>54</v>
      </c>
    </row>
    <row r="10" spans="1:14" ht="15">
      <c r="A10" s="89">
        <v>0.6</v>
      </c>
      <c r="B10" s="88">
        <v>100</v>
      </c>
      <c r="C10" s="88">
        <v>100</v>
      </c>
      <c r="D10" s="88">
        <v>100</v>
      </c>
      <c r="E10" s="88">
        <v>100</v>
      </c>
      <c r="F10" s="88">
        <v>100</v>
      </c>
      <c r="G10" s="88">
        <v>100</v>
      </c>
      <c r="H10" s="88">
        <v>100</v>
      </c>
      <c r="I10" s="88">
        <v>100</v>
      </c>
      <c r="J10" s="88">
        <v>100</v>
      </c>
      <c r="K10" s="88">
        <v>100</v>
      </c>
      <c r="L10" s="88">
        <v>100</v>
      </c>
      <c r="M10" s="88">
        <v>88</v>
      </c>
      <c r="N10" s="88">
        <v>63</v>
      </c>
    </row>
    <row r="11" spans="1:14" ht="15">
      <c r="A11" s="89">
        <v>0.5</v>
      </c>
      <c r="B11" s="88">
        <v>100</v>
      </c>
      <c r="C11" s="88">
        <v>100</v>
      </c>
      <c r="D11" s="88">
        <v>100</v>
      </c>
      <c r="E11" s="88">
        <v>100</v>
      </c>
      <c r="F11" s="88">
        <v>100</v>
      </c>
      <c r="G11" s="88">
        <v>100</v>
      </c>
      <c r="H11" s="88">
        <v>100</v>
      </c>
      <c r="I11" s="88">
        <v>100</v>
      </c>
      <c r="J11" s="88">
        <v>100</v>
      </c>
      <c r="K11" s="88">
        <v>100</v>
      </c>
      <c r="L11" s="88">
        <v>100</v>
      </c>
      <c r="M11" s="88">
        <v>93</v>
      </c>
      <c r="N11" s="88">
        <v>72</v>
      </c>
    </row>
    <row r="12" spans="1:14" ht="15">
      <c r="A12" s="89">
        <v>0.4</v>
      </c>
      <c r="B12" s="88">
        <v>100</v>
      </c>
      <c r="C12" s="88">
        <v>100</v>
      </c>
      <c r="D12" s="88">
        <v>100</v>
      </c>
      <c r="E12" s="88">
        <v>100</v>
      </c>
      <c r="F12" s="88">
        <v>100</v>
      </c>
      <c r="G12" s="88">
        <v>100</v>
      </c>
      <c r="H12" s="88">
        <v>100</v>
      </c>
      <c r="I12" s="88">
        <v>100</v>
      </c>
      <c r="J12" s="88">
        <v>100</v>
      </c>
      <c r="K12" s="88">
        <v>100</v>
      </c>
      <c r="L12" s="88">
        <v>100</v>
      </c>
      <c r="M12" s="88">
        <v>95</v>
      </c>
      <c r="N12" s="88">
        <v>79</v>
      </c>
    </row>
    <row r="13" spans="1:14" ht="15">
      <c r="A13" s="89">
        <v>0.3</v>
      </c>
      <c r="B13" s="88">
        <v>100</v>
      </c>
      <c r="C13" s="88">
        <v>100</v>
      </c>
      <c r="D13" s="88">
        <v>100</v>
      </c>
      <c r="E13" s="88">
        <v>100</v>
      </c>
      <c r="F13" s="88">
        <v>100</v>
      </c>
      <c r="G13" s="88">
        <v>100</v>
      </c>
      <c r="H13" s="88">
        <v>100</v>
      </c>
      <c r="I13" s="88">
        <v>100</v>
      </c>
      <c r="J13" s="88">
        <v>100</v>
      </c>
      <c r="K13" s="88">
        <v>100</v>
      </c>
      <c r="L13" s="88">
        <v>100</v>
      </c>
      <c r="M13" s="88">
        <v>98</v>
      </c>
      <c r="N13" s="88">
        <v>85</v>
      </c>
    </row>
    <row r="14" spans="1:14" ht="15">
      <c r="A14" s="89">
        <v>0.2</v>
      </c>
      <c r="B14" s="88">
        <v>100</v>
      </c>
      <c r="C14" s="88">
        <v>100</v>
      </c>
      <c r="D14" s="88">
        <v>100</v>
      </c>
      <c r="E14" s="88">
        <v>100</v>
      </c>
      <c r="F14" s="88">
        <v>100</v>
      </c>
      <c r="G14" s="88">
        <v>100</v>
      </c>
      <c r="H14" s="88">
        <v>100</v>
      </c>
      <c r="I14" s="88">
        <v>100</v>
      </c>
      <c r="J14" s="88">
        <v>100</v>
      </c>
      <c r="K14" s="88">
        <v>100</v>
      </c>
      <c r="L14" s="88">
        <v>100</v>
      </c>
      <c r="M14" s="88">
        <v>100</v>
      </c>
      <c r="N14" s="88">
        <v>91</v>
      </c>
    </row>
    <row r="15" spans="1:14" ht="15">
      <c r="A15" s="89">
        <v>0.1</v>
      </c>
      <c r="B15" s="88">
        <v>100</v>
      </c>
      <c r="C15" s="88">
        <v>100</v>
      </c>
      <c r="D15" s="88">
        <v>100</v>
      </c>
      <c r="E15" s="88">
        <v>100</v>
      </c>
      <c r="F15" s="88">
        <v>100</v>
      </c>
      <c r="G15" s="88">
        <v>100</v>
      </c>
      <c r="H15" s="88">
        <v>100</v>
      </c>
      <c r="I15" s="88">
        <v>100</v>
      </c>
      <c r="J15" s="88">
        <v>100</v>
      </c>
      <c r="K15" s="88">
        <v>100</v>
      </c>
      <c r="L15" s="88">
        <v>100</v>
      </c>
      <c r="M15" s="88">
        <v>100</v>
      </c>
      <c r="N15" s="88">
        <v>96</v>
      </c>
    </row>
    <row r="16" spans="1:14" ht="15">
      <c r="A16" s="89">
        <v>0</v>
      </c>
      <c r="B16" s="88">
        <v>100</v>
      </c>
      <c r="C16" s="88">
        <v>100</v>
      </c>
      <c r="D16" s="88">
        <v>100</v>
      </c>
      <c r="E16" s="88">
        <v>100</v>
      </c>
      <c r="F16" s="88">
        <v>100</v>
      </c>
      <c r="G16" s="88">
        <v>100</v>
      </c>
      <c r="H16" s="88">
        <v>100</v>
      </c>
      <c r="I16" s="88">
        <v>100</v>
      </c>
      <c r="J16" s="88">
        <v>100</v>
      </c>
      <c r="K16" s="88">
        <v>100</v>
      </c>
      <c r="L16" s="88">
        <v>100</v>
      </c>
      <c r="M16" s="88">
        <v>100</v>
      </c>
      <c r="N16" s="88">
        <v>99</v>
      </c>
    </row>
    <row r="17" spans="1:14" ht="15">
      <c r="A17" s="89" t="s">
        <v>48</v>
      </c>
      <c r="B17" s="88">
        <v>100</v>
      </c>
      <c r="C17" s="88">
        <v>100</v>
      </c>
      <c r="D17" s="88">
        <v>100</v>
      </c>
      <c r="E17" s="88">
        <v>100</v>
      </c>
      <c r="F17" s="88">
        <v>100</v>
      </c>
      <c r="G17" s="88">
        <v>100</v>
      </c>
      <c r="H17" s="88">
        <v>100</v>
      </c>
      <c r="I17" s="88">
        <v>97</v>
      </c>
      <c r="J17" s="88">
        <v>61</v>
      </c>
      <c r="K17" s="88">
        <v>52</v>
      </c>
      <c r="L17" s="88">
        <v>51</v>
      </c>
      <c r="M17" s="88">
        <v>42</v>
      </c>
      <c r="N17" s="88">
        <v>20</v>
      </c>
    </row>
    <row r="20" spans="1:14" ht="15">
      <c r="A20" s="91" t="s">
        <v>59</v>
      </c>
    </row>
    <row r="21" spans="1:14" ht="15">
      <c r="A21" s="88" t="s">
        <v>56</v>
      </c>
      <c r="B21" s="88">
        <v>2022</v>
      </c>
      <c r="C21" s="88">
        <v>2023</v>
      </c>
      <c r="D21" s="88">
        <v>2024</v>
      </c>
      <c r="E21" s="88">
        <v>2025</v>
      </c>
      <c r="F21" s="88">
        <v>2026</v>
      </c>
      <c r="G21" s="88">
        <v>2027</v>
      </c>
      <c r="H21" s="88">
        <v>2028</v>
      </c>
      <c r="I21" s="88">
        <v>2029</v>
      </c>
      <c r="J21" s="88">
        <v>2030</v>
      </c>
      <c r="K21" s="88">
        <v>2031</v>
      </c>
      <c r="L21" s="88">
        <v>2032</v>
      </c>
      <c r="M21" s="88">
        <v>2041</v>
      </c>
      <c r="N21" s="88">
        <v>2051</v>
      </c>
    </row>
    <row r="22" spans="1:14" ht="15">
      <c r="A22" s="89">
        <v>1</v>
      </c>
      <c r="B22" s="88">
        <v>100</v>
      </c>
      <c r="C22" s="88">
        <v>100</v>
      </c>
      <c r="D22" s="88">
        <v>100</v>
      </c>
      <c r="E22" s="88">
        <v>100</v>
      </c>
      <c r="F22" s="88">
        <v>100</v>
      </c>
      <c r="G22" s="88">
        <v>100</v>
      </c>
      <c r="H22" s="88">
        <v>100</v>
      </c>
      <c r="I22" s="88">
        <v>100</v>
      </c>
      <c r="J22" s="88">
        <v>100</v>
      </c>
      <c r="K22" s="88">
        <v>100</v>
      </c>
      <c r="L22" s="88">
        <v>100</v>
      </c>
      <c r="M22" s="88">
        <v>100</v>
      </c>
      <c r="N22" s="88">
        <v>87</v>
      </c>
    </row>
    <row r="23" spans="1:14" ht="15">
      <c r="A23" s="89">
        <v>0.9</v>
      </c>
      <c r="B23" s="88">
        <v>100</v>
      </c>
      <c r="C23" s="88">
        <v>100</v>
      </c>
      <c r="D23" s="88">
        <v>100</v>
      </c>
      <c r="E23" s="88">
        <v>100</v>
      </c>
      <c r="F23" s="88">
        <v>100</v>
      </c>
      <c r="G23" s="88">
        <v>100</v>
      </c>
      <c r="H23" s="88">
        <v>100</v>
      </c>
      <c r="I23" s="88">
        <v>100</v>
      </c>
      <c r="J23" s="88">
        <v>100</v>
      </c>
      <c r="K23" s="88">
        <v>100</v>
      </c>
      <c r="L23" s="88">
        <v>100</v>
      </c>
      <c r="M23" s="88">
        <v>100</v>
      </c>
      <c r="N23" s="88">
        <v>90</v>
      </c>
    </row>
    <row r="24" spans="1:14" ht="15">
      <c r="A24" s="90">
        <v>0.85</v>
      </c>
      <c r="B24" s="88">
        <v>100</v>
      </c>
      <c r="C24" s="88">
        <v>100</v>
      </c>
      <c r="D24" s="88">
        <v>100</v>
      </c>
      <c r="E24" s="88">
        <v>100</v>
      </c>
      <c r="F24" s="88">
        <v>100</v>
      </c>
      <c r="G24" s="88">
        <v>100</v>
      </c>
      <c r="H24" s="88">
        <v>100</v>
      </c>
      <c r="I24" s="88">
        <v>100</v>
      </c>
      <c r="J24" s="88">
        <v>100</v>
      </c>
      <c r="K24" s="88">
        <v>100</v>
      </c>
      <c r="L24" s="88">
        <v>100</v>
      </c>
      <c r="M24" s="88">
        <v>100</v>
      </c>
      <c r="N24" s="88">
        <v>92</v>
      </c>
    </row>
    <row r="25" spans="1:14" ht="15">
      <c r="A25" s="89">
        <v>0.8</v>
      </c>
      <c r="B25" s="88">
        <v>100</v>
      </c>
      <c r="C25" s="88">
        <v>100</v>
      </c>
      <c r="D25" s="88">
        <v>100</v>
      </c>
      <c r="E25" s="88">
        <v>100</v>
      </c>
      <c r="F25" s="88">
        <v>100</v>
      </c>
      <c r="G25" s="88">
        <v>100</v>
      </c>
      <c r="H25" s="88">
        <v>100</v>
      </c>
      <c r="I25" s="88">
        <v>100</v>
      </c>
      <c r="J25" s="88">
        <v>100</v>
      </c>
      <c r="K25" s="88">
        <v>100</v>
      </c>
      <c r="L25" s="88">
        <v>100</v>
      </c>
      <c r="M25" s="88">
        <v>100</v>
      </c>
      <c r="N25" s="88">
        <v>94</v>
      </c>
    </row>
    <row r="26" spans="1:14" ht="15">
      <c r="A26" s="89">
        <v>0.7</v>
      </c>
      <c r="B26" s="88">
        <v>100</v>
      </c>
      <c r="C26" s="88">
        <v>100</v>
      </c>
      <c r="D26" s="88">
        <v>100</v>
      </c>
      <c r="E26" s="88">
        <v>100</v>
      </c>
      <c r="F26" s="88">
        <v>100</v>
      </c>
      <c r="G26" s="88">
        <v>100</v>
      </c>
      <c r="H26" s="88">
        <v>100</v>
      </c>
      <c r="I26" s="88">
        <v>100</v>
      </c>
      <c r="J26" s="88">
        <v>100</v>
      </c>
      <c r="K26" s="88">
        <v>100</v>
      </c>
      <c r="L26" s="88">
        <v>100</v>
      </c>
      <c r="M26" s="88">
        <v>100</v>
      </c>
      <c r="N26" s="88">
        <v>97</v>
      </c>
    </row>
    <row r="27" spans="1:14" ht="15">
      <c r="A27" s="89">
        <v>0.6</v>
      </c>
      <c r="B27" s="88">
        <v>100</v>
      </c>
      <c r="C27" s="88">
        <v>100</v>
      </c>
      <c r="D27" s="88">
        <v>100</v>
      </c>
      <c r="E27" s="88">
        <v>100</v>
      </c>
      <c r="F27" s="88">
        <v>100</v>
      </c>
      <c r="G27" s="88">
        <v>100</v>
      </c>
      <c r="H27" s="88">
        <v>100</v>
      </c>
      <c r="I27" s="88">
        <v>100</v>
      </c>
      <c r="J27" s="88">
        <v>100</v>
      </c>
      <c r="K27" s="88">
        <v>100</v>
      </c>
      <c r="L27" s="88">
        <v>100</v>
      </c>
      <c r="M27" s="88">
        <v>100</v>
      </c>
      <c r="N27" s="88">
        <v>99</v>
      </c>
    </row>
    <row r="28" spans="1:14" ht="15">
      <c r="A28" s="89">
        <v>0.5</v>
      </c>
      <c r="B28" s="88">
        <v>100</v>
      </c>
      <c r="C28" s="88">
        <v>100</v>
      </c>
      <c r="D28" s="88">
        <v>100</v>
      </c>
      <c r="E28" s="88">
        <v>100</v>
      </c>
      <c r="F28" s="88">
        <v>100</v>
      </c>
      <c r="G28" s="88">
        <v>100</v>
      </c>
      <c r="H28" s="88">
        <v>100</v>
      </c>
      <c r="I28" s="88">
        <v>100</v>
      </c>
      <c r="J28" s="88">
        <v>100</v>
      </c>
      <c r="K28" s="88">
        <v>100</v>
      </c>
      <c r="L28" s="88">
        <v>100</v>
      </c>
      <c r="M28" s="88">
        <v>100</v>
      </c>
      <c r="N28" s="88">
        <v>100</v>
      </c>
    </row>
    <row r="29" spans="1:14" ht="15">
      <c r="A29" s="89">
        <v>0.4</v>
      </c>
      <c r="B29" s="88">
        <v>100</v>
      </c>
      <c r="C29" s="88">
        <v>100</v>
      </c>
      <c r="D29" s="88">
        <v>100</v>
      </c>
      <c r="E29" s="88">
        <v>100</v>
      </c>
      <c r="F29" s="88">
        <v>100</v>
      </c>
      <c r="G29" s="88">
        <v>100</v>
      </c>
      <c r="H29" s="88">
        <v>100</v>
      </c>
      <c r="I29" s="88">
        <v>100</v>
      </c>
      <c r="J29" s="88">
        <v>100</v>
      </c>
      <c r="K29" s="88">
        <v>100</v>
      </c>
      <c r="L29" s="88">
        <v>100</v>
      </c>
      <c r="M29" s="88">
        <v>100</v>
      </c>
      <c r="N29" s="88">
        <v>100</v>
      </c>
    </row>
    <row r="30" spans="1:14" ht="15">
      <c r="A30" s="89">
        <v>0.3</v>
      </c>
      <c r="B30" s="88">
        <v>100</v>
      </c>
      <c r="C30" s="88">
        <v>100</v>
      </c>
      <c r="D30" s="88">
        <v>100</v>
      </c>
      <c r="E30" s="88">
        <v>100</v>
      </c>
      <c r="F30" s="88">
        <v>100</v>
      </c>
      <c r="G30" s="88">
        <v>100</v>
      </c>
      <c r="H30" s="88">
        <v>100</v>
      </c>
      <c r="I30" s="88">
        <v>100</v>
      </c>
      <c r="J30" s="88">
        <v>100</v>
      </c>
      <c r="K30" s="88">
        <v>100</v>
      </c>
      <c r="L30" s="88">
        <v>100</v>
      </c>
      <c r="M30" s="88">
        <v>100</v>
      </c>
      <c r="N30" s="88">
        <v>100</v>
      </c>
    </row>
    <row r="31" spans="1:14" ht="15">
      <c r="A31" s="89">
        <v>0.2</v>
      </c>
      <c r="B31" s="88">
        <v>100</v>
      </c>
      <c r="C31" s="88">
        <v>100</v>
      </c>
      <c r="D31" s="88">
        <v>100</v>
      </c>
      <c r="E31" s="88">
        <v>100</v>
      </c>
      <c r="F31" s="88">
        <v>100</v>
      </c>
      <c r="G31" s="88">
        <v>100</v>
      </c>
      <c r="H31" s="88">
        <v>100</v>
      </c>
      <c r="I31" s="88">
        <v>100</v>
      </c>
      <c r="J31" s="88">
        <v>100</v>
      </c>
      <c r="K31" s="88">
        <v>100</v>
      </c>
      <c r="L31" s="88">
        <v>100</v>
      </c>
      <c r="M31" s="88">
        <v>100</v>
      </c>
      <c r="N31" s="88">
        <v>100</v>
      </c>
    </row>
    <row r="32" spans="1:14" ht="15">
      <c r="A32" s="89">
        <v>0.1</v>
      </c>
      <c r="B32" s="88">
        <v>100</v>
      </c>
      <c r="C32" s="88">
        <v>100</v>
      </c>
      <c r="D32" s="88">
        <v>100</v>
      </c>
      <c r="E32" s="88">
        <v>100</v>
      </c>
      <c r="F32" s="88">
        <v>100</v>
      </c>
      <c r="G32" s="88">
        <v>100</v>
      </c>
      <c r="H32" s="88">
        <v>100</v>
      </c>
      <c r="I32" s="88">
        <v>100</v>
      </c>
      <c r="J32" s="88">
        <v>100</v>
      </c>
      <c r="K32" s="88">
        <v>100</v>
      </c>
      <c r="L32" s="88">
        <v>100</v>
      </c>
      <c r="M32" s="88">
        <v>100</v>
      </c>
      <c r="N32" s="88">
        <v>100</v>
      </c>
    </row>
    <row r="33" spans="1:14" ht="15">
      <c r="A33" s="89">
        <v>0</v>
      </c>
      <c r="B33" s="88">
        <v>100</v>
      </c>
      <c r="C33" s="88">
        <v>100</v>
      </c>
      <c r="D33" s="88">
        <v>100</v>
      </c>
      <c r="E33" s="88">
        <v>100</v>
      </c>
      <c r="F33" s="88">
        <v>100</v>
      </c>
      <c r="G33" s="88">
        <v>100</v>
      </c>
      <c r="H33" s="88">
        <v>100</v>
      </c>
      <c r="I33" s="88">
        <v>100</v>
      </c>
      <c r="J33" s="88">
        <v>100</v>
      </c>
      <c r="K33" s="88">
        <v>100</v>
      </c>
      <c r="L33" s="88">
        <v>100</v>
      </c>
      <c r="M33" s="88">
        <v>100</v>
      </c>
      <c r="N33" s="88">
        <v>100</v>
      </c>
    </row>
    <row r="34" spans="1:14" ht="15">
      <c r="A34" s="89" t="s">
        <v>48</v>
      </c>
      <c r="B34" s="88">
        <v>100</v>
      </c>
      <c r="C34" s="88">
        <v>100</v>
      </c>
      <c r="D34" s="88">
        <v>100</v>
      </c>
      <c r="E34" s="88">
        <v>100</v>
      </c>
      <c r="F34" s="88">
        <v>100</v>
      </c>
      <c r="G34" s="88">
        <v>100</v>
      </c>
      <c r="H34" s="88">
        <v>100</v>
      </c>
      <c r="I34" s="88">
        <v>100</v>
      </c>
      <c r="J34" s="88">
        <v>100</v>
      </c>
      <c r="K34" s="88">
        <v>100</v>
      </c>
      <c r="L34" s="88">
        <v>100</v>
      </c>
      <c r="M34" s="88">
        <v>92</v>
      </c>
      <c r="N34" s="88">
        <v>60</v>
      </c>
    </row>
    <row r="36" spans="1:14">
      <c r="A36" t="s">
        <v>62</v>
      </c>
    </row>
    <row r="37" spans="1:14">
      <c r="A37" t="s">
        <v>88</v>
      </c>
    </row>
    <row r="38" spans="1:14">
      <c r="A38" t="s">
        <v>90</v>
      </c>
    </row>
  </sheetData>
  <phoneticPr fontId="3"/>
  <conditionalFormatting sqref="B5:N17">
    <cfRule type="colorScale" priority="2">
      <colorScale>
        <cfvo type="num" val="0"/>
        <cfvo type="num" val="100"/>
        <color theme="0"/>
        <color rgb="FFFFC000"/>
      </colorScale>
    </cfRule>
  </conditionalFormatting>
  <conditionalFormatting sqref="B22:N34">
    <cfRule type="colorScale" priority="1">
      <colorScale>
        <cfvo type="num" val="0"/>
        <cfvo type="num" val="100"/>
        <color theme="0"/>
        <color rgb="FFFFC000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2B2FD-B382-4E77-A21A-7CAF0367F8DD}">
  <dimension ref="A1:N38"/>
  <sheetViews>
    <sheetView zoomScale="80" zoomScaleNormal="80" workbookViewId="0">
      <selection activeCell="E30" sqref="E30"/>
    </sheetView>
  </sheetViews>
  <sheetFormatPr defaultRowHeight="13.5"/>
  <sheetData>
    <row r="1" spans="1:14" ht="15">
      <c r="A1" t="s">
        <v>63</v>
      </c>
    </row>
    <row r="3" spans="1:14" ht="15">
      <c r="A3" s="91" t="s">
        <v>60</v>
      </c>
    </row>
    <row r="4" spans="1:14" ht="15">
      <c r="A4" s="88" t="s">
        <v>55</v>
      </c>
      <c r="B4" s="88">
        <v>2022</v>
      </c>
      <c r="C4" s="88">
        <v>2023</v>
      </c>
      <c r="D4" s="88">
        <v>2024</v>
      </c>
      <c r="E4" s="88">
        <v>2025</v>
      </c>
      <c r="F4" s="88">
        <v>2026</v>
      </c>
      <c r="G4" s="88">
        <v>2027</v>
      </c>
      <c r="H4" s="88">
        <v>2028</v>
      </c>
      <c r="I4" s="88">
        <v>2029</v>
      </c>
      <c r="J4" s="88">
        <v>2030</v>
      </c>
      <c r="K4" s="88">
        <v>2031</v>
      </c>
      <c r="L4" s="88">
        <v>2032</v>
      </c>
      <c r="M4" s="88">
        <v>2041</v>
      </c>
      <c r="N4" s="88">
        <v>2051</v>
      </c>
    </row>
    <row r="5" spans="1:14" ht="15">
      <c r="A5" s="89">
        <v>1</v>
      </c>
      <c r="B5" s="92">
        <v>242.1</v>
      </c>
      <c r="C5" s="92">
        <v>242.9</v>
      </c>
      <c r="D5" s="92">
        <v>299.89999999999998</v>
      </c>
      <c r="E5" s="92">
        <v>280.39999999999998</v>
      </c>
      <c r="F5" s="92">
        <v>275.8</v>
      </c>
      <c r="G5" s="92">
        <v>273.89999999999998</v>
      </c>
      <c r="H5" s="92">
        <v>267</v>
      </c>
      <c r="I5" s="92">
        <v>233.2</v>
      </c>
      <c r="J5" s="92">
        <v>210.3</v>
      </c>
      <c r="K5" s="92">
        <v>199.7</v>
      </c>
      <c r="L5" s="92">
        <v>194.9</v>
      </c>
      <c r="M5" s="92">
        <v>163</v>
      </c>
      <c r="N5" s="92">
        <v>116.3</v>
      </c>
    </row>
    <row r="6" spans="1:14" ht="15">
      <c r="A6" s="90">
        <v>0.9</v>
      </c>
      <c r="B6" s="92">
        <v>242.1</v>
      </c>
      <c r="C6" s="92">
        <v>242.9</v>
      </c>
      <c r="D6" s="92">
        <v>299.89999999999998</v>
      </c>
      <c r="E6" s="92">
        <v>288.7</v>
      </c>
      <c r="F6" s="92">
        <v>289.8</v>
      </c>
      <c r="G6" s="92">
        <v>290.89999999999998</v>
      </c>
      <c r="H6" s="92">
        <v>285.3</v>
      </c>
      <c r="I6" s="92">
        <v>250.9</v>
      </c>
      <c r="J6" s="92">
        <v>226.8</v>
      </c>
      <c r="K6" s="92">
        <v>215.1</v>
      </c>
      <c r="L6" s="92">
        <v>209.5</v>
      </c>
      <c r="M6" s="92">
        <v>175.1</v>
      </c>
      <c r="N6" s="92">
        <v>127</v>
      </c>
    </row>
    <row r="7" spans="1:14" ht="15">
      <c r="A7" s="90">
        <v>0.85</v>
      </c>
      <c r="B7" s="92">
        <v>242.1</v>
      </c>
      <c r="C7" s="92">
        <v>242.9</v>
      </c>
      <c r="D7" s="92">
        <v>299.89999999999998</v>
      </c>
      <c r="E7" s="92">
        <v>292.89999999999998</v>
      </c>
      <c r="F7" s="92">
        <v>297.2</v>
      </c>
      <c r="G7" s="92">
        <v>299.89999999999998</v>
      </c>
      <c r="H7" s="92">
        <v>295.10000000000002</v>
      </c>
      <c r="I7" s="92">
        <v>260.5</v>
      </c>
      <c r="J7" s="92">
        <v>235.8</v>
      </c>
      <c r="K7" s="92">
        <v>223.5</v>
      </c>
      <c r="L7" s="92">
        <v>217.5</v>
      </c>
      <c r="M7" s="92">
        <v>181.7</v>
      </c>
      <c r="N7" s="92">
        <v>132.9</v>
      </c>
    </row>
    <row r="8" spans="1:14" ht="15">
      <c r="A8" s="90">
        <v>0.8</v>
      </c>
      <c r="B8" s="92">
        <v>242.1</v>
      </c>
      <c r="C8" s="92">
        <v>242.9</v>
      </c>
      <c r="D8" s="92">
        <v>299.89999999999998</v>
      </c>
      <c r="E8" s="92">
        <v>297.3</v>
      </c>
      <c r="F8" s="92">
        <v>304.7</v>
      </c>
      <c r="G8" s="92">
        <v>309.3</v>
      </c>
      <c r="H8" s="92">
        <v>305.39999999999998</v>
      </c>
      <c r="I8" s="92">
        <v>270.60000000000002</v>
      </c>
      <c r="J8" s="92">
        <v>245.4</v>
      </c>
      <c r="K8" s="92">
        <v>232.5</v>
      </c>
      <c r="L8" s="92">
        <v>226</v>
      </c>
      <c r="M8" s="92">
        <v>188.7</v>
      </c>
      <c r="N8" s="92">
        <v>139</v>
      </c>
    </row>
    <row r="9" spans="1:14" ht="15">
      <c r="A9" s="90">
        <v>0.7</v>
      </c>
      <c r="B9" s="92">
        <v>242.1</v>
      </c>
      <c r="C9" s="92">
        <v>242.9</v>
      </c>
      <c r="D9" s="92">
        <v>299.89999999999998</v>
      </c>
      <c r="E9" s="92">
        <v>306.10000000000002</v>
      </c>
      <c r="F9" s="92">
        <v>320.60000000000002</v>
      </c>
      <c r="G9" s="92">
        <v>329.3</v>
      </c>
      <c r="H9" s="92">
        <v>327.5</v>
      </c>
      <c r="I9" s="92">
        <v>292.7</v>
      </c>
      <c r="J9" s="92">
        <v>266.5</v>
      </c>
      <c r="K9" s="92">
        <v>252.4</v>
      </c>
      <c r="L9" s="92">
        <v>244.8</v>
      </c>
      <c r="M9" s="92">
        <v>204.2</v>
      </c>
      <c r="N9" s="92">
        <v>152.30000000000001</v>
      </c>
    </row>
    <row r="10" spans="1:14" ht="15">
      <c r="A10" s="90">
        <v>0.6</v>
      </c>
      <c r="B10" s="92">
        <v>242.1</v>
      </c>
      <c r="C10" s="92">
        <v>242.9</v>
      </c>
      <c r="D10" s="92">
        <v>299.89999999999998</v>
      </c>
      <c r="E10" s="92">
        <v>315.3</v>
      </c>
      <c r="F10" s="92">
        <v>337.5</v>
      </c>
      <c r="G10" s="92">
        <v>351</v>
      </c>
      <c r="H10" s="92">
        <v>352.1</v>
      </c>
      <c r="I10" s="92">
        <v>317.5</v>
      </c>
      <c r="J10" s="92">
        <v>290.5</v>
      </c>
      <c r="K10" s="92">
        <v>275.10000000000002</v>
      </c>
      <c r="L10" s="92">
        <v>266.39999999999998</v>
      </c>
      <c r="M10" s="92">
        <v>221.9</v>
      </c>
      <c r="N10" s="92">
        <v>167</v>
      </c>
    </row>
    <row r="11" spans="1:14" ht="15">
      <c r="A11" s="90">
        <v>0.5</v>
      </c>
      <c r="B11" s="92">
        <v>242.1</v>
      </c>
      <c r="C11" s="92">
        <v>242.9</v>
      </c>
      <c r="D11" s="92">
        <v>299.89999999999998</v>
      </c>
      <c r="E11" s="92">
        <v>324.89999999999998</v>
      </c>
      <c r="F11" s="92">
        <v>355.5</v>
      </c>
      <c r="G11" s="92">
        <v>374.7</v>
      </c>
      <c r="H11" s="92">
        <v>379.3</v>
      </c>
      <c r="I11" s="92">
        <v>345.5</v>
      </c>
      <c r="J11" s="92">
        <v>318.10000000000002</v>
      </c>
      <c r="K11" s="92">
        <v>301.39999999999998</v>
      </c>
      <c r="L11" s="92">
        <v>291.5</v>
      </c>
      <c r="M11" s="92">
        <v>242.5</v>
      </c>
      <c r="N11" s="92">
        <v>183.4</v>
      </c>
    </row>
    <row r="12" spans="1:14" ht="15">
      <c r="A12" s="90">
        <v>0.4</v>
      </c>
      <c r="B12" s="92">
        <v>242.1</v>
      </c>
      <c r="C12" s="92">
        <v>242.9</v>
      </c>
      <c r="D12" s="92">
        <v>299.89999999999998</v>
      </c>
      <c r="E12" s="92">
        <v>334.8</v>
      </c>
      <c r="F12" s="92">
        <v>374.7</v>
      </c>
      <c r="G12" s="92">
        <v>400.5</v>
      </c>
      <c r="H12" s="92">
        <v>409.5</v>
      </c>
      <c r="I12" s="92">
        <v>377.3</v>
      </c>
      <c r="J12" s="92">
        <v>349.7</v>
      </c>
      <c r="K12" s="92">
        <v>332</v>
      </c>
      <c r="L12" s="92">
        <v>320.89999999999998</v>
      </c>
      <c r="M12" s="92">
        <v>266.60000000000002</v>
      </c>
      <c r="N12" s="92">
        <v>202</v>
      </c>
    </row>
    <row r="13" spans="1:14" ht="15">
      <c r="A13" s="90">
        <v>0.3</v>
      </c>
      <c r="B13" s="92">
        <v>242.1</v>
      </c>
      <c r="C13" s="92">
        <v>242.9</v>
      </c>
      <c r="D13" s="92">
        <v>299.89999999999998</v>
      </c>
      <c r="E13" s="92">
        <v>345.1</v>
      </c>
      <c r="F13" s="92">
        <v>395.2</v>
      </c>
      <c r="G13" s="92">
        <v>428.7</v>
      </c>
      <c r="H13" s="92">
        <v>443.3</v>
      </c>
      <c r="I13" s="92">
        <v>413.5</v>
      </c>
      <c r="J13" s="92">
        <v>386.4</v>
      </c>
      <c r="K13" s="92">
        <v>367.9</v>
      </c>
      <c r="L13" s="92">
        <v>355.5</v>
      </c>
      <c r="M13" s="92">
        <v>295.3</v>
      </c>
      <c r="N13" s="92">
        <v>223.9</v>
      </c>
    </row>
    <row r="14" spans="1:14" ht="15">
      <c r="A14" s="90">
        <v>0.2</v>
      </c>
      <c r="B14" s="92">
        <v>242.1</v>
      </c>
      <c r="C14" s="92">
        <v>242.9</v>
      </c>
      <c r="D14" s="92">
        <v>299.89999999999998</v>
      </c>
      <c r="E14" s="92">
        <v>355.7</v>
      </c>
      <c r="F14" s="92">
        <v>417.1</v>
      </c>
      <c r="G14" s="92">
        <v>459.6</v>
      </c>
      <c r="H14" s="92">
        <v>481.1</v>
      </c>
      <c r="I14" s="92">
        <v>454.9</v>
      </c>
      <c r="J14" s="92">
        <v>429.2</v>
      </c>
      <c r="K14" s="92">
        <v>410.4</v>
      </c>
      <c r="L14" s="92">
        <v>397</v>
      </c>
      <c r="M14" s="92">
        <v>330</v>
      </c>
      <c r="N14" s="92">
        <v>250.1</v>
      </c>
    </row>
    <row r="15" spans="1:14" ht="15">
      <c r="A15" s="90">
        <v>0.1</v>
      </c>
      <c r="B15" s="92">
        <v>242.1</v>
      </c>
      <c r="C15" s="92">
        <v>242.9</v>
      </c>
      <c r="D15" s="92">
        <v>299.89999999999998</v>
      </c>
      <c r="E15" s="92">
        <v>366.8</v>
      </c>
      <c r="F15" s="92">
        <v>440.6</v>
      </c>
      <c r="G15" s="92">
        <v>493.5</v>
      </c>
      <c r="H15" s="92">
        <v>523.6</v>
      </c>
      <c r="I15" s="92">
        <v>502.5</v>
      </c>
      <c r="J15" s="92">
        <v>479.4</v>
      </c>
      <c r="K15" s="92">
        <v>461.1</v>
      </c>
      <c r="L15" s="92">
        <v>446.9</v>
      </c>
      <c r="M15" s="92">
        <v>372.8</v>
      </c>
      <c r="N15" s="92">
        <v>282.5</v>
      </c>
    </row>
    <row r="16" spans="1:14" ht="15">
      <c r="A16" s="89">
        <v>0</v>
      </c>
      <c r="B16" s="92">
        <v>242.1</v>
      </c>
      <c r="C16" s="92">
        <v>242.9</v>
      </c>
      <c r="D16" s="92">
        <v>299.89999999999998</v>
      </c>
      <c r="E16" s="92">
        <v>378.3</v>
      </c>
      <c r="F16" s="92">
        <v>465.6</v>
      </c>
      <c r="G16" s="92">
        <v>530.70000000000005</v>
      </c>
      <c r="H16" s="92">
        <v>571.4</v>
      </c>
      <c r="I16" s="92">
        <v>557.4</v>
      </c>
      <c r="J16" s="92">
        <v>538.6</v>
      </c>
      <c r="K16" s="92">
        <v>521.9</v>
      </c>
      <c r="L16" s="92">
        <v>507.9</v>
      </c>
      <c r="M16" s="92">
        <v>426.7</v>
      </c>
      <c r="N16" s="92">
        <v>323.5</v>
      </c>
    </row>
    <row r="17" spans="1:14" ht="15">
      <c r="A17" s="89" t="s">
        <v>48</v>
      </c>
      <c r="B17" s="92">
        <v>242.1</v>
      </c>
      <c r="C17" s="92">
        <v>242.9</v>
      </c>
      <c r="D17" s="92">
        <v>284.7</v>
      </c>
      <c r="E17" s="92">
        <v>241.4</v>
      </c>
      <c r="F17" s="92">
        <v>224.4</v>
      </c>
      <c r="G17" s="92">
        <v>217.7</v>
      </c>
      <c r="H17" s="92">
        <v>209.3</v>
      </c>
      <c r="I17" s="92">
        <v>179.3</v>
      </c>
      <c r="J17" s="92">
        <v>161</v>
      </c>
      <c r="K17" s="92">
        <v>154</v>
      </c>
      <c r="L17" s="92">
        <v>151.5</v>
      </c>
      <c r="M17" s="92">
        <v>125.2</v>
      </c>
      <c r="N17" s="92">
        <v>77.7</v>
      </c>
    </row>
    <row r="20" spans="1:14" ht="15">
      <c r="A20" s="91" t="s">
        <v>61</v>
      </c>
    </row>
    <row r="21" spans="1:14" ht="15">
      <c r="A21" s="88" t="s">
        <v>55</v>
      </c>
      <c r="B21" s="88">
        <v>2022</v>
      </c>
      <c r="C21" s="88">
        <v>2023</v>
      </c>
      <c r="D21" s="88">
        <v>2024</v>
      </c>
      <c r="E21" s="88">
        <v>2025</v>
      </c>
      <c r="F21" s="88">
        <v>2026</v>
      </c>
      <c r="G21" s="88">
        <v>2027</v>
      </c>
      <c r="H21" s="88">
        <v>2028</v>
      </c>
      <c r="I21" s="88">
        <v>2029</v>
      </c>
      <c r="J21" s="88">
        <v>2030</v>
      </c>
      <c r="K21" s="88">
        <v>2031</v>
      </c>
      <c r="L21" s="88">
        <v>2032</v>
      </c>
      <c r="M21" s="88">
        <v>2041</v>
      </c>
      <c r="N21" s="88">
        <v>2051</v>
      </c>
    </row>
    <row r="22" spans="1:14" ht="15">
      <c r="A22" s="89">
        <v>1</v>
      </c>
      <c r="B22" s="92">
        <v>105.8</v>
      </c>
      <c r="C22" s="92">
        <v>92.2</v>
      </c>
      <c r="D22" s="92">
        <v>99.5</v>
      </c>
      <c r="E22" s="92">
        <v>92.5</v>
      </c>
      <c r="F22" s="92">
        <v>90.3</v>
      </c>
      <c r="G22" s="92">
        <v>86.8</v>
      </c>
      <c r="H22" s="92">
        <v>82.1</v>
      </c>
      <c r="I22" s="92">
        <v>76.2</v>
      </c>
      <c r="J22" s="92">
        <v>68.8</v>
      </c>
      <c r="K22" s="92">
        <v>65.400000000000006</v>
      </c>
      <c r="L22" s="92">
        <v>63.7</v>
      </c>
      <c r="M22" s="92">
        <v>53.4</v>
      </c>
      <c r="N22" s="92">
        <v>37.799999999999997</v>
      </c>
    </row>
    <row r="23" spans="1:14" ht="15">
      <c r="A23" s="90">
        <v>0.9</v>
      </c>
      <c r="B23" s="92">
        <v>105.8</v>
      </c>
      <c r="C23" s="92">
        <v>92.2</v>
      </c>
      <c r="D23" s="92">
        <v>91.1</v>
      </c>
      <c r="E23" s="92">
        <v>86.9</v>
      </c>
      <c r="F23" s="92">
        <v>86.4</v>
      </c>
      <c r="G23" s="92">
        <v>84.1</v>
      </c>
      <c r="H23" s="92">
        <v>80.099999999999994</v>
      </c>
      <c r="I23" s="92">
        <v>74.7</v>
      </c>
      <c r="J23" s="92">
        <v>67.599999999999994</v>
      </c>
      <c r="K23" s="92">
        <v>64.099999999999994</v>
      </c>
      <c r="L23" s="92">
        <v>62.3</v>
      </c>
      <c r="M23" s="92">
        <v>52.2</v>
      </c>
      <c r="N23" s="92">
        <v>37.700000000000003</v>
      </c>
    </row>
    <row r="24" spans="1:14" ht="15">
      <c r="A24" s="90">
        <v>0.85</v>
      </c>
      <c r="B24" s="92">
        <v>105.8</v>
      </c>
      <c r="C24" s="92">
        <v>92.2</v>
      </c>
      <c r="D24" s="92">
        <v>86.8</v>
      </c>
      <c r="E24" s="92">
        <v>83.9</v>
      </c>
      <c r="F24" s="92">
        <v>84.1</v>
      </c>
      <c r="G24" s="92">
        <v>82.4</v>
      </c>
      <c r="H24" s="92">
        <v>78.8</v>
      </c>
      <c r="I24" s="92">
        <v>73.7</v>
      </c>
      <c r="J24" s="92">
        <v>66.8</v>
      </c>
      <c r="K24" s="92">
        <v>63.3</v>
      </c>
      <c r="L24" s="92">
        <v>61.4</v>
      </c>
      <c r="M24" s="92">
        <v>51.5</v>
      </c>
      <c r="N24" s="92">
        <v>37.5</v>
      </c>
    </row>
    <row r="25" spans="1:14" ht="15">
      <c r="A25" s="90">
        <v>0.8</v>
      </c>
      <c r="B25" s="92">
        <v>105.8</v>
      </c>
      <c r="C25" s="92">
        <v>92.2</v>
      </c>
      <c r="D25" s="92">
        <v>82.4</v>
      </c>
      <c r="E25" s="92">
        <v>80.8</v>
      </c>
      <c r="F25" s="92">
        <v>81.7</v>
      </c>
      <c r="G25" s="92">
        <v>80.5</v>
      </c>
      <c r="H25" s="92">
        <v>77.400000000000006</v>
      </c>
      <c r="I25" s="92">
        <v>72.599999999999994</v>
      </c>
      <c r="J25" s="92">
        <v>65.900000000000006</v>
      </c>
      <c r="K25" s="92">
        <v>62.4</v>
      </c>
      <c r="L25" s="92">
        <v>60.4</v>
      </c>
      <c r="M25" s="92">
        <v>50.6</v>
      </c>
      <c r="N25" s="92">
        <v>37.200000000000003</v>
      </c>
    </row>
    <row r="26" spans="1:14" ht="15">
      <c r="A26" s="90">
        <v>0.7</v>
      </c>
      <c r="B26" s="92">
        <v>105.8</v>
      </c>
      <c r="C26" s="92">
        <v>92.2</v>
      </c>
      <c r="D26" s="92">
        <v>73.400000000000006</v>
      </c>
      <c r="E26" s="92">
        <v>73.900000000000006</v>
      </c>
      <c r="F26" s="92">
        <v>76.099999999999994</v>
      </c>
      <c r="G26" s="92">
        <v>76.099999999999994</v>
      </c>
      <c r="H26" s="92">
        <v>73.900000000000006</v>
      </c>
      <c r="I26" s="92">
        <v>69.7</v>
      </c>
      <c r="J26" s="92">
        <v>63.5</v>
      </c>
      <c r="K26" s="92">
        <v>60</v>
      </c>
      <c r="L26" s="92">
        <v>58.1</v>
      </c>
      <c r="M26" s="92">
        <v>48.6</v>
      </c>
      <c r="N26" s="92">
        <v>36.200000000000003</v>
      </c>
    </row>
    <row r="27" spans="1:14" ht="15">
      <c r="A27" s="90">
        <v>0.6</v>
      </c>
      <c r="B27" s="92">
        <v>105.8</v>
      </c>
      <c r="C27" s="92">
        <v>92.2</v>
      </c>
      <c r="D27" s="92">
        <v>64.099999999999994</v>
      </c>
      <c r="E27" s="92">
        <v>66.3</v>
      </c>
      <c r="F27" s="92">
        <v>69.599999999999994</v>
      </c>
      <c r="G27" s="92">
        <v>70.7</v>
      </c>
      <c r="H27" s="92">
        <v>69.3</v>
      </c>
      <c r="I27" s="92">
        <v>65.900000000000006</v>
      </c>
      <c r="J27" s="92">
        <v>60.2</v>
      </c>
      <c r="K27" s="92">
        <v>57</v>
      </c>
      <c r="L27" s="92">
        <v>55</v>
      </c>
      <c r="M27" s="92">
        <v>45.9</v>
      </c>
      <c r="N27" s="92">
        <v>34.6</v>
      </c>
    </row>
    <row r="28" spans="1:14" ht="15">
      <c r="A28" s="90">
        <v>0.5</v>
      </c>
      <c r="B28" s="92">
        <v>105.8</v>
      </c>
      <c r="C28" s="92">
        <v>92.2</v>
      </c>
      <c r="D28" s="92">
        <v>54.4</v>
      </c>
      <c r="E28" s="92">
        <v>57.9</v>
      </c>
      <c r="F28" s="92">
        <v>61.9</v>
      </c>
      <c r="G28" s="92">
        <v>63.9</v>
      </c>
      <c r="H28" s="92">
        <v>63.4</v>
      </c>
      <c r="I28" s="92">
        <v>60.8</v>
      </c>
      <c r="J28" s="92">
        <v>55.9</v>
      </c>
      <c r="K28" s="92">
        <v>52.9</v>
      </c>
      <c r="L28" s="92">
        <v>51</v>
      </c>
      <c r="M28" s="92">
        <v>42.5</v>
      </c>
      <c r="N28" s="92">
        <v>32.1</v>
      </c>
    </row>
    <row r="29" spans="1:14" ht="15">
      <c r="A29" s="90">
        <v>0.4</v>
      </c>
      <c r="B29" s="92">
        <v>105.8</v>
      </c>
      <c r="C29" s="92">
        <v>92.2</v>
      </c>
      <c r="D29" s="92">
        <v>44.3</v>
      </c>
      <c r="E29" s="92">
        <v>48.5</v>
      </c>
      <c r="F29" s="92">
        <v>53</v>
      </c>
      <c r="G29" s="92">
        <v>55.6</v>
      </c>
      <c r="H29" s="92">
        <v>55.8</v>
      </c>
      <c r="I29" s="92">
        <v>54.1</v>
      </c>
      <c r="J29" s="92">
        <v>50</v>
      </c>
      <c r="K29" s="92">
        <v>47.4</v>
      </c>
      <c r="L29" s="92">
        <v>45.7</v>
      </c>
      <c r="M29" s="92">
        <v>38</v>
      </c>
      <c r="N29" s="92">
        <v>28.8</v>
      </c>
    </row>
    <row r="30" spans="1:14" ht="15">
      <c r="A30" s="90">
        <v>0.3</v>
      </c>
      <c r="B30" s="92">
        <v>105.8</v>
      </c>
      <c r="C30" s="92">
        <v>92.2</v>
      </c>
      <c r="D30" s="92">
        <v>33.799999999999997</v>
      </c>
      <c r="E30" s="92">
        <v>38.1</v>
      </c>
      <c r="F30" s="92">
        <v>42.6</v>
      </c>
      <c r="G30" s="92">
        <v>45.5</v>
      </c>
      <c r="H30" s="92">
        <v>46.3</v>
      </c>
      <c r="I30" s="92">
        <v>45.3</v>
      </c>
      <c r="J30" s="92">
        <v>42.3</v>
      </c>
      <c r="K30" s="92">
        <v>40.200000000000003</v>
      </c>
      <c r="L30" s="92">
        <v>38.700000000000003</v>
      </c>
      <c r="M30" s="92">
        <v>32.200000000000003</v>
      </c>
      <c r="N30" s="92">
        <v>24.4</v>
      </c>
    </row>
    <row r="31" spans="1:14" ht="15">
      <c r="A31" s="90">
        <v>0.2</v>
      </c>
      <c r="B31" s="92">
        <v>105.8</v>
      </c>
      <c r="C31" s="92">
        <v>92.2</v>
      </c>
      <c r="D31" s="92">
        <v>23</v>
      </c>
      <c r="E31" s="92">
        <v>26.7</v>
      </c>
      <c r="F31" s="92">
        <v>30.4</v>
      </c>
      <c r="G31" s="92">
        <v>33.1</v>
      </c>
      <c r="H31" s="92">
        <v>34.200000000000003</v>
      </c>
      <c r="I31" s="92">
        <v>33.9</v>
      </c>
      <c r="J31" s="92">
        <v>32</v>
      </c>
      <c r="K31" s="92">
        <v>30.5</v>
      </c>
      <c r="L31" s="92">
        <v>29.4</v>
      </c>
      <c r="M31" s="92">
        <v>24.5</v>
      </c>
      <c r="N31" s="92">
        <v>18.600000000000001</v>
      </c>
    </row>
    <row r="32" spans="1:14" ht="15">
      <c r="A32" s="90">
        <v>0.1</v>
      </c>
      <c r="B32" s="92">
        <v>105.8</v>
      </c>
      <c r="C32" s="92">
        <v>92.2</v>
      </c>
      <c r="D32" s="92">
        <v>11.7</v>
      </c>
      <c r="E32" s="92">
        <v>14</v>
      </c>
      <c r="F32" s="92">
        <v>16.3</v>
      </c>
      <c r="G32" s="92">
        <v>18.100000000000001</v>
      </c>
      <c r="H32" s="92">
        <v>19</v>
      </c>
      <c r="I32" s="92">
        <v>19.2</v>
      </c>
      <c r="J32" s="92">
        <v>18.2</v>
      </c>
      <c r="K32" s="92">
        <v>17.5</v>
      </c>
      <c r="L32" s="92">
        <v>16.899999999999999</v>
      </c>
      <c r="M32" s="92">
        <v>14.1</v>
      </c>
      <c r="N32" s="92">
        <v>10.7</v>
      </c>
    </row>
    <row r="33" spans="1:14" ht="15">
      <c r="A33" s="89">
        <v>0</v>
      </c>
      <c r="B33" s="92">
        <v>105.8</v>
      </c>
      <c r="C33" s="92">
        <v>92.2</v>
      </c>
      <c r="D33" s="92">
        <v>0</v>
      </c>
      <c r="E33" s="92">
        <v>0</v>
      </c>
      <c r="F33" s="92">
        <v>0</v>
      </c>
      <c r="G33" s="92">
        <v>0</v>
      </c>
      <c r="H33" s="92">
        <v>0</v>
      </c>
      <c r="I33" s="92">
        <v>0</v>
      </c>
      <c r="J33" s="92">
        <v>0</v>
      </c>
      <c r="K33" s="92">
        <v>0</v>
      </c>
      <c r="L33" s="92">
        <v>0</v>
      </c>
      <c r="M33" s="92">
        <v>0</v>
      </c>
      <c r="N33" s="92">
        <v>0</v>
      </c>
    </row>
    <row r="34" spans="1:14" ht="15">
      <c r="A34" s="89" t="s">
        <v>48</v>
      </c>
      <c r="B34" s="92">
        <v>105.8</v>
      </c>
      <c r="C34" s="92">
        <v>103.5</v>
      </c>
      <c r="D34" s="92">
        <v>123.2</v>
      </c>
      <c r="E34" s="92">
        <v>105.5</v>
      </c>
      <c r="F34" s="92">
        <v>98.6</v>
      </c>
      <c r="G34" s="92">
        <v>91.9</v>
      </c>
      <c r="H34" s="92">
        <v>85.2</v>
      </c>
      <c r="I34" s="92">
        <v>78.099999999999994</v>
      </c>
      <c r="J34" s="92">
        <v>70.7</v>
      </c>
      <c r="K34" s="92">
        <v>67.8</v>
      </c>
      <c r="L34" s="92">
        <v>66.400000000000006</v>
      </c>
      <c r="M34" s="92">
        <v>55</v>
      </c>
      <c r="N34" s="92">
        <v>34.200000000000003</v>
      </c>
    </row>
    <row r="36" spans="1:14">
      <c r="A36" t="s">
        <v>91</v>
      </c>
    </row>
    <row r="37" spans="1:14">
      <c r="A37" t="s">
        <v>87</v>
      </c>
    </row>
    <row r="38" spans="1:14">
      <c r="A38" t="s">
        <v>89</v>
      </c>
    </row>
  </sheetData>
  <phoneticPr fontId="3"/>
  <conditionalFormatting sqref="B5:N17">
    <cfRule type="colorScale" priority="2">
      <colorScale>
        <cfvo type="min"/>
        <cfvo type="max"/>
        <color rgb="FFFCFCFF"/>
        <color rgb="FF00B0F0"/>
      </colorScale>
    </cfRule>
  </conditionalFormatting>
  <conditionalFormatting sqref="B22:N34">
    <cfRule type="colorScale" priority="1">
      <colorScale>
        <cfvo type="min"/>
        <cfvo type="max"/>
        <color rgb="FFFCFCFF"/>
        <color rgb="FF92D050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Z624"/>
  <sheetViews>
    <sheetView zoomScale="59" zoomScaleNormal="59" workbookViewId="0">
      <selection activeCell="L31" sqref="L31"/>
    </sheetView>
  </sheetViews>
  <sheetFormatPr defaultRowHeight="15"/>
  <cols>
    <col min="1" max="23" width="8.625" style="15" customWidth="1"/>
    <col min="24" max="44" width="8.625" style="1" customWidth="1"/>
    <col min="45" max="79" width="8.625" customWidth="1"/>
  </cols>
  <sheetData>
    <row r="1" spans="1:52">
      <c r="A1" s="52" t="s">
        <v>22</v>
      </c>
    </row>
    <row r="2" spans="1:52">
      <c r="A2" s="10"/>
    </row>
    <row r="3" spans="1:52" ht="15.75">
      <c r="A3" s="124" t="s">
        <v>73</v>
      </c>
      <c r="B3" s="125"/>
      <c r="C3" s="125"/>
      <c r="D3" s="125"/>
      <c r="E3" s="125"/>
      <c r="F3" s="125"/>
      <c r="G3" s="125"/>
      <c r="H3" s="125"/>
      <c r="I3" s="125"/>
      <c r="J3" s="124" t="s">
        <v>73</v>
      </c>
      <c r="K3" s="125"/>
      <c r="L3" s="125"/>
      <c r="M3" s="125"/>
      <c r="N3" s="125"/>
      <c r="O3" s="125"/>
      <c r="P3" s="125"/>
      <c r="Q3" s="125"/>
      <c r="R3" s="125"/>
      <c r="S3" s="124" t="s">
        <v>73</v>
      </c>
      <c r="T3" s="125"/>
      <c r="U3" s="125"/>
      <c r="V3" s="125"/>
      <c r="W3" s="125"/>
      <c r="X3" s="125"/>
      <c r="Y3" s="125"/>
      <c r="Z3" s="125"/>
      <c r="AA3" s="125"/>
      <c r="AB3" s="124" t="s">
        <v>73</v>
      </c>
      <c r="AC3" s="125"/>
      <c r="AD3" s="125"/>
      <c r="AE3" s="125"/>
      <c r="AF3" s="125"/>
      <c r="AG3" s="125"/>
      <c r="AH3" s="125"/>
      <c r="AI3" s="125"/>
      <c r="AJ3" s="125"/>
      <c r="AK3" s="124" t="s">
        <v>73</v>
      </c>
      <c r="AL3" s="125"/>
      <c r="AM3" s="125"/>
      <c r="AN3" s="125"/>
      <c r="AO3" s="125"/>
      <c r="AP3" s="126"/>
      <c r="AQ3" s="126"/>
      <c r="AR3" s="126"/>
      <c r="AS3" s="126"/>
      <c r="AT3" s="124" t="s">
        <v>73</v>
      </c>
      <c r="AU3" s="126"/>
      <c r="AV3" s="126"/>
      <c r="AW3" s="105"/>
      <c r="AX3" s="105"/>
      <c r="AY3" s="105"/>
      <c r="AZ3" s="105"/>
    </row>
    <row r="4" spans="1:52" ht="15.75">
      <c r="A4" s="127" t="s">
        <v>74</v>
      </c>
      <c r="B4" s="128">
        <v>1976</v>
      </c>
      <c r="C4" s="128">
        <v>1977</v>
      </c>
      <c r="D4" s="128">
        <v>1978</v>
      </c>
      <c r="E4" s="128">
        <v>1979</v>
      </c>
      <c r="F4" s="128">
        <v>1980</v>
      </c>
      <c r="G4" s="128">
        <v>1981</v>
      </c>
      <c r="H4" s="128">
        <v>1982</v>
      </c>
      <c r="I4" s="128">
        <v>1983</v>
      </c>
      <c r="J4" s="129" t="s">
        <v>74</v>
      </c>
      <c r="K4" s="128">
        <v>1984</v>
      </c>
      <c r="L4" s="128">
        <v>1985</v>
      </c>
      <c r="M4" s="130">
        <v>1986</v>
      </c>
      <c r="N4" s="130">
        <v>1987</v>
      </c>
      <c r="O4" s="130">
        <v>1988</v>
      </c>
      <c r="P4" s="130">
        <v>1989</v>
      </c>
      <c r="Q4" s="130">
        <v>1990</v>
      </c>
      <c r="R4" s="130">
        <v>1991</v>
      </c>
      <c r="S4" s="129" t="s">
        <v>74</v>
      </c>
      <c r="T4" s="130">
        <v>1992</v>
      </c>
      <c r="U4" s="130">
        <v>1993</v>
      </c>
      <c r="V4" s="130">
        <v>1994</v>
      </c>
      <c r="W4" s="130">
        <v>1995</v>
      </c>
      <c r="X4" s="131">
        <v>1996</v>
      </c>
      <c r="Y4" s="131">
        <v>1997</v>
      </c>
      <c r="Z4" s="131">
        <v>1998</v>
      </c>
      <c r="AA4" s="131">
        <v>1999</v>
      </c>
      <c r="AB4" s="129" t="s">
        <v>74</v>
      </c>
      <c r="AC4" s="131">
        <v>2000</v>
      </c>
      <c r="AD4" s="131">
        <v>2001</v>
      </c>
      <c r="AE4" s="131">
        <v>2002</v>
      </c>
      <c r="AF4" s="131">
        <v>2003</v>
      </c>
      <c r="AG4" s="131">
        <v>2004</v>
      </c>
      <c r="AH4" s="131">
        <v>2005</v>
      </c>
      <c r="AI4" s="131">
        <v>2006</v>
      </c>
      <c r="AJ4" s="131">
        <v>2007</v>
      </c>
      <c r="AK4" s="129" t="s">
        <v>74</v>
      </c>
      <c r="AL4" s="131">
        <v>2008</v>
      </c>
      <c r="AM4" s="131">
        <v>2009</v>
      </c>
      <c r="AN4" s="131">
        <v>2010</v>
      </c>
      <c r="AO4" s="131">
        <v>2011</v>
      </c>
      <c r="AP4" s="131">
        <v>2012</v>
      </c>
      <c r="AQ4" s="131">
        <v>2013</v>
      </c>
      <c r="AR4" s="131">
        <v>2014</v>
      </c>
      <c r="AS4" s="131">
        <v>2015</v>
      </c>
      <c r="AT4" s="129" t="s">
        <v>74</v>
      </c>
      <c r="AU4" s="131">
        <v>2016</v>
      </c>
      <c r="AV4" s="132">
        <v>2017</v>
      </c>
      <c r="AW4" s="132">
        <v>2018</v>
      </c>
      <c r="AX4" s="132">
        <v>2019</v>
      </c>
      <c r="AY4" s="132">
        <v>2020</v>
      </c>
      <c r="AZ4" s="132">
        <v>2021</v>
      </c>
    </row>
    <row r="5" spans="1:52" ht="15.75">
      <c r="A5" s="133" t="s">
        <v>23</v>
      </c>
      <c r="B5" s="134">
        <v>2688</v>
      </c>
      <c r="C5" s="134">
        <v>3838</v>
      </c>
      <c r="D5" s="134">
        <v>3043</v>
      </c>
      <c r="E5" s="134">
        <v>2828</v>
      </c>
      <c r="F5" s="134">
        <v>13733</v>
      </c>
      <c r="G5" s="134">
        <v>6276</v>
      </c>
      <c r="H5" s="134">
        <v>3578</v>
      </c>
      <c r="I5" s="134">
        <v>3601</v>
      </c>
      <c r="J5" s="135" t="s">
        <v>23</v>
      </c>
      <c r="K5" s="134">
        <v>9656</v>
      </c>
      <c r="L5" s="134">
        <v>16152</v>
      </c>
      <c r="M5" s="136">
        <v>2612</v>
      </c>
      <c r="N5" s="136">
        <v>13293</v>
      </c>
      <c r="O5" s="136">
        <v>1857</v>
      </c>
      <c r="P5" s="136">
        <v>4733</v>
      </c>
      <c r="Q5" s="136">
        <v>1831</v>
      </c>
      <c r="R5" s="136">
        <v>482</v>
      </c>
      <c r="S5" s="135" t="s">
        <v>23</v>
      </c>
      <c r="T5" s="136">
        <v>4003</v>
      </c>
      <c r="U5" s="136">
        <v>2806</v>
      </c>
      <c r="V5" s="136">
        <v>3517</v>
      </c>
      <c r="W5" s="136">
        <v>1973</v>
      </c>
      <c r="X5" s="136">
        <v>2948</v>
      </c>
      <c r="Y5" s="136">
        <v>725</v>
      </c>
      <c r="Z5" s="136">
        <v>451</v>
      </c>
      <c r="AA5" s="136">
        <v>61</v>
      </c>
      <c r="AB5" s="135" t="s">
        <v>23</v>
      </c>
      <c r="AC5" s="136">
        <v>1071</v>
      </c>
      <c r="AD5" s="136">
        <v>753</v>
      </c>
      <c r="AE5" s="136">
        <v>24</v>
      </c>
      <c r="AF5" s="136">
        <v>152</v>
      </c>
      <c r="AG5" s="136">
        <v>375</v>
      </c>
      <c r="AH5" s="136">
        <v>260</v>
      </c>
      <c r="AI5" s="136">
        <v>172</v>
      </c>
      <c r="AJ5" s="136">
        <v>750</v>
      </c>
      <c r="AK5" s="135" t="s">
        <v>23</v>
      </c>
      <c r="AL5" s="136">
        <v>459</v>
      </c>
      <c r="AM5" s="136">
        <v>121</v>
      </c>
      <c r="AN5" s="136">
        <v>209</v>
      </c>
      <c r="AO5" s="136">
        <v>760</v>
      </c>
      <c r="AP5" s="136">
        <v>515</v>
      </c>
      <c r="AQ5" s="136">
        <v>330</v>
      </c>
      <c r="AR5" s="136">
        <v>2554</v>
      </c>
      <c r="AS5" s="136">
        <v>4523</v>
      </c>
      <c r="AT5" s="135" t="s">
        <v>23</v>
      </c>
      <c r="AU5" s="136">
        <v>4040</v>
      </c>
      <c r="AV5" s="136">
        <v>6134</v>
      </c>
      <c r="AW5" s="136">
        <v>6357</v>
      </c>
      <c r="AX5" s="136">
        <v>1698</v>
      </c>
      <c r="AY5" s="136">
        <v>3224</v>
      </c>
      <c r="AZ5" s="136">
        <v>2361</v>
      </c>
    </row>
    <row r="6" spans="1:52" ht="15.75">
      <c r="A6" s="133" t="s">
        <v>24</v>
      </c>
      <c r="B6" s="134">
        <v>7763</v>
      </c>
      <c r="C6" s="134">
        <v>5052</v>
      </c>
      <c r="D6" s="134">
        <v>8106</v>
      </c>
      <c r="E6" s="134">
        <v>4208</v>
      </c>
      <c r="F6" s="134">
        <v>1500</v>
      </c>
      <c r="G6" s="134">
        <v>36761</v>
      </c>
      <c r="H6" s="134">
        <v>10028</v>
      </c>
      <c r="I6" s="134">
        <v>4538</v>
      </c>
      <c r="J6" s="135" t="s">
        <v>24</v>
      </c>
      <c r="K6" s="134">
        <v>12952</v>
      </c>
      <c r="L6" s="134">
        <v>12648</v>
      </c>
      <c r="M6" s="136">
        <v>16897</v>
      </c>
      <c r="N6" s="136">
        <v>7413</v>
      </c>
      <c r="O6" s="136">
        <v>12465</v>
      </c>
      <c r="P6" s="136">
        <v>1176</v>
      </c>
      <c r="Q6" s="136">
        <v>2798</v>
      </c>
      <c r="R6" s="136">
        <v>775</v>
      </c>
      <c r="S6" s="135" t="s">
        <v>24</v>
      </c>
      <c r="T6" s="136">
        <v>1190</v>
      </c>
      <c r="U6" s="136">
        <v>8933</v>
      </c>
      <c r="V6" s="136">
        <v>2089</v>
      </c>
      <c r="W6" s="136">
        <v>2533</v>
      </c>
      <c r="X6" s="136">
        <v>651</v>
      </c>
      <c r="Y6" s="136">
        <v>2638</v>
      </c>
      <c r="Z6" s="136">
        <v>993</v>
      </c>
      <c r="AA6" s="136">
        <v>2606</v>
      </c>
      <c r="AB6" s="135" t="s">
        <v>24</v>
      </c>
      <c r="AC6" s="136">
        <v>255</v>
      </c>
      <c r="AD6" s="136">
        <v>1466</v>
      </c>
      <c r="AE6" s="136">
        <v>471</v>
      </c>
      <c r="AF6" s="136">
        <v>410</v>
      </c>
      <c r="AG6" s="136">
        <v>399</v>
      </c>
      <c r="AH6" s="136">
        <v>101</v>
      </c>
      <c r="AI6" s="136">
        <v>464</v>
      </c>
      <c r="AJ6" s="136">
        <v>430</v>
      </c>
      <c r="AK6" s="135" t="s">
        <v>24</v>
      </c>
      <c r="AL6" s="136">
        <v>178</v>
      </c>
      <c r="AM6" s="136">
        <v>620</v>
      </c>
      <c r="AN6" s="136">
        <v>406</v>
      </c>
      <c r="AO6" s="136">
        <v>1769</v>
      </c>
      <c r="AP6" s="136">
        <v>612</v>
      </c>
      <c r="AQ6" s="136">
        <v>813</v>
      </c>
      <c r="AR6" s="136">
        <v>567</v>
      </c>
      <c r="AS6" s="136">
        <v>2783</v>
      </c>
      <c r="AT6" s="135" t="s">
        <v>24</v>
      </c>
      <c r="AU6" s="136">
        <v>1921</v>
      </c>
      <c r="AV6" s="136">
        <v>1425</v>
      </c>
      <c r="AW6" s="136">
        <v>2654</v>
      </c>
      <c r="AX6" s="136">
        <v>4551</v>
      </c>
      <c r="AY6" s="136">
        <v>4271</v>
      </c>
      <c r="AZ6" s="136">
        <v>5724</v>
      </c>
    </row>
    <row r="7" spans="1:52" ht="15.75">
      <c r="A7" s="133" t="s">
        <v>25</v>
      </c>
      <c r="B7" s="134">
        <v>2542</v>
      </c>
      <c r="C7" s="134">
        <v>5224</v>
      </c>
      <c r="D7" s="134">
        <v>4401</v>
      </c>
      <c r="E7" s="134">
        <v>4714</v>
      </c>
      <c r="F7" s="134">
        <v>3591</v>
      </c>
      <c r="G7" s="134">
        <v>1964</v>
      </c>
      <c r="H7" s="134">
        <v>22951</v>
      </c>
      <c r="I7" s="134">
        <v>15526</v>
      </c>
      <c r="J7" s="135" t="s">
        <v>25</v>
      </c>
      <c r="K7" s="134">
        <v>8377</v>
      </c>
      <c r="L7" s="134">
        <v>8947</v>
      </c>
      <c r="M7" s="136">
        <v>8340</v>
      </c>
      <c r="N7" s="136">
        <v>13945</v>
      </c>
      <c r="O7" s="136">
        <v>12176</v>
      </c>
      <c r="P7" s="136">
        <v>6865</v>
      </c>
      <c r="Q7" s="136">
        <v>2632</v>
      </c>
      <c r="R7" s="136">
        <v>944</v>
      </c>
      <c r="S7" s="135" t="s">
        <v>25</v>
      </c>
      <c r="T7" s="136">
        <v>363</v>
      </c>
      <c r="U7" s="136">
        <v>317</v>
      </c>
      <c r="V7" s="136">
        <v>1788</v>
      </c>
      <c r="W7" s="136">
        <v>1231</v>
      </c>
      <c r="X7" s="136">
        <v>336</v>
      </c>
      <c r="Y7" s="136">
        <v>449</v>
      </c>
      <c r="Z7" s="136">
        <v>490</v>
      </c>
      <c r="AA7" s="136">
        <v>1108</v>
      </c>
      <c r="AB7" s="135" t="s">
        <v>25</v>
      </c>
      <c r="AC7" s="136">
        <v>377</v>
      </c>
      <c r="AD7" s="136">
        <v>564</v>
      </c>
      <c r="AE7" s="136">
        <v>137</v>
      </c>
      <c r="AF7" s="136">
        <v>127</v>
      </c>
      <c r="AG7" s="136">
        <v>71</v>
      </c>
      <c r="AH7" s="136">
        <v>22</v>
      </c>
      <c r="AI7" s="136">
        <v>43</v>
      </c>
      <c r="AJ7" s="136">
        <v>206</v>
      </c>
      <c r="AK7" s="135" t="s">
        <v>25</v>
      </c>
      <c r="AL7" s="136">
        <v>36</v>
      </c>
      <c r="AM7" s="136">
        <v>29</v>
      </c>
      <c r="AN7" s="136">
        <v>206</v>
      </c>
      <c r="AO7" s="136">
        <v>76</v>
      </c>
      <c r="AP7" s="136">
        <v>570</v>
      </c>
      <c r="AQ7" s="136">
        <v>544</v>
      </c>
      <c r="AR7" s="136">
        <v>483</v>
      </c>
      <c r="AS7" s="136">
        <v>398</v>
      </c>
      <c r="AT7" s="135" t="s">
        <v>25</v>
      </c>
      <c r="AU7" s="136">
        <v>1300</v>
      </c>
      <c r="AV7" s="136">
        <v>1527</v>
      </c>
      <c r="AW7" s="136">
        <v>2117</v>
      </c>
      <c r="AX7" s="136">
        <v>5591</v>
      </c>
      <c r="AY7" s="136">
        <v>11112</v>
      </c>
      <c r="AZ7" s="136">
        <v>9660</v>
      </c>
    </row>
    <row r="8" spans="1:52" ht="15.75">
      <c r="A8" s="133" t="s">
        <v>26</v>
      </c>
      <c r="B8" s="134">
        <v>278</v>
      </c>
      <c r="C8" s="134">
        <v>1636</v>
      </c>
      <c r="D8" s="134">
        <v>2353</v>
      </c>
      <c r="E8" s="134">
        <v>2750</v>
      </c>
      <c r="F8" s="134">
        <v>4998</v>
      </c>
      <c r="G8" s="134">
        <v>3654</v>
      </c>
      <c r="H8" s="134">
        <v>2007</v>
      </c>
      <c r="I8" s="134">
        <v>20050</v>
      </c>
      <c r="J8" s="135" t="s">
        <v>26</v>
      </c>
      <c r="K8" s="134">
        <v>13665</v>
      </c>
      <c r="L8" s="134">
        <v>10192</v>
      </c>
      <c r="M8" s="136">
        <v>8256</v>
      </c>
      <c r="N8" s="136">
        <v>12206</v>
      </c>
      <c r="O8" s="136">
        <v>8351</v>
      </c>
      <c r="P8" s="136">
        <v>11210</v>
      </c>
      <c r="Q8" s="136">
        <v>6753</v>
      </c>
      <c r="R8" s="136">
        <v>1373</v>
      </c>
      <c r="S8" s="135" t="s">
        <v>26</v>
      </c>
      <c r="T8" s="136">
        <v>738</v>
      </c>
      <c r="U8" s="136">
        <v>321</v>
      </c>
      <c r="V8" s="136">
        <v>319</v>
      </c>
      <c r="W8" s="136">
        <v>193</v>
      </c>
      <c r="X8" s="136">
        <v>128</v>
      </c>
      <c r="Y8" s="136">
        <v>139</v>
      </c>
      <c r="Z8" s="136">
        <v>148</v>
      </c>
      <c r="AA8" s="136">
        <v>421</v>
      </c>
      <c r="AB8" s="135" t="s">
        <v>26</v>
      </c>
      <c r="AC8" s="136">
        <v>320</v>
      </c>
      <c r="AD8" s="136">
        <v>196</v>
      </c>
      <c r="AE8" s="136">
        <v>50</v>
      </c>
      <c r="AF8" s="136">
        <v>73</v>
      </c>
      <c r="AG8" s="136">
        <v>13</v>
      </c>
      <c r="AH8" s="136">
        <v>35</v>
      </c>
      <c r="AI8" s="136">
        <v>23</v>
      </c>
      <c r="AJ8" s="136">
        <v>20</v>
      </c>
      <c r="AK8" s="135" t="s">
        <v>26</v>
      </c>
      <c r="AL8" s="136">
        <v>16</v>
      </c>
      <c r="AM8" s="136">
        <v>11</v>
      </c>
      <c r="AN8" s="136">
        <v>14</v>
      </c>
      <c r="AO8" s="136">
        <v>15</v>
      </c>
      <c r="AP8" s="136">
        <v>25</v>
      </c>
      <c r="AQ8" s="136">
        <v>240</v>
      </c>
      <c r="AR8" s="136">
        <v>297</v>
      </c>
      <c r="AS8" s="136">
        <v>211</v>
      </c>
      <c r="AT8" s="135" t="s">
        <v>26</v>
      </c>
      <c r="AU8" s="136">
        <v>353</v>
      </c>
      <c r="AV8" s="136">
        <v>1150</v>
      </c>
      <c r="AW8" s="136">
        <v>1170</v>
      </c>
      <c r="AX8" s="136">
        <v>1337</v>
      </c>
      <c r="AY8" s="136">
        <v>2434</v>
      </c>
      <c r="AZ8" s="136">
        <v>5777</v>
      </c>
    </row>
    <row r="9" spans="1:52" ht="15.75">
      <c r="A9" s="133" t="s">
        <v>27</v>
      </c>
      <c r="B9" s="134">
        <v>98</v>
      </c>
      <c r="C9" s="134">
        <v>53</v>
      </c>
      <c r="D9" s="134">
        <v>346</v>
      </c>
      <c r="E9" s="134">
        <v>745</v>
      </c>
      <c r="F9" s="134">
        <v>1790</v>
      </c>
      <c r="G9" s="134">
        <v>1845</v>
      </c>
      <c r="H9" s="134">
        <v>3494</v>
      </c>
      <c r="I9" s="134">
        <v>874</v>
      </c>
      <c r="J9" s="135" t="s">
        <v>27</v>
      </c>
      <c r="K9" s="134">
        <v>6671</v>
      </c>
      <c r="L9" s="134">
        <v>6217</v>
      </c>
      <c r="M9" s="136">
        <v>5976</v>
      </c>
      <c r="N9" s="136">
        <v>6746</v>
      </c>
      <c r="O9" s="136">
        <v>6310</v>
      </c>
      <c r="P9" s="136">
        <v>7801</v>
      </c>
      <c r="Q9" s="136">
        <v>9491</v>
      </c>
      <c r="R9" s="136">
        <v>5685</v>
      </c>
      <c r="S9" s="135" t="s">
        <v>27</v>
      </c>
      <c r="T9" s="136">
        <v>768</v>
      </c>
      <c r="U9" s="136">
        <v>329</v>
      </c>
      <c r="V9" s="136">
        <v>125</v>
      </c>
      <c r="W9" s="136">
        <v>42</v>
      </c>
      <c r="X9" s="136">
        <v>28</v>
      </c>
      <c r="Y9" s="136">
        <v>30</v>
      </c>
      <c r="Z9" s="136">
        <v>142</v>
      </c>
      <c r="AA9" s="136">
        <v>174</v>
      </c>
      <c r="AB9" s="135" t="s">
        <v>27</v>
      </c>
      <c r="AC9" s="136">
        <v>235</v>
      </c>
      <c r="AD9" s="136">
        <v>103</v>
      </c>
      <c r="AE9" s="136">
        <v>27</v>
      </c>
      <c r="AF9" s="136">
        <v>31</v>
      </c>
      <c r="AG9" s="136">
        <v>9</v>
      </c>
      <c r="AH9" s="136">
        <v>46</v>
      </c>
      <c r="AI9" s="136">
        <v>13</v>
      </c>
      <c r="AJ9" s="136">
        <v>7</v>
      </c>
      <c r="AK9" s="135" t="s">
        <v>27</v>
      </c>
      <c r="AL9" s="136">
        <v>2</v>
      </c>
      <c r="AM9" s="136">
        <v>6</v>
      </c>
      <c r="AN9" s="136">
        <v>10</v>
      </c>
      <c r="AO9" s="136">
        <v>6</v>
      </c>
      <c r="AP9" s="136">
        <v>4</v>
      </c>
      <c r="AQ9" s="136">
        <v>8</v>
      </c>
      <c r="AR9" s="136">
        <v>83</v>
      </c>
      <c r="AS9" s="136">
        <v>42</v>
      </c>
      <c r="AT9" s="135" t="s">
        <v>27</v>
      </c>
      <c r="AU9" s="136">
        <v>140</v>
      </c>
      <c r="AV9" s="136">
        <v>275</v>
      </c>
      <c r="AW9" s="136">
        <v>363</v>
      </c>
      <c r="AX9" s="136">
        <v>560</v>
      </c>
      <c r="AY9" s="136">
        <v>671</v>
      </c>
      <c r="AZ9" s="136">
        <v>765</v>
      </c>
    </row>
    <row r="10" spans="1:52" ht="15.75">
      <c r="A10" s="133" t="s">
        <v>75</v>
      </c>
      <c r="B10" s="134">
        <v>1</v>
      </c>
      <c r="C10" s="134">
        <v>1</v>
      </c>
      <c r="D10" s="134">
        <v>27</v>
      </c>
      <c r="E10" s="134">
        <v>19</v>
      </c>
      <c r="F10" s="134">
        <v>324</v>
      </c>
      <c r="G10" s="134">
        <v>348</v>
      </c>
      <c r="H10" s="134">
        <v>1365</v>
      </c>
      <c r="I10" s="134">
        <v>1358</v>
      </c>
      <c r="J10" s="135" t="s">
        <v>75</v>
      </c>
      <c r="K10" s="134">
        <v>2958</v>
      </c>
      <c r="L10" s="134">
        <v>2039</v>
      </c>
      <c r="M10" s="136">
        <v>2452</v>
      </c>
      <c r="N10" s="136">
        <v>2929</v>
      </c>
      <c r="O10" s="136">
        <v>3073</v>
      </c>
      <c r="P10" s="136">
        <v>4185</v>
      </c>
      <c r="Q10" s="136">
        <v>4655</v>
      </c>
      <c r="R10" s="136">
        <v>8525</v>
      </c>
      <c r="S10" s="135" t="s">
        <v>75</v>
      </c>
      <c r="T10" s="136">
        <v>8352</v>
      </c>
      <c r="U10" s="136">
        <v>932</v>
      </c>
      <c r="V10" s="136">
        <v>328</v>
      </c>
      <c r="W10" s="136">
        <v>60</v>
      </c>
      <c r="X10" s="136">
        <v>12</v>
      </c>
      <c r="Y10" s="136">
        <v>10</v>
      </c>
      <c r="Z10" s="136">
        <v>71</v>
      </c>
      <c r="AA10" s="136">
        <v>59</v>
      </c>
      <c r="AB10" s="135" t="s">
        <v>75</v>
      </c>
      <c r="AC10" s="136">
        <v>89</v>
      </c>
      <c r="AD10" s="136">
        <v>71</v>
      </c>
      <c r="AE10" s="136">
        <v>17</v>
      </c>
      <c r="AF10" s="136">
        <v>12</v>
      </c>
      <c r="AG10" s="136">
        <v>5</v>
      </c>
      <c r="AH10" s="136">
        <v>22</v>
      </c>
      <c r="AI10" s="136">
        <v>3</v>
      </c>
      <c r="AJ10" s="136">
        <v>3</v>
      </c>
      <c r="AK10" s="135" t="s">
        <v>75</v>
      </c>
      <c r="AL10" s="136">
        <v>1</v>
      </c>
      <c r="AM10" s="136">
        <v>2</v>
      </c>
      <c r="AN10" s="136">
        <v>8</v>
      </c>
      <c r="AO10" s="136">
        <v>8</v>
      </c>
      <c r="AP10" s="136">
        <v>1</v>
      </c>
      <c r="AQ10" s="136">
        <v>5</v>
      </c>
      <c r="AR10" s="136">
        <v>3</v>
      </c>
      <c r="AS10" s="136">
        <v>65</v>
      </c>
      <c r="AT10" s="135" t="s">
        <v>75</v>
      </c>
      <c r="AU10" s="136">
        <v>31</v>
      </c>
      <c r="AV10" s="136">
        <v>89</v>
      </c>
      <c r="AW10" s="136">
        <v>135</v>
      </c>
      <c r="AX10" s="136">
        <v>169</v>
      </c>
      <c r="AY10" s="136">
        <v>128</v>
      </c>
      <c r="AZ10" s="136">
        <v>178</v>
      </c>
    </row>
    <row r="11" spans="1:52" ht="15.75">
      <c r="A11" s="137" t="s">
        <v>28</v>
      </c>
      <c r="B11" s="138">
        <v>13370</v>
      </c>
      <c r="C11" s="138">
        <v>15803</v>
      </c>
      <c r="D11" s="138">
        <v>18276</v>
      </c>
      <c r="E11" s="138">
        <v>15264</v>
      </c>
      <c r="F11" s="138">
        <v>25937</v>
      </c>
      <c r="G11" s="138">
        <v>50849</v>
      </c>
      <c r="H11" s="138">
        <v>43422</v>
      </c>
      <c r="I11" s="138">
        <v>45946</v>
      </c>
      <c r="J11" s="137" t="s">
        <v>28</v>
      </c>
      <c r="K11" s="138">
        <v>54278</v>
      </c>
      <c r="L11" s="138">
        <v>56194</v>
      </c>
      <c r="M11" s="138">
        <v>44531</v>
      </c>
      <c r="N11" s="138">
        <v>56532</v>
      </c>
      <c r="O11" s="138">
        <v>44231</v>
      </c>
      <c r="P11" s="138">
        <v>35970</v>
      </c>
      <c r="Q11" s="138">
        <v>28160</v>
      </c>
      <c r="R11" s="138">
        <v>17784</v>
      </c>
      <c r="S11" s="137" t="s">
        <v>28</v>
      </c>
      <c r="T11" s="138">
        <v>15414</v>
      </c>
      <c r="U11" s="138">
        <v>13637</v>
      </c>
      <c r="V11" s="138">
        <v>8168</v>
      </c>
      <c r="W11" s="138">
        <v>6033</v>
      </c>
      <c r="X11" s="139">
        <v>4103</v>
      </c>
      <c r="Y11" s="139">
        <v>3990</v>
      </c>
      <c r="Z11" s="139">
        <v>2295</v>
      </c>
      <c r="AA11" s="139">
        <v>4428</v>
      </c>
      <c r="AB11" s="137" t="s">
        <v>28</v>
      </c>
      <c r="AC11" s="139">
        <v>2347</v>
      </c>
      <c r="AD11" s="139">
        <v>3154</v>
      </c>
      <c r="AE11" s="139">
        <v>725</v>
      </c>
      <c r="AF11" s="139">
        <v>804</v>
      </c>
      <c r="AG11" s="139">
        <v>872</v>
      </c>
      <c r="AH11" s="139">
        <v>486</v>
      </c>
      <c r="AI11" s="139">
        <v>718</v>
      </c>
      <c r="AJ11" s="139">
        <v>1416</v>
      </c>
      <c r="AK11" s="137" t="s">
        <v>28</v>
      </c>
      <c r="AL11" s="139">
        <v>692</v>
      </c>
      <c r="AM11" s="139">
        <v>788</v>
      </c>
      <c r="AN11" s="139">
        <v>852</v>
      </c>
      <c r="AO11" s="139">
        <v>2634</v>
      </c>
      <c r="AP11" s="139">
        <v>1727</v>
      </c>
      <c r="AQ11" s="139">
        <v>1939</v>
      </c>
      <c r="AR11" s="139">
        <v>3987</v>
      </c>
      <c r="AS11" s="139">
        <v>8022</v>
      </c>
      <c r="AT11" s="137" t="s">
        <v>28</v>
      </c>
      <c r="AU11" s="139">
        <v>7785</v>
      </c>
      <c r="AV11" s="139">
        <v>10602</v>
      </c>
      <c r="AW11" s="139">
        <v>12797</v>
      </c>
      <c r="AX11" s="139">
        <v>13907</v>
      </c>
      <c r="AY11" s="139">
        <v>21840</v>
      </c>
      <c r="AZ11" s="139">
        <v>24464</v>
      </c>
    </row>
    <row r="12" spans="1:52" ht="15.75">
      <c r="A12" s="140"/>
      <c r="B12" s="140"/>
      <c r="C12" s="141"/>
      <c r="D12" s="141"/>
      <c r="E12" s="141"/>
      <c r="F12" s="141"/>
      <c r="G12" s="141"/>
      <c r="H12" s="141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0"/>
      <c r="Y12" s="140"/>
      <c r="Z12" s="140"/>
      <c r="AA12" s="142"/>
      <c r="AB12" s="140"/>
      <c r="AC12" s="142"/>
      <c r="AD12" s="142"/>
      <c r="AE12" s="142"/>
      <c r="AF12" s="142"/>
      <c r="AG12" s="142"/>
      <c r="AH12" s="142"/>
      <c r="AI12" s="142"/>
      <c r="AJ12" s="140"/>
      <c r="AK12" s="140"/>
      <c r="AL12" s="140"/>
      <c r="AM12" s="142"/>
      <c r="AN12" s="140"/>
      <c r="AO12" s="140"/>
      <c r="AP12" s="142"/>
      <c r="AQ12" s="140"/>
      <c r="AR12" s="140"/>
      <c r="AS12" s="142"/>
      <c r="AT12" s="140"/>
      <c r="AU12" s="140"/>
      <c r="AV12" s="140"/>
      <c r="AW12" s="140"/>
      <c r="AX12" s="140"/>
      <c r="AY12" s="140"/>
      <c r="AZ12" s="140"/>
    </row>
    <row r="13" spans="1:52" ht="15.75">
      <c r="A13" s="125" t="s">
        <v>76</v>
      </c>
      <c r="B13" s="125"/>
      <c r="C13" s="125"/>
      <c r="D13" s="125"/>
      <c r="E13" s="125"/>
      <c r="F13" s="125"/>
      <c r="G13" s="125"/>
      <c r="H13" s="125"/>
      <c r="I13" s="125"/>
      <c r="J13" s="124" t="s">
        <v>77</v>
      </c>
      <c r="K13" s="125"/>
      <c r="L13" s="125"/>
      <c r="M13" s="125"/>
      <c r="N13" s="125"/>
      <c r="O13" s="125"/>
      <c r="P13" s="125"/>
      <c r="Q13" s="125"/>
      <c r="R13" s="125"/>
      <c r="S13" s="124" t="s">
        <v>77</v>
      </c>
      <c r="T13" s="125"/>
      <c r="U13" s="125"/>
      <c r="V13" s="125"/>
      <c r="W13" s="125"/>
      <c r="X13" s="125"/>
      <c r="Y13" s="125"/>
      <c r="Z13" s="125"/>
      <c r="AA13" s="125"/>
      <c r="AB13" s="124" t="s">
        <v>77</v>
      </c>
      <c r="AC13" s="125"/>
      <c r="AD13" s="125"/>
      <c r="AE13" s="125"/>
      <c r="AF13" s="125"/>
      <c r="AG13" s="125"/>
      <c r="AH13" s="125"/>
      <c r="AI13" s="125"/>
      <c r="AJ13" s="125"/>
      <c r="AK13" s="124" t="s">
        <v>77</v>
      </c>
      <c r="AL13" s="125"/>
      <c r="AM13" s="125"/>
      <c r="AN13" s="125"/>
      <c r="AO13" s="125"/>
      <c r="AP13" s="125"/>
      <c r="AQ13" s="125"/>
      <c r="AR13" s="125"/>
      <c r="AS13" s="125"/>
      <c r="AT13" s="124" t="s">
        <v>77</v>
      </c>
      <c r="AU13" s="125"/>
      <c r="AV13" s="125"/>
      <c r="AW13" s="125"/>
      <c r="AX13" s="125"/>
      <c r="AY13" s="125"/>
      <c r="AZ13" s="125"/>
    </row>
    <row r="14" spans="1:52" ht="15.75">
      <c r="A14" s="127" t="s">
        <v>74</v>
      </c>
      <c r="B14" s="128">
        <v>1976</v>
      </c>
      <c r="C14" s="128">
        <v>1977</v>
      </c>
      <c r="D14" s="128">
        <v>1978</v>
      </c>
      <c r="E14" s="128">
        <v>1979</v>
      </c>
      <c r="F14" s="128">
        <v>1980</v>
      </c>
      <c r="G14" s="128">
        <v>1981</v>
      </c>
      <c r="H14" s="128">
        <v>1982</v>
      </c>
      <c r="I14" s="128">
        <v>1983</v>
      </c>
      <c r="J14" s="129" t="s">
        <v>74</v>
      </c>
      <c r="K14" s="128">
        <v>1984</v>
      </c>
      <c r="L14" s="128">
        <v>1985</v>
      </c>
      <c r="M14" s="128">
        <v>1986</v>
      </c>
      <c r="N14" s="128">
        <v>1987</v>
      </c>
      <c r="O14" s="128">
        <v>1988</v>
      </c>
      <c r="P14" s="128">
        <v>1989</v>
      </c>
      <c r="Q14" s="128">
        <v>1990</v>
      </c>
      <c r="R14" s="128">
        <v>1991</v>
      </c>
      <c r="S14" s="129" t="s">
        <v>74</v>
      </c>
      <c r="T14" s="128">
        <v>1992</v>
      </c>
      <c r="U14" s="128">
        <v>1993</v>
      </c>
      <c r="V14" s="128">
        <v>1994</v>
      </c>
      <c r="W14" s="128">
        <v>1995</v>
      </c>
      <c r="X14" s="128">
        <v>1996</v>
      </c>
      <c r="Y14" s="128">
        <v>1997</v>
      </c>
      <c r="Z14" s="128">
        <v>1998</v>
      </c>
      <c r="AA14" s="128">
        <v>1999</v>
      </c>
      <c r="AB14" s="129" t="s">
        <v>74</v>
      </c>
      <c r="AC14" s="128">
        <v>2000</v>
      </c>
      <c r="AD14" s="128">
        <v>2001</v>
      </c>
      <c r="AE14" s="128">
        <v>2002</v>
      </c>
      <c r="AF14" s="128">
        <v>2003</v>
      </c>
      <c r="AG14" s="128">
        <v>2004</v>
      </c>
      <c r="AH14" s="128">
        <v>2005</v>
      </c>
      <c r="AI14" s="128">
        <v>2006</v>
      </c>
      <c r="AJ14" s="128">
        <v>2007</v>
      </c>
      <c r="AK14" s="129" t="s">
        <v>74</v>
      </c>
      <c r="AL14" s="128">
        <v>2008</v>
      </c>
      <c r="AM14" s="128">
        <v>2009</v>
      </c>
      <c r="AN14" s="128">
        <v>2010</v>
      </c>
      <c r="AO14" s="128">
        <v>2011</v>
      </c>
      <c r="AP14" s="128">
        <v>2012</v>
      </c>
      <c r="AQ14" s="128">
        <v>2013</v>
      </c>
      <c r="AR14" s="128">
        <v>2014</v>
      </c>
      <c r="AS14" s="128">
        <v>2015</v>
      </c>
      <c r="AT14" s="129" t="s">
        <v>74</v>
      </c>
      <c r="AU14" s="128">
        <v>2016</v>
      </c>
      <c r="AV14" s="128">
        <v>2017</v>
      </c>
      <c r="AW14" s="128">
        <v>2018</v>
      </c>
      <c r="AX14" s="128">
        <v>2019</v>
      </c>
      <c r="AY14" s="128">
        <v>2020</v>
      </c>
      <c r="AZ14" s="128">
        <v>2021</v>
      </c>
    </row>
    <row r="15" spans="1:52" ht="15.75">
      <c r="A15" s="133" t="s">
        <v>23</v>
      </c>
      <c r="B15" s="143">
        <v>67.2</v>
      </c>
      <c r="C15" s="143">
        <v>80.599999999999994</v>
      </c>
      <c r="D15" s="143">
        <v>66.900000000000006</v>
      </c>
      <c r="E15" s="143">
        <v>96.1</v>
      </c>
      <c r="F15" s="143">
        <v>288.39999999999998</v>
      </c>
      <c r="G15" s="143">
        <v>119.2</v>
      </c>
      <c r="H15" s="143">
        <v>68</v>
      </c>
      <c r="I15" s="143">
        <v>43.2</v>
      </c>
      <c r="J15" s="135" t="s">
        <v>23</v>
      </c>
      <c r="K15" s="143">
        <v>77.2</v>
      </c>
      <c r="L15" s="143">
        <v>290.7</v>
      </c>
      <c r="M15" s="144">
        <v>26.1</v>
      </c>
      <c r="N15" s="144">
        <v>79.8</v>
      </c>
      <c r="O15" s="144">
        <v>22.3</v>
      </c>
      <c r="P15" s="144">
        <v>47.3</v>
      </c>
      <c r="Q15" s="144">
        <v>9.1999999999999993</v>
      </c>
      <c r="R15" s="144">
        <v>1.9</v>
      </c>
      <c r="S15" s="135" t="s">
        <v>23</v>
      </c>
      <c r="T15" s="144">
        <v>72.099999999999994</v>
      </c>
      <c r="U15" s="144">
        <v>16.8</v>
      </c>
      <c r="V15" s="144">
        <v>38.700000000000003</v>
      </c>
      <c r="W15" s="144">
        <v>66.8</v>
      </c>
      <c r="X15" s="144">
        <v>99.9</v>
      </c>
      <c r="Y15" s="144">
        <v>20.3</v>
      </c>
      <c r="Z15" s="144">
        <v>10.8</v>
      </c>
      <c r="AA15" s="144">
        <v>2.2000000000000002</v>
      </c>
      <c r="AB15" s="135" t="s">
        <v>23</v>
      </c>
      <c r="AC15" s="144">
        <v>31.7</v>
      </c>
      <c r="AD15" s="144">
        <v>12.7</v>
      </c>
      <c r="AE15" s="144">
        <v>0.8</v>
      </c>
      <c r="AF15" s="144">
        <v>2.9</v>
      </c>
      <c r="AG15" s="144">
        <v>10.199999999999999</v>
      </c>
      <c r="AH15" s="144">
        <v>6.2</v>
      </c>
      <c r="AI15" s="144">
        <v>3.7</v>
      </c>
      <c r="AJ15" s="144">
        <v>20.2</v>
      </c>
      <c r="AK15" s="135" t="s">
        <v>23</v>
      </c>
      <c r="AL15" s="144">
        <v>11.7</v>
      </c>
      <c r="AM15" s="144">
        <v>2.6</v>
      </c>
      <c r="AN15" s="144">
        <v>6.2</v>
      </c>
      <c r="AO15" s="144">
        <v>23.2</v>
      </c>
      <c r="AP15" s="144">
        <v>13.6</v>
      </c>
      <c r="AQ15" s="144">
        <v>7.4</v>
      </c>
      <c r="AR15" s="144">
        <v>62</v>
      </c>
      <c r="AS15" s="144">
        <v>89.1</v>
      </c>
      <c r="AT15" s="135" t="s">
        <v>23</v>
      </c>
      <c r="AU15" s="144">
        <v>75.8</v>
      </c>
      <c r="AV15" s="144">
        <v>83.8</v>
      </c>
      <c r="AW15" s="144">
        <v>110</v>
      </c>
      <c r="AX15" s="144">
        <v>28.7</v>
      </c>
      <c r="AY15" s="144">
        <v>58.1</v>
      </c>
      <c r="AZ15" s="144">
        <v>39.1</v>
      </c>
    </row>
    <row r="16" spans="1:52" ht="15.75">
      <c r="A16" s="133" t="s">
        <v>24</v>
      </c>
      <c r="B16" s="143">
        <v>434.7</v>
      </c>
      <c r="C16" s="143">
        <v>293</v>
      </c>
      <c r="D16" s="143">
        <v>421.5</v>
      </c>
      <c r="E16" s="143">
        <v>231.4</v>
      </c>
      <c r="F16" s="143">
        <v>103.5</v>
      </c>
      <c r="G16" s="143">
        <v>1396.9</v>
      </c>
      <c r="H16" s="143">
        <v>411.1</v>
      </c>
      <c r="I16" s="143">
        <v>190.6</v>
      </c>
      <c r="J16" s="135" t="s">
        <v>24</v>
      </c>
      <c r="K16" s="143">
        <v>531</v>
      </c>
      <c r="L16" s="143">
        <v>505.9</v>
      </c>
      <c r="M16" s="144">
        <v>709.7</v>
      </c>
      <c r="N16" s="144">
        <v>348.4</v>
      </c>
      <c r="O16" s="144">
        <v>610.79999999999995</v>
      </c>
      <c r="P16" s="144">
        <v>52.9</v>
      </c>
      <c r="Q16" s="144">
        <v>114.7</v>
      </c>
      <c r="R16" s="144">
        <v>23.2</v>
      </c>
      <c r="S16" s="135" t="s">
        <v>24</v>
      </c>
      <c r="T16" s="144">
        <v>64.3</v>
      </c>
      <c r="U16" s="144">
        <v>544.9</v>
      </c>
      <c r="V16" s="144">
        <v>117</v>
      </c>
      <c r="W16" s="144">
        <v>123.3</v>
      </c>
      <c r="X16" s="144">
        <v>31.7</v>
      </c>
      <c r="Y16" s="144">
        <v>168.8</v>
      </c>
      <c r="Z16" s="144">
        <v>51.7</v>
      </c>
      <c r="AA16" s="144">
        <v>155.6</v>
      </c>
      <c r="AB16" s="135" t="s">
        <v>24</v>
      </c>
      <c r="AC16" s="144">
        <v>11.1</v>
      </c>
      <c r="AD16" s="144">
        <v>79.2</v>
      </c>
      <c r="AE16" s="144">
        <v>26.9</v>
      </c>
      <c r="AF16" s="144">
        <v>25.2</v>
      </c>
      <c r="AG16" s="144">
        <v>27.3</v>
      </c>
      <c r="AH16" s="144">
        <v>4.0999999999999996</v>
      </c>
      <c r="AI16" s="144">
        <v>37.5</v>
      </c>
      <c r="AJ16" s="144">
        <v>22.7</v>
      </c>
      <c r="AK16" s="135" t="s">
        <v>24</v>
      </c>
      <c r="AL16" s="144">
        <v>9.8000000000000007</v>
      </c>
      <c r="AM16" s="144">
        <v>41.9</v>
      </c>
      <c r="AN16" s="144">
        <v>30.9</v>
      </c>
      <c r="AO16" s="144">
        <v>97</v>
      </c>
      <c r="AP16" s="144">
        <v>34.200000000000003</v>
      </c>
      <c r="AQ16" s="144">
        <v>44.6</v>
      </c>
      <c r="AR16" s="144">
        <v>30.8</v>
      </c>
      <c r="AS16" s="144">
        <v>111.8</v>
      </c>
      <c r="AT16" s="135" t="s">
        <v>24</v>
      </c>
      <c r="AU16" s="144">
        <v>82.5</v>
      </c>
      <c r="AV16" s="144">
        <v>73.2</v>
      </c>
      <c r="AW16" s="144">
        <v>109.4</v>
      </c>
      <c r="AX16" s="144">
        <v>184.6</v>
      </c>
      <c r="AY16" s="144">
        <v>175.4</v>
      </c>
      <c r="AZ16" s="144">
        <v>194.9</v>
      </c>
    </row>
    <row r="17" spans="1:52" ht="15.75">
      <c r="A17" s="133" t="s">
        <v>25</v>
      </c>
      <c r="B17" s="143">
        <v>213.5</v>
      </c>
      <c r="C17" s="143">
        <v>438.8</v>
      </c>
      <c r="D17" s="143">
        <v>369.7</v>
      </c>
      <c r="E17" s="143">
        <v>381.8</v>
      </c>
      <c r="F17" s="143">
        <v>290.89999999999998</v>
      </c>
      <c r="G17" s="143">
        <v>167</v>
      </c>
      <c r="H17" s="143">
        <v>1216.4000000000001</v>
      </c>
      <c r="I17" s="143">
        <v>916</v>
      </c>
      <c r="J17" s="135" t="s">
        <v>25</v>
      </c>
      <c r="K17" s="143">
        <v>452.4</v>
      </c>
      <c r="L17" s="143">
        <v>438.4</v>
      </c>
      <c r="M17" s="144">
        <v>492.1</v>
      </c>
      <c r="N17" s="144">
        <v>753</v>
      </c>
      <c r="O17" s="144">
        <v>706.2</v>
      </c>
      <c r="P17" s="144">
        <v>405</v>
      </c>
      <c r="Q17" s="144">
        <v>152.6</v>
      </c>
      <c r="R17" s="144">
        <v>82.1</v>
      </c>
      <c r="S17" s="135" t="s">
        <v>25</v>
      </c>
      <c r="T17" s="144">
        <v>30.1</v>
      </c>
      <c r="U17" s="144">
        <v>25.1</v>
      </c>
      <c r="V17" s="144">
        <v>168.1</v>
      </c>
      <c r="W17" s="144">
        <v>103.8</v>
      </c>
      <c r="X17" s="144">
        <v>28.3</v>
      </c>
      <c r="Y17" s="144">
        <v>44.4</v>
      </c>
      <c r="Z17" s="144">
        <v>38.700000000000003</v>
      </c>
      <c r="AA17" s="144">
        <v>85</v>
      </c>
      <c r="AB17" s="135" t="s">
        <v>25</v>
      </c>
      <c r="AC17" s="144">
        <v>28.7</v>
      </c>
      <c r="AD17" s="144">
        <v>44.7</v>
      </c>
      <c r="AE17" s="144">
        <v>10.9</v>
      </c>
      <c r="AF17" s="144">
        <v>9.9</v>
      </c>
      <c r="AG17" s="144">
        <v>7.2</v>
      </c>
      <c r="AH17" s="144">
        <v>1.9</v>
      </c>
      <c r="AI17" s="144">
        <v>3.6</v>
      </c>
      <c r="AJ17" s="144">
        <v>19</v>
      </c>
      <c r="AK17" s="135" t="s">
        <v>25</v>
      </c>
      <c r="AL17" s="144">
        <v>2.9</v>
      </c>
      <c r="AM17" s="144">
        <v>2.7</v>
      </c>
      <c r="AN17" s="144">
        <v>23.9</v>
      </c>
      <c r="AO17" s="144">
        <v>8.3000000000000007</v>
      </c>
      <c r="AP17" s="144">
        <v>50.2</v>
      </c>
      <c r="AQ17" s="144">
        <v>48.9</v>
      </c>
      <c r="AR17" s="144">
        <v>47</v>
      </c>
      <c r="AS17" s="144">
        <v>34.9</v>
      </c>
      <c r="AT17" s="135" t="s">
        <v>25</v>
      </c>
      <c r="AU17" s="144">
        <v>103</v>
      </c>
      <c r="AV17" s="144">
        <v>141.69999999999999</v>
      </c>
      <c r="AW17" s="144">
        <v>154.69999999999999</v>
      </c>
      <c r="AX17" s="144">
        <v>316.3</v>
      </c>
      <c r="AY17" s="144">
        <v>554.20000000000005</v>
      </c>
      <c r="AZ17" s="144">
        <v>469</v>
      </c>
    </row>
    <row r="18" spans="1:52" ht="15.75">
      <c r="A18" s="133" t="s">
        <v>26</v>
      </c>
      <c r="B18" s="143">
        <v>29.2</v>
      </c>
      <c r="C18" s="143">
        <v>171.8</v>
      </c>
      <c r="D18" s="143">
        <v>247.1</v>
      </c>
      <c r="E18" s="143">
        <v>288.8</v>
      </c>
      <c r="F18" s="143">
        <v>509.8</v>
      </c>
      <c r="G18" s="143">
        <v>354.5</v>
      </c>
      <c r="H18" s="143">
        <v>182.7</v>
      </c>
      <c r="I18" s="143">
        <v>1343.4</v>
      </c>
      <c r="J18" s="135" t="s">
        <v>26</v>
      </c>
      <c r="K18" s="143">
        <v>929.2</v>
      </c>
      <c r="L18" s="143">
        <v>682.8</v>
      </c>
      <c r="M18" s="144">
        <v>619.20000000000005</v>
      </c>
      <c r="N18" s="144">
        <v>817.8</v>
      </c>
      <c r="O18" s="144">
        <v>626.29999999999995</v>
      </c>
      <c r="P18" s="144">
        <v>840.8</v>
      </c>
      <c r="Q18" s="144">
        <v>533.5</v>
      </c>
      <c r="R18" s="144">
        <v>133.19999999999999</v>
      </c>
      <c r="S18" s="135" t="s">
        <v>26</v>
      </c>
      <c r="T18" s="144">
        <v>70.900000000000006</v>
      </c>
      <c r="U18" s="144">
        <v>35.9</v>
      </c>
      <c r="V18" s="144">
        <v>38.299999999999997</v>
      </c>
      <c r="W18" s="144">
        <v>22.8</v>
      </c>
      <c r="X18" s="144">
        <v>15.1</v>
      </c>
      <c r="Y18" s="144">
        <v>16.100000000000001</v>
      </c>
      <c r="Z18" s="144">
        <v>14.9</v>
      </c>
      <c r="AA18" s="144">
        <v>39.9</v>
      </c>
      <c r="AB18" s="135" t="s">
        <v>26</v>
      </c>
      <c r="AC18" s="144">
        <v>30.9</v>
      </c>
      <c r="AD18" s="144">
        <v>19</v>
      </c>
      <c r="AE18" s="144">
        <v>5.0999999999999996</v>
      </c>
      <c r="AF18" s="144">
        <v>7.8</v>
      </c>
      <c r="AG18" s="144">
        <v>1.6</v>
      </c>
      <c r="AH18" s="144">
        <v>3.8</v>
      </c>
      <c r="AI18" s="144">
        <v>2.7</v>
      </c>
      <c r="AJ18" s="144">
        <v>2</v>
      </c>
      <c r="AK18" s="135" t="s">
        <v>26</v>
      </c>
      <c r="AL18" s="144">
        <v>1.9</v>
      </c>
      <c r="AM18" s="144">
        <v>1.1000000000000001</v>
      </c>
      <c r="AN18" s="144">
        <v>1.6</v>
      </c>
      <c r="AO18" s="144">
        <v>1.8</v>
      </c>
      <c r="AP18" s="144">
        <v>3</v>
      </c>
      <c r="AQ18" s="144">
        <v>26.9</v>
      </c>
      <c r="AR18" s="144">
        <v>35.4</v>
      </c>
      <c r="AS18" s="144">
        <v>22.1</v>
      </c>
      <c r="AT18" s="135" t="s">
        <v>26</v>
      </c>
      <c r="AU18" s="144">
        <v>39.6</v>
      </c>
      <c r="AV18" s="144">
        <v>125</v>
      </c>
      <c r="AW18" s="144">
        <v>109.4</v>
      </c>
      <c r="AX18" s="144">
        <v>115</v>
      </c>
      <c r="AY18" s="144">
        <v>165.7</v>
      </c>
      <c r="AZ18" s="144">
        <v>331.5</v>
      </c>
    </row>
    <row r="19" spans="1:52" ht="15.75">
      <c r="A19" s="133" t="s">
        <v>27</v>
      </c>
      <c r="B19" s="143">
        <v>11.6</v>
      </c>
      <c r="C19" s="143">
        <v>6.2</v>
      </c>
      <c r="D19" s="143">
        <v>40.799999999999997</v>
      </c>
      <c r="E19" s="143">
        <v>87.9</v>
      </c>
      <c r="F19" s="143">
        <v>211.3</v>
      </c>
      <c r="G19" s="143">
        <v>214.1</v>
      </c>
      <c r="H19" s="143">
        <v>370.4</v>
      </c>
      <c r="I19" s="143">
        <v>81.2</v>
      </c>
      <c r="J19" s="135" t="s">
        <v>27</v>
      </c>
      <c r="K19" s="143">
        <v>560.29999999999995</v>
      </c>
      <c r="L19" s="143">
        <v>516</v>
      </c>
      <c r="M19" s="144">
        <v>555.70000000000005</v>
      </c>
      <c r="N19" s="144">
        <v>600.4</v>
      </c>
      <c r="O19" s="144">
        <v>561.6</v>
      </c>
      <c r="P19" s="144">
        <v>725.5</v>
      </c>
      <c r="Q19" s="144">
        <v>863.7</v>
      </c>
      <c r="R19" s="144">
        <v>562.79999999999995</v>
      </c>
      <c r="S19" s="135" t="s">
        <v>27</v>
      </c>
      <c r="T19" s="144">
        <v>76</v>
      </c>
      <c r="U19" s="144">
        <v>44.1</v>
      </c>
      <c r="V19" s="144">
        <v>16.899999999999999</v>
      </c>
      <c r="W19" s="144">
        <v>6.1</v>
      </c>
      <c r="X19" s="144">
        <v>3.9</v>
      </c>
      <c r="Y19" s="144">
        <v>4</v>
      </c>
      <c r="Z19" s="144">
        <v>16.600000000000001</v>
      </c>
      <c r="AA19" s="144">
        <v>17.600000000000001</v>
      </c>
      <c r="AB19" s="135" t="s">
        <v>27</v>
      </c>
      <c r="AC19" s="144">
        <v>25.3</v>
      </c>
      <c r="AD19" s="144">
        <v>11.8</v>
      </c>
      <c r="AE19" s="144">
        <v>3</v>
      </c>
      <c r="AF19" s="144">
        <v>3.6</v>
      </c>
      <c r="AG19" s="144">
        <v>1</v>
      </c>
      <c r="AH19" s="144">
        <v>5.6</v>
      </c>
      <c r="AI19" s="144">
        <v>1.5</v>
      </c>
      <c r="AJ19" s="144">
        <v>0.8</v>
      </c>
      <c r="AK19" s="135" t="s">
        <v>27</v>
      </c>
      <c r="AL19" s="144">
        <v>0.3</v>
      </c>
      <c r="AM19" s="144">
        <v>0.7</v>
      </c>
      <c r="AN19" s="144">
        <v>1.1000000000000001</v>
      </c>
      <c r="AO19" s="144">
        <v>0.6</v>
      </c>
      <c r="AP19" s="144">
        <v>0.6</v>
      </c>
      <c r="AQ19" s="144">
        <v>1</v>
      </c>
      <c r="AR19" s="144">
        <v>10.5</v>
      </c>
      <c r="AS19" s="144">
        <v>5</v>
      </c>
      <c r="AT19" s="135" t="s">
        <v>27</v>
      </c>
      <c r="AU19" s="144">
        <v>17.100000000000001</v>
      </c>
      <c r="AV19" s="144">
        <v>36</v>
      </c>
      <c r="AW19" s="144">
        <v>39.4</v>
      </c>
      <c r="AX19" s="144">
        <v>56.6</v>
      </c>
      <c r="AY19" s="144">
        <v>65.099999999999994</v>
      </c>
      <c r="AZ19" s="144">
        <v>65.3</v>
      </c>
    </row>
    <row r="20" spans="1:52" ht="15.75">
      <c r="A20" s="133" t="s">
        <v>75</v>
      </c>
      <c r="B20" s="143">
        <v>0.1</v>
      </c>
      <c r="C20" s="143">
        <v>0.1</v>
      </c>
      <c r="D20" s="143">
        <v>3.4</v>
      </c>
      <c r="E20" s="143">
        <v>2.5</v>
      </c>
      <c r="F20" s="143">
        <v>41.2</v>
      </c>
      <c r="G20" s="143">
        <v>44.2</v>
      </c>
      <c r="H20" s="143">
        <v>170.6</v>
      </c>
      <c r="I20" s="143">
        <v>150.69999999999999</v>
      </c>
      <c r="J20" s="135" t="s">
        <v>75</v>
      </c>
      <c r="K20" s="143">
        <v>319.39999999999998</v>
      </c>
      <c r="L20" s="143">
        <v>210</v>
      </c>
      <c r="M20" s="144">
        <v>281.89999999999998</v>
      </c>
      <c r="N20" s="144">
        <v>316.39999999999998</v>
      </c>
      <c r="O20" s="144">
        <v>310.39999999999998</v>
      </c>
      <c r="P20" s="144">
        <v>452</v>
      </c>
      <c r="Q20" s="144">
        <v>488.8</v>
      </c>
      <c r="R20" s="144">
        <v>920.7</v>
      </c>
      <c r="S20" s="135" t="s">
        <v>75</v>
      </c>
      <c r="T20" s="144">
        <v>927.1</v>
      </c>
      <c r="U20" s="144">
        <v>124</v>
      </c>
      <c r="V20" s="144">
        <v>46</v>
      </c>
      <c r="W20" s="144">
        <v>9.4</v>
      </c>
      <c r="X20" s="144">
        <v>1.8</v>
      </c>
      <c r="Y20" s="144">
        <v>1.5</v>
      </c>
      <c r="Z20" s="144">
        <v>8.6999999999999993</v>
      </c>
      <c r="AA20" s="144">
        <v>7.6</v>
      </c>
      <c r="AB20" s="135" t="s">
        <v>75</v>
      </c>
      <c r="AC20" s="144">
        <v>11</v>
      </c>
      <c r="AD20" s="144">
        <v>9.1999999999999993</v>
      </c>
      <c r="AE20" s="144">
        <v>2.2000000000000002</v>
      </c>
      <c r="AF20" s="144">
        <v>1.6</v>
      </c>
      <c r="AG20" s="144">
        <v>0.6</v>
      </c>
      <c r="AH20" s="144">
        <v>3.2</v>
      </c>
      <c r="AI20" s="144">
        <v>0.3</v>
      </c>
      <c r="AJ20" s="144">
        <v>0.3</v>
      </c>
      <c r="AK20" s="135" t="s">
        <v>75</v>
      </c>
      <c r="AL20" s="144">
        <v>0.2</v>
      </c>
      <c r="AM20" s="144">
        <v>0.2</v>
      </c>
      <c r="AN20" s="144">
        <v>0.9</v>
      </c>
      <c r="AO20" s="144">
        <v>0.9</v>
      </c>
      <c r="AP20" s="144">
        <v>0.1</v>
      </c>
      <c r="AQ20" s="144">
        <v>0.8</v>
      </c>
      <c r="AR20" s="144">
        <v>0.5</v>
      </c>
      <c r="AS20" s="144">
        <v>7.6</v>
      </c>
      <c r="AT20" s="135" t="s">
        <v>75</v>
      </c>
      <c r="AU20" s="144">
        <v>4.2</v>
      </c>
      <c r="AV20" s="144">
        <v>12.8</v>
      </c>
      <c r="AW20" s="144">
        <v>17.899999999999999</v>
      </c>
      <c r="AX20" s="144">
        <v>20.100000000000001</v>
      </c>
      <c r="AY20" s="144">
        <v>15.3</v>
      </c>
      <c r="AZ20" s="144">
        <v>19.8</v>
      </c>
    </row>
    <row r="21" spans="1:52" ht="15.75">
      <c r="A21" s="137" t="s">
        <v>28</v>
      </c>
      <c r="B21" s="139">
        <v>756</v>
      </c>
      <c r="C21" s="139">
        <v>991</v>
      </c>
      <c r="D21" s="139">
        <v>1149</v>
      </c>
      <c r="E21" s="139">
        <v>1089</v>
      </c>
      <c r="F21" s="139">
        <v>1445</v>
      </c>
      <c r="G21" s="139">
        <v>2296</v>
      </c>
      <c r="H21" s="139">
        <v>2419</v>
      </c>
      <c r="I21" s="139">
        <v>2725</v>
      </c>
      <c r="J21" s="137" t="s">
        <v>28</v>
      </c>
      <c r="K21" s="139">
        <v>2870</v>
      </c>
      <c r="L21" s="139">
        <v>2644</v>
      </c>
      <c r="M21" s="139">
        <v>2685</v>
      </c>
      <c r="N21" s="139">
        <v>2916</v>
      </c>
      <c r="O21" s="139">
        <v>2838</v>
      </c>
      <c r="P21" s="139">
        <v>2524</v>
      </c>
      <c r="Q21" s="139">
        <v>2162</v>
      </c>
      <c r="R21" s="139">
        <v>1724</v>
      </c>
      <c r="S21" s="137" t="s">
        <v>28</v>
      </c>
      <c r="T21" s="139">
        <v>1240</v>
      </c>
      <c r="U21" s="139">
        <v>791</v>
      </c>
      <c r="V21" s="139">
        <v>425</v>
      </c>
      <c r="W21" s="139">
        <v>332</v>
      </c>
      <c r="X21" s="139">
        <v>181</v>
      </c>
      <c r="Y21" s="139">
        <v>255</v>
      </c>
      <c r="Z21" s="139">
        <v>142</v>
      </c>
      <c r="AA21" s="139">
        <v>308</v>
      </c>
      <c r="AB21" s="137" t="s">
        <v>28</v>
      </c>
      <c r="AC21" s="139">
        <v>139</v>
      </c>
      <c r="AD21" s="139">
        <v>177</v>
      </c>
      <c r="AE21" s="139">
        <v>49</v>
      </c>
      <c r="AF21" s="139">
        <v>51</v>
      </c>
      <c r="AG21" s="139">
        <v>48</v>
      </c>
      <c r="AH21" s="139">
        <v>25</v>
      </c>
      <c r="AI21" s="139">
        <v>49</v>
      </c>
      <c r="AJ21" s="139">
        <v>65</v>
      </c>
      <c r="AK21" s="137" t="s">
        <v>28</v>
      </c>
      <c r="AL21" s="139">
        <v>27</v>
      </c>
      <c r="AM21" s="139">
        <v>49</v>
      </c>
      <c r="AN21" s="139">
        <v>65</v>
      </c>
      <c r="AO21" s="139">
        <v>132</v>
      </c>
      <c r="AP21" s="139">
        <v>102</v>
      </c>
      <c r="AQ21" s="139">
        <v>130</v>
      </c>
      <c r="AR21" s="139">
        <v>186</v>
      </c>
      <c r="AS21" s="139">
        <v>271</v>
      </c>
      <c r="AT21" s="137" t="s">
        <v>28</v>
      </c>
      <c r="AU21" s="139">
        <v>322</v>
      </c>
      <c r="AV21" s="139">
        <v>473</v>
      </c>
      <c r="AW21" s="139">
        <v>541</v>
      </c>
      <c r="AX21" s="139">
        <v>721</v>
      </c>
      <c r="AY21" s="139">
        <v>1034</v>
      </c>
      <c r="AZ21" s="139">
        <v>1120</v>
      </c>
    </row>
    <row r="22" spans="1:52" ht="15.75">
      <c r="A22" s="145" t="s">
        <v>78</v>
      </c>
      <c r="B22" s="146">
        <v>0.19600000000000001</v>
      </c>
      <c r="C22" s="146">
        <v>0.17799999999999999</v>
      </c>
      <c r="D22" s="146">
        <v>0.155</v>
      </c>
      <c r="E22" s="146">
        <v>0.126</v>
      </c>
      <c r="F22" s="146">
        <v>0.108</v>
      </c>
      <c r="G22" s="146">
        <v>0.14899999999999999</v>
      </c>
      <c r="H22" s="146">
        <v>0.153</v>
      </c>
      <c r="I22" s="146">
        <v>0.18</v>
      </c>
      <c r="J22" s="147" t="s">
        <v>78</v>
      </c>
      <c r="K22" s="146">
        <v>0.19900000000000001</v>
      </c>
      <c r="L22" s="146">
        <v>0.152</v>
      </c>
      <c r="M22" s="148">
        <v>0.14199999999999999</v>
      </c>
      <c r="N22" s="148">
        <v>0.14899999999999999</v>
      </c>
      <c r="O22" s="148">
        <v>0.16</v>
      </c>
      <c r="P22" s="148">
        <v>0.20200000000000001</v>
      </c>
      <c r="Q22" s="148">
        <v>0.27100000000000002</v>
      </c>
      <c r="R22" s="148">
        <v>0.379</v>
      </c>
      <c r="S22" s="147" t="s">
        <v>78</v>
      </c>
      <c r="T22" s="148">
        <v>0.503</v>
      </c>
      <c r="U22" s="148">
        <v>0.53900000000000003</v>
      </c>
      <c r="V22" s="148">
        <v>0.48299999999999998</v>
      </c>
      <c r="W22" s="148">
        <v>0.439</v>
      </c>
      <c r="X22" s="148">
        <v>0.22500000000000001</v>
      </c>
      <c r="Y22" s="148">
        <v>0.27900000000000003</v>
      </c>
      <c r="Z22" s="148">
        <v>0.19500000000000001</v>
      </c>
      <c r="AA22" s="148">
        <v>0.439</v>
      </c>
      <c r="AB22" s="147" t="s">
        <v>78</v>
      </c>
      <c r="AC22" s="148">
        <v>0.33800000000000002</v>
      </c>
      <c r="AD22" s="148">
        <v>0.57899999999999996</v>
      </c>
      <c r="AE22" s="148">
        <v>0.311</v>
      </c>
      <c r="AF22" s="148">
        <v>0.42</v>
      </c>
      <c r="AG22" s="148">
        <v>0.441</v>
      </c>
      <c r="AH22" s="148">
        <v>0.28599999999999998</v>
      </c>
      <c r="AI22" s="148">
        <v>0.374</v>
      </c>
      <c r="AJ22" s="148">
        <v>0.57899999999999996</v>
      </c>
      <c r="AK22" s="147" t="s">
        <v>78</v>
      </c>
      <c r="AL22" s="148">
        <v>0.27200000000000002</v>
      </c>
      <c r="AM22" s="148">
        <v>0.38300000000000001</v>
      </c>
      <c r="AN22" s="148">
        <v>0.19400000000000001</v>
      </c>
      <c r="AO22" s="148">
        <v>0.28499999999999998</v>
      </c>
      <c r="AP22" s="148">
        <v>0.2</v>
      </c>
      <c r="AQ22" s="148">
        <v>0.216</v>
      </c>
      <c r="AR22" s="148">
        <v>0.18</v>
      </c>
      <c r="AS22" s="148">
        <v>0.214</v>
      </c>
      <c r="AT22" s="147" t="s">
        <v>78</v>
      </c>
      <c r="AU22" s="148">
        <v>0.19900000000000001</v>
      </c>
      <c r="AV22" s="148">
        <v>0.20499999999999999</v>
      </c>
      <c r="AW22" s="148">
        <v>0.151</v>
      </c>
      <c r="AX22" s="148">
        <v>0.16300000000000001</v>
      </c>
      <c r="AY22" s="148">
        <v>0.21199999999999999</v>
      </c>
      <c r="AZ22" s="148">
        <v>0.253</v>
      </c>
    </row>
    <row r="23" spans="1:52" ht="15.75">
      <c r="A23" s="133"/>
      <c r="B23" s="149"/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49"/>
      <c r="R23" s="149"/>
      <c r="S23" s="149"/>
      <c r="T23" s="149"/>
      <c r="U23" s="149"/>
      <c r="V23" s="149"/>
      <c r="W23" s="149"/>
      <c r="X23" s="149"/>
      <c r="Y23" s="149"/>
      <c r="Z23" s="149"/>
      <c r="AA23" s="149"/>
      <c r="AB23" s="149"/>
      <c r="AC23" s="149"/>
      <c r="AD23" s="149"/>
      <c r="AE23" s="149"/>
      <c r="AF23" s="149"/>
      <c r="AG23" s="149"/>
      <c r="AH23" s="149"/>
      <c r="AI23" s="149"/>
      <c r="AJ23" s="150"/>
      <c r="AK23" s="149"/>
      <c r="AL23" s="48"/>
      <c r="AM23" s="149"/>
      <c r="AN23" s="150"/>
      <c r="AO23" s="48"/>
      <c r="AP23" s="149"/>
      <c r="AQ23" s="150"/>
      <c r="AR23" s="48"/>
      <c r="AS23" s="149"/>
      <c r="AT23" s="149"/>
      <c r="AU23" s="140"/>
      <c r="AV23" s="140"/>
      <c r="AW23" s="140"/>
      <c r="AX23" s="140"/>
      <c r="AY23" s="140"/>
      <c r="AZ23" s="140"/>
    </row>
    <row r="24" spans="1:52" ht="19.5">
      <c r="A24" s="151" t="s">
        <v>79</v>
      </c>
      <c r="B24" s="125"/>
      <c r="C24" s="125"/>
      <c r="D24" s="125"/>
      <c r="E24" s="125"/>
      <c r="F24" s="125"/>
      <c r="G24" s="125"/>
      <c r="H24" s="125"/>
      <c r="I24" s="125"/>
      <c r="J24" s="125" t="s">
        <v>79</v>
      </c>
      <c r="K24" s="125"/>
      <c r="L24" s="125"/>
      <c r="M24" s="125"/>
      <c r="N24" s="125"/>
      <c r="O24" s="125"/>
      <c r="P24" s="125"/>
      <c r="Q24" s="125"/>
      <c r="R24" s="125"/>
      <c r="S24" s="151" t="s">
        <v>79</v>
      </c>
      <c r="T24" s="125"/>
      <c r="U24" s="125"/>
      <c r="V24" s="125"/>
      <c r="W24" s="125"/>
      <c r="X24" s="125"/>
      <c r="Y24" s="125"/>
      <c r="Z24" s="125"/>
      <c r="AA24" s="125"/>
      <c r="AB24" s="151" t="s">
        <v>79</v>
      </c>
      <c r="AC24" s="125"/>
      <c r="AD24" s="125"/>
      <c r="AE24" s="125"/>
      <c r="AF24" s="125"/>
      <c r="AG24" s="152"/>
      <c r="AH24" s="152"/>
      <c r="AI24" s="152"/>
      <c r="AJ24" s="153"/>
      <c r="AK24" s="151" t="s">
        <v>79</v>
      </c>
      <c r="AL24" s="125"/>
      <c r="AM24" s="152"/>
      <c r="AN24" s="153"/>
      <c r="AO24" s="125"/>
      <c r="AP24" s="152"/>
      <c r="AQ24" s="153"/>
      <c r="AR24" s="125"/>
      <c r="AS24" s="152"/>
      <c r="AT24" s="151" t="s">
        <v>79</v>
      </c>
      <c r="AU24" s="125"/>
      <c r="AV24" s="125"/>
      <c r="AW24" s="125"/>
      <c r="AX24" s="125"/>
      <c r="AY24" s="125"/>
      <c r="AZ24" s="125"/>
    </row>
    <row r="25" spans="1:52" ht="15.75">
      <c r="A25" s="127" t="s">
        <v>74</v>
      </c>
      <c r="B25" s="128">
        <v>1976</v>
      </c>
      <c r="C25" s="128">
        <v>1977</v>
      </c>
      <c r="D25" s="128">
        <v>1978</v>
      </c>
      <c r="E25" s="128">
        <v>1979</v>
      </c>
      <c r="F25" s="128">
        <v>1980</v>
      </c>
      <c r="G25" s="128">
        <v>1981</v>
      </c>
      <c r="H25" s="128">
        <v>1982</v>
      </c>
      <c r="I25" s="128">
        <v>1983</v>
      </c>
      <c r="J25" s="129" t="s">
        <v>74</v>
      </c>
      <c r="K25" s="128">
        <v>1984</v>
      </c>
      <c r="L25" s="128">
        <v>1985</v>
      </c>
      <c r="M25" s="128">
        <v>1986</v>
      </c>
      <c r="N25" s="128">
        <v>1987</v>
      </c>
      <c r="O25" s="128">
        <v>1988</v>
      </c>
      <c r="P25" s="128">
        <v>1989</v>
      </c>
      <c r="Q25" s="128">
        <v>1990</v>
      </c>
      <c r="R25" s="128">
        <v>1991</v>
      </c>
      <c r="S25" s="129" t="s">
        <v>74</v>
      </c>
      <c r="T25" s="128">
        <v>1992</v>
      </c>
      <c r="U25" s="128">
        <v>1993</v>
      </c>
      <c r="V25" s="128">
        <v>1994</v>
      </c>
      <c r="W25" s="128">
        <v>1995</v>
      </c>
      <c r="X25" s="128">
        <v>1996</v>
      </c>
      <c r="Y25" s="128">
        <v>1997</v>
      </c>
      <c r="Z25" s="128">
        <v>1998</v>
      </c>
      <c r="AA25" s="128">
        <v>1999</v>
      </c>
      <c r="AB25" s="129" t="s">
        <v>74</v>
      </c>
      <c r="AC25" s="128">
        <v>2000</v>
      </c>
      <c r="AD25" s="128">
        <v>2001</v>
      </c>
      <c r="AE25" s="128">
        <v>2002</v>
      </c>
      <c r="AF25" s="128">
        <v>2003</v>
      </c>
      <c r="AG25" s="128">
        <v>2004</v>
      </c>
      <c r="AH25" s="128">
        <v>2005</v>
      </c>
      <c r="AI25" s="128">
        <v>2006</v>
      </c>
      <c r="AJ25" s="128">
        <v>2007</v>
      </c>
      <c r="AK25" s="129" t="s">
        <v>74</v>
      </c>
      <c r="AL25" s="128">
        <v>2008</v>
      </c>
      <c r="AM25" s="128">
        <v>2009</v>
      </c>
      <c r="AN25" s="128">
        <v>2010</v>
      </c>
      <c r="AO25" s="128">
        <v>2011</v>
      </c>
      <c r="AP25" s="128">
        <v>2012</v>
      </c>
      <c r="AQ25" s="128">
        <v>2013</v>
      </c>
      <c r="AR25" s="128">
        <v>2014</v>
      </c>
      <c r="AS25" s="128">
        <v>2015</v>
      </c>
      <c r="AT25" s="129" t="s">
        <v>74</v>
      </c>
      <c r="AU25" s="128">
        <v>2016</v>
      </c>
      <c r="AV25" s="128">
        <v>2017</v>
      </c>
      <c r="AW25" s="128">
        <v>2018</v>
      </c>
      <c r="AX25" s="128">
        <v>2019</v>
      </c>
      <c r="AY25" s="128">
        <v>2020</v>
      </c>
      <c r="AZ25" s="128">
        <v>2021</v>
      </c>
    </row>
    <row r="26" spans="1:52" ht="15.75">
      <c r="A26" s="133" t="s">
        <v>23</v>
      </c>
      <c r="B26" s="154">
        <v>0.06</v>
      </c>
      <c r="C26" s="154">
        <v>0.05</v>
      </c>
      <c r="D26" s="154">
        <v>0.04</v>
      </c>
      <c r="E26" s="154">
        <v>0.09</v>
      </c>
      <c r="F26" s="154">
        <v>0.06</v>
      </c>
      <c r="G26" s="154">
        <v>0.04</v>
      </c>
      <c r="H26" s="154">
        <v>0.03</v>
      </c>
      <c r="I26" s="154">
        <v>0.02</v>
      </c>
      <c r="J26" s="135" t="s">
        <v>23</v>
      </c>
      <c r="K26" s="154">
        <v>0.06</v>
      </c>
      <c r="L26" s="154">
        <v>0.08</v>
      </c>
      <c r="M26" s="155">
        <v>0.01</v>
      </c>
      <c r="N26" s="155">
        <v>0.11</v>
      </c>
      <c r="O26" s="155">
        <v>0.1</v>
      </c>
      <c r="P26" s="155">
        <v>0.35</v>
      </c>
      <c r="Q26" s="155">
        <v>0.39</v>
      </c>
      <c r="R26" s="155">
        <v>0.12</v>
      </c>
      <c r="S26" s="135" t="s">
        <v>23</v>
      </c>
      <c r="T26" s="155">
        <v>0.2</v>
      </c>
      <c r="U26" s="155">
        <v>0.33</v>
      </c>
      <c r="V26" s="155">
        <v>0.45</v>
      </c>
      <c r="W26" s="155">
        <v>0.4</v>
      </c>
      <c r="X26" s="155">
        <v>0.31</v>
      </c>
      <c r="Y26" s="155">
        <v>0.12</v>
      </c>
      <c r="Z26" s="155">
        <v>0.08</v>
      </c>
      <c r="AA26" s="155">
        <v>0.03</v>
      </c>
      <c r="AB26" s="135" t="s">
        <v>23</v>
      </c>
      <c r="AC26" s="155">
        <v>0.32</v>
      </c>
      <c r="AD26" s="155">
        <v>0.46</v>
      </c>
      <c r="AE26" s="155">
        <v>0.02</v>
      </c>
      <c r="AF26" s="155">
        <v>0.18</v>
      </c>
      <c r="AG26" s="155">
        <v>0.72</v>
      </c>
      <c r="AH26" s="155">
        <v>0.18</v>
      </c>
      <c r="AI26" s="155">
        <v>0.19</v>
      </c>
      <c r="AJ26" s="155">
        <v>1.04</v>
      </c>
      <c r="AK26" s="135" t="s">
        <v>23</v>
      </c>
      <c r="AL26" s="155">
        <v>0.26</v>
      </c>
      <c r="AM26" s="155">
        <v>0.12</v>
      </c>
      <c r="AN26" s="155">
        <v>0.03</v>
      </c>
      <c r="AO26" s="155">
        <v>0.19</v>
      </c>
      <c r="AP26" s="155">
        <v>0.1</v>
      </c>
      <c r="AQ26" s="155">
        <v>0.06</v>
      </c>
      <c r="AR26" s="155">
        <v>0.17</v>
      </c>
      <c r="AS26" s="155">
        <v>0.28000000000000003</v>
      </c>
      <c r="AT26" s="135" t="s">
        <v>23</v>
      </c>
      <c r="AU26" s="155">
        <v>0.22</v>
      </c>
      <c r="AV26" s="155">
        <v>0.18</v>
      </c>
      <c r="AW26" s="155">
        <v>0.09</v>
      </c>
      <c r="AX26" s="155">
        <v>0.04</v>
      </c>
      <c r="AY26" s="155">
        <v>0.06</v>
      </c>
      <c r="AZ26" s="155">
        <v>0.05</v>
      </c>
    </row>
    <row r="27" spans="1:52" ht="15.75">
      <c r="A27" s="133" t="s">
        <v>24</v>
      </c>
      <c r="B27" s="154">
        <v>0.35</v>
      </c>
      <c r="C27" s="154">
        <v>0.19</v>
      </c>
      <c r="D27" s="154">
        <v>0.18</v>
      </c>
      <c r="E27" s="154">
        <v>0.09</v>
      </c>
      <c r="F27" s="154">
        <v>7.0000000000000007E-2</v>
      </c>
      <c r="G27" s="154">
        <v>0.28000000000000003</v>
      </c>
      <c r="H27" s="154">
        <v>0.1</v>
      </c>
      <c r="I27" s="154">
        <v>0.06</v>
      </c>
      <c r="J27" s="135" t="s">
        <v>24</v>
      </c>
      <c r="K27" s="154">
        <v>0.14000000000000001</v>
      </c>
      <c r="L27" s="154">
        <v>0.12</v>
      </c>
      <c r="M27" s="155">
        <v>0.14000000000000001</v>
      </c>
      <c r="N27" s="155">
        <v>0.05</v>
      </c>
      <c r="O27" s="155">
        <v>0.18</v>
      </c>
      <c r="P27" s="155">
        <v>0.11</v>
      </c>
      <c r="Q27" s="155">
        <v>0.47</v>
      </c>
      <c r="R27" s="155">
        <v>0.36</v>
      </c>
      <c r="S27" s="135" t="s">
        <v>24</v>
      </c>
      <c r="T27" s="155">
        <v>0.62</v>
      </c>
      <c r="U27" s="155">
        <v>1.29</v>
      </c>
      <c r="V27" s="155">
        <v>0.57999999999999996</v>
      </c>
      <c r="W27" s="155">
        <v>0.94</v>
      </c>
      <c r="X27" s="155">
        <v>0.28000000000000003</v>
      </c>
      <c r="Y27" s="155">
        <v>0.67</v>
      </c>
      <c r="Z27" s="155">
        <v>0.3</v>
      </c>
      <c r="AA27" s="155">
        <v>1.19</v>
      </c>
      <c r="AB27" s="135" t="s">
        <v>24</v>
      </c>
      <c r="AC27" s="155">
        <v>0.2</v>
      </c>
      <c r="AD27" s="155">
        <v>1.41</v>
      </c>
      <c r="AE27" s="155">
        <v>0.8</v>
      </c>
      <c r="AF27" s="155">
        <v>0.99</v>
      </c>
      <c r="AG27" s="155">
        <v>1.45</v>
      </c>
      <c r="AH27" s="155">
        <v>0.54</v>
      </c>
      <c r="AI27" s="155">
        <v>0.75</v>
      </c>
      <c r="AJ27" s="155">
        <v>1.42</v>
      </c>
      <c r="AK27" s="135" t="s">
        <v>24</v>
      </c>
      <c r="AL27" s="155">
        <v>1.04</v>
      </c>
      <c r="AM27" s="155">
        <v>0.93</v>
      </c>
      <c r="AN27" s="155">
        <v>1.02</v>
      </c>
      <c r="AO27" s="155">
        <v>0.56999999999999995</v>
      </c>
      <c r="AP27" s="155">
        <v>0.3</v>
      </c>
      <c r="AQ27" s="155">
        <v>0.3</v>
      </c>
      <c r="AR27" s="155">
        <v>0.16</v>
      </c>
      <c r="AS27" s="155">
        <v>0.35</v>
      </c>
      <c r="AT27" s="135" t="s">
        <v>24</v>
      </c>
      <c r="AU27" s="155">
        <v>0.23</v>
      </c>
      <c r="AV27" s="155">
        <v>0.14000000000000001</v>
      </c>
      <c r="AW27" s="155">
        <v>0.13</v>
      </c>
      <c r="AX27" s="155">
        <v>0.11</v>
      </c>
      <c r="AY27" s="155">
        <v>0.16</v>
      </c>
      <c r="AZ27" s="155">
        <v>0.17</v>
      </c>
    </row>
    <row r="28" spans="1:52" ht="15.75">
      <c r="A28" s="133" t="s">
        <v>25</v>
      </c>
      <c r="B28" s="154">
        <v>0.56999999999999995</v>
      </c>
      <c r="C28" s="154">
        <v>0.55000000000000004</v>
      </c>
      <c r="D28" s="154">
        <v>0.32</v>
      </c>
      <c r="E28" s="154">
        <v>0.19</v>
      </c>
      <c r="F28" s="154">
        <v>0.13</v>
      </c>
      <c r="G28" s="154">
        <v>0.16</v>
      </c>
      <c r="H28" s="154">
        <v>0.35</v>
      </c>
      <c r="I28" s="154">
        <v>0.28000000000000003</v>
      </c>
      <c r="J28" s="135" t="s">
        <v>25</v>
      </c>
      <c r="K28" s="154">
        <v>0.17</v>
      </c>
      <c r="L28" s="154">
        <v>0.17</v>
      </c>
      <c r="M28" s="155">
        <v>0.14000000000000001</v>
      </c>
      <c r="N28" s="155">
        <v>0.21</v>
      </c>
      <c r="O28" s="155">
        <v>0.15</v>
      </c>
      <c r="P28" s="155">
        <v>0.17</v>
      </c>
      <c r="Q28" s="155">
        <v>0.49</v>
      </c>
      <c r="R28" s="155">
        <v>0.36</v>
      </c>
      <c r="S28" s="135" t="s">
        <v>25</v>
      </c>
      <c r="T28" s="155">
        <v>0.36</v>
      </c>
      <c r="U28" s="155">
        <v>0.41</v>
      </c>
      <c r="V28" s="155">
        <v>1.56</v>
      </c>
      <c r="W28" s="155">
        <v>1.1499999999999999</v>
      </c>
      <c r="X28" s="155">
        <v>0.37</v>
      </c>
      <c r="Y28" s="155">
        <v>0.4</v>
      </c>
      <c r="Z28" s="155">
        <v>0.31</v>
      </c>
      <c r="AA28" s="155">
        <v>0.9</v>
      </c>
      <c r="AB28" s="135" t="s">
        <v>25</v>
      </c>
      <c r="AC28" s="155">
        <v>0.68</v>
      </c>
      <c r="AD28" s="155">
        <v>1.39</v>
      </c>
      <c r="AE28" s="155">
        <v>0.56999999999999995</v>
      </c>
      <c r="AF28" s="155">
        <v>0.67</v>
      </c>
      <c r="AG28" s="155">
        <v>0.56999999999999995</v>
      </c>
      <c r="AH28" s="155">
        <v>0.31</v>
      </c>
      <c r="AI28" s="155">
        <v>0.62</v>
      </c>
      <c r="AJ28" s="155">
        <v>1.35</v>
      </c>
      <c r="AK28" s="135" t="s">
        <v>25</v>
      </c>
      <c r="AL28" s="155">
        <v>0.5</v>
      </c>
      <c r="AM28" s="155">
        <v>0.59</v>
      </c>
      <c r="AN28" s="155">
        <v>1.45</v>
      </c>
      <c r="AO28" s="155">
        <v>0.69</v>
      </c>
      <c r="AP28" s="155">
        <v>0.46</v>
      </c>
      <c r="AQ28" s="155">
        <v>0.62</v>
      </c>
      <c r="AR28" s="155">
        <v>0.36</v>
      </c>
      <c r="AS28" s="155">
        <v>0.21</v>
      </c>
      <c r="AT28" s="135" t="s">
        <v>25</v>
      </c>
      <c r="AU28" s="155">
        <v>0.35</v>
      </c>
      <c r="AV28" s="155">
        <v>0.36</v>
      </c>
      <c r="AW28" s="155">
        <v>0.39</v>
      </c>
      <c r="AX28" s="155">
        <v>0.59</v>
      </c>
      <c r="AY28" s="155">
        <v>0.54</v>
      </c>
      <c r="AZ28" s="155">
        <v>0.87</v>
      </c>
    </row>
    <row r="29" spans="1:52" ht="15.75">
      <c r="A29" s="133" t="s">
        <v>26</v>
      </c>
      <c r="B29" s="154">
        <v>1.06</v>
      </c>
      <c r="C29" s="154">
        <v>1.31</v>
      </c>
      <c r="D29" s="154">
        <v>0.68</v>
      </c>
      <c r="E29" s="154">
        <v>0.44</v>
      </c>
      <c r="F29" s="154">
        <v>0.41</v>
      </c>
      <c r="G29" s="154">
        <v>0.23</v>
      </c>
      <c r="H29" s="154">
        <v>0.31</v>
      </c>
      <c r="I29" s="154">
        <v>0.81</v>
      </c>
      <c r="J29" s="135" t="s">
        <v>26</v>
      </c>
      <c r="K29" s="154">
        <v>0.56000000000000005</v>
      </c>
      <c r="L29" s="154">
        <v>0.42</v>
      </c>
      <c r="M29" s="155">
        <v>0.3</v>
      </c>
      <c r="N29" s="155">
        <v>0.38</v>
      </c>
      <c r="O29" s="155">
        <v>0.24</v>
      </c>
      <c r="P29" s="155">
        <v>0.24</v>
      </c>
      <c r="Q29" s="155">
        <v>0.32</v>
      </c>
      <c r="R29" s="155">
        <v>0.68</v>
      </c>
      <c r="S29" s="135" t="s">
        <v>26</v>
      </c>
      <c r="T29" s="155">
        <v>0.69</v>
      </c>
      <c r="U29" s="155">
        <v>0.84</v>
      </c>
      <c r="V29" s="155">
        <v>1.45</v>
      </c>
      <c r="W29" s="155">
        <v>0.92</v>
      </c>
      <c r="X29" s="155">
        <v>0.41</v>
      </c>
      <c r="Y29" s="155">
        <v>0.32</v>
      </c>
      <c r="Z29" s="155">
        <v>0.27</v>
      </c>
      <c r="AA29" s="155">
        <v>0.62</v>
      </c>
      <c r="AB29" s="135" t="s">
        <v>26</v>
      </c>
      <c r="AC29" s="155">
        <v>0.99</v>
      </c>
      <c r="AD29" s="155">
        <v>1.38</v>
      </c>
      <c r="AE29" s="155">
        <v>0.5</v>
      </c>
      <c r="AF29" s="155">
        <v>0.94</v>
      </c>
      <c r="AG29" s="155">
        <v>0.16</v>
      </c>
      <c r="AH29" s="155">
        <v>0.83</v>
      </c>
      <c r="AI29" s="155">
        <v>0.83</v>
      </c>
      <c r="AJ29" s="155">
        <v>0.91</v>
      </c>
      <c r="AK29" s="135" t="s">
        <v>26</v>
      </c>
      <c r="AL29" s="155">
        <v>0.39</v>
      </c>
      <c r="AM29" s="155">
        <v>0.34</v>
      </c>
      <c r="AN29" s="155">
        <v>0.84</v>
      </c>
      <c r="AO29" s="155">
        <v>0.43</v>
      </c>
      <c r="AP29" s="155">
        <v>0.66</v>
      </c>
      <c r="AQ29" s="155">
        <v>0.46</v>
      </c>
      <c r="AR29" s="155">
        <v>1.19</v>
      </c>
      <c r="AS29" s="155">
        <v>0.34</v>
      </c>
      <c r="AT29" s="135" t="s">
        <v>26</v>
      </c>
      <c r="AU29" s="155">
        <v>0.36</v>
      </c>
      <c r="AV29" s="155">
        <v>0.8</v>
      </c>
      <c r="AW29" s="155">
        <v>0.68</v>
      </c>
      <c r="AX29" s="155">
        <v>0.6</v>
      </c>
      <c r="AY29" s="155">
        <v>0.75</v>
      </c>
      <c r="AZ29" s="155">
        <v>0.82</v>
      </c>
    </row>
    <row r="30" spans="1:52" ht="15.75">
      <c r="A30" s="133" t="s">
        <v>27</v>
      </c>
      <c r="B30" s="154">
        <v>3.5</v>
      </c>
      <c r="C30" s="154">
        <v>0.76</v>
      </c>
      <c r="D30" s="154">
        <v>1.94</v>
      </c>
      <c r="E30" s="154">
        <v>0.61</v>
      </c>
      <c r="F30" s="154">
        <v>0.76</v>
      </c>
      <c r="G30" s="154">
        <v>0.33</v>
      </c>
      <c r="H30" s="154">
        <v>0.45</v>
      </c>
      <c r="I30" s="154">
        <v>0.27</v>
      </c>
      <c r="J30" s="135" t="s">
        <v>27</v>
      </c>
      <c r="K30" s="154">
        <v>0.96</v>
      </c>
      <c r="L30" s="154">
        <v>0.71</v>
      </c>
      <c r="M30" s="155">
        <v>0.61</v>
      </c>
      <c r="N30" s="155">
        <v>0.56999999999999995</v>
      </c>
      <c r="O30" s="155">
        <v>0.45</v>
      </c>
      <c r="P30" s="155">
        <v>0.47</v>
      </c>
      <c r="Q30" s="155">
        <v>0.43</v>
      </c>
      <c r="R30" s="155">
        <v>0.66</v>
      </c>
      <c r="S30" s="135" t="s">
        <v>27</v>
      </c>
      <c r="T30" s="155">
        <v>1.68</v>
      </c>
      <c r="U30" s="155">
        <v>1.0900000000000001</v>
      </c>
      <c r="V30" s="155">
        <v>1.45</v>
      </c>
      <c r="W30" s="155">
        <v>1.05</v>
      </c>
      <c r="X30" s="155">
        <v>0.39</v>
      </c>
      <c r="Y30" s="155">
        <v>0.19</v>
      </c>
      <c r="Z30" s="155">
        <v>0.85</v>
      </c>
      <c r="AA30" s="155">
        <v>0.81</v>
      </c>
      <c r="AB30" s="135" t="s">
        <v>27</v>
      </c>
      <c r="AC30" s="155">
        <v>1.24</v>
      </c>
      <c r="AD30" s="155">
        <v>1.65</v>
      </c>
      <c r="AE30" s="155">
        <v>0.92</v>
      </c>
      <c r="AF30" s="155">
        <v>0.92</v>
      </c>
      <c r="AG30" s="155">
        <v>0.33</v>
      </c>
      <c r="AH30" s="155">
        <v>2.4500000000000002</v>
      </c>
      <c r="AI30" s="155">
        <v>1.24</v>
      </c>
      <c r="AJ30" s="155">
        <v>1.01</v>
      </c>
      <c r="AK30" s="135" t="s">
        <v>27</v>
      </c>
      <c r="AL30" s="155">
        <v>0.32</v>
      </c>
      <c r="AM30" s="155">
        <v>0.3</v>
      </c>
      <c r="AN30" s="155">
        <v>0.79</v>
      </c>
      <c r="AO30" s="155">
        <v>1.55</v>
      </c>
      <c r="AP30" s="155">
        <v>0.27</v>
      </c>
      <c r="AQ30" s="155">
        <v>0.55000000000000004</v>
      </c>
      <c r="AR30" s="155">
        <v>0.36</v>
      </c>
      <c r="AS30" s="155">
        <v>0.66</v>
      </c>
      <c r="AT30" s="135" t="s">
        <v>27</v>
      </c>
      <c r="AU30" s="155">
        <v>0.5</v>
      </c>
      <c r="AV30" s="155">
        <v>0.72</v>
      </c>
      <c r="AW30" s="155">
        <v>0.87</v>
      </c>
      <c r="AX30" s="155">
        <v>1.2</v>
      </c>
      <c r="AY30" s="155">
        <v>0.94</v>
      </c>
      <c r="AZ30" s="155">
        <v>0.73</v>
      </c>
    </row>
    <row r="31" spans="1:52" ht="15.75">
      <c r="A31" s="133" t="s">
        <v>75</v>
      </c>
      <c r="B31" s="154">
        <v>3.5</v>
      </c>
      <c r="C31" s="154">
        <v>0.76</v>
      </c>
      <c r="D31" s="154">
        <v>1.94</v>
      </c>
      <c r="E31" s="154">
        <v>0.61</v>
      </c>
      <c r="F31" s="154">
        <v>0.76</v>
      </c>
      <c r="G31" s="154">
        <v>0.33</v>
      </c>
      <c r="H31" s="154">
        <v>0.45</v>
      </c>
      <c r="I31" s="154">
        <v>0.27</v>
      </c>
      <c r="J31" s="135" t="s">
        <v>75</v>
      </c>
      <c r="K31" s="154">
        <v>0.96</v>
      </c>
      <c r="L31" s="154">
        <v>0.71</v>
      </c>
      <c r="M31" s="155">
        <v>0.61</v>
      </c>
      <c r="N31" s="155">
        <v>0.56999999999999995</v>
      </c>
      <c r="O31" s="155">
        <v>0.45</v>
      </c>
      <c r="P31" s="155">
        <v>0.47</v>
      </c>
      <c r="Q31" s="155">
        <v>0.43</v>
      </c>
      <c r="R31" s="155">
        <v>0.66</v>
      </c>
      <c r="S31" s="135" t="s">
        <v>75</v>
      </c>
      <c r="T31" s="155">
        <v>1.68</v>
      </c>
      <c r="U31" s="155">
        <v>1.0900000000000001</v>
      </c>
      <c r="V31" s="155">
        <v>1.45</v>
      </c>
      <c r="W31" s="155">
        <v>1.05</v>
      </c>
      <c r="X31" s="155">
        <v>0.39</v>
      </c>
      <c r="Y31" s="155">
        <v>0.19</v>
      </c>
      <c r="Z31" s="155">
        <v>0.85</v>
      </c>
      <c r="AA31" s="155">
        <v>0.81</v>
      </c>
      <c r="AB31" s="135" t="s">
        <v>75</v>
      </c>
      <c r="AC31" s="155">
        <v>1.24</v>
      </c>
      <c r="AD31" s="155">
        <v>1.65</v>
      </c>
      <c r="AE31" s="155">
        <v>0.92</v>
      </c>
      <c r="AF31" s="155">
        <v>0.92</v>
      </c>
      <c r="AG31" s="155">
        <v>0.33</v>
      </c>
      <c r="AH31" s="155">
        <v>2.4500000000000002</v>
      </c>
      <c r="AI31" s="155">
        <v>1.24</v>
      </c>
      <c r="AJ31" s="155">
        <v>1.01</v>
      </c>
      <c r="AK31" s="135" t="s">
        <v>75</v>
      </c>
      <c r="AL31" s="155">
        <v>0.32</v>
      </c>
      <c r="AM31" s="155">
        <v>0.3</v>
      </c>
      <c r="AN31" s="155">
        <v>0.79</v>
      </c>
      <c r="AO31" s="155">
        <v>1.55</v>
      </c>
      <c r="AP31" s="155">
        <v>0.27</v>
      </c>
      <c r="AQ31" s="155">
        <v>0.55000000000000004</v>
      </c>
      <c r="AR31" s="155">
        <v>0.36</v>
      </c>
      <c r="AS31" s="155">
        <v>0.66</v>
      </c>
      <c r="AT31" s="135" t="s">
        <v>75</v>
      </c>
      <c r="AU31" s="155">
        <v>0.5</v>
      </c>
      <c r="AV31" s="155">
        <v>0.72</v>
      </c>
      <c r="AW31" s="155">
        <v>0.87</v>
      </c>
      <c r="AX31" s="155">
        <v>1.2</v>
      </c>
      <c r="AY31" s="155">
        <v>0.94</v>
      </c>
      <c r="AZ31" s="155">
        <v>0.73</v>
      </c>
    </row>
    <row r="32" spans="1:52" ht="15.75">
      <c r="A32" s="156" t="s">
        <v>80</v>
      </c>
      <c r="B32" s="157">
        <v>29.25</v>
      </c>
      <c r="C32" s="157">
        <v>34.76</v>
      </c>
      <c r="D32" s="157">
        <v>40.04</v>
      </c>
      <c r="E32" s="157">
        <v>49.45</v>
      </c>
      <c r="F32" s="157">
        <v>52.89</v>
      </c>
      <c r="G32" s="157">
        <v>49.27</v>
      </c>
      <c r="H32" s="157">
        <v>46.3</v>
      </c>
      <c r="I32" s="157">
        <v>47.74</v>
      </c>
      <c r="J32" s="156" t="s">
        <v>80</v>
      </c>
      <c r="K32" s="157">
        <v>42.46</v>
      </c>
      <c r="L32" s="157">
        <v>44.66</v>
      </c>
      <c r="M32" s="158">
        <v>50.87</v>
      </c>
      <c r="N32" s="158">
        <v>47.25</v>
      </c>
      <c r="O32" s="158">
        <v>48.89</v>
      </c>
      <c r="P32" s="158">
        <v>39.11</v>
      </c>
      <c r="Q32" s="158">
        <v>22.46</v>
      </c>
      <c r="R32" s="158">
        <v>33.979999999999997</v>
      </c>
      <c r="S32" s="156" t="s">
        <v>80</v>
      </c>
      <c r="T32" s="158">
        <v>23.71</v>
      </c>
      <c r="U32" s="158">
        <v>10.51</v>
      </c>
      <c r="V32" s="158">
        <v>13.65</v>
      </c>
      <c r="W32" s="158">
        <v>10.74</v>
      </c>
      <c r="X32" s="158">
        <v>31.28</v>
      </c>
      <c r="Y32" s="158">
        <v>29.68</v>
      </c>
      <c r="Z32" s="158">
        <v>43.59</v>
      </c>
      <c r="AA32" s="158">
        <v>22.57</v>
      </c>
      <c r="AB32" s="156" t="s">
        <v>80</v>
      </c>
      <c r="AC32" s="158">
        <v>28.64</v>
      </c>
      <c r="AD32" s="158">
        <v>11.44</v>
      </c>
      <c r="AE32" s="158">
        <v>28.88</v>
      </c>
      <c r="AF32" s="158">
        <v>21.03</v>
      </c>
      <c r="AG32" s="158">
        <v>12.02</v>
      </c>
      <c r="AH32" s="158">
        <v>27.31</v>
      </c>
      <c r="AI32" s="158">
        <v>28.21</v>
      </c>
      <c r="AJ32" s="158">
        <v>6.86</v>
      </c>
      <c r="AK32" s="156" t="s">
        <v>80</v>
      </c>
      <c r="AL32" s="158">
        <v>20.59</v>
      </c>
      <c r="AM32" s="158">
        <v>27.64</v>
      </c>
      <c r="AN32" s="158">
        <v>25.51</v>
      </c>
      <c r="AO32" s="158">
        <v>28.81</v>
      </c>
      <c r="AP32" s="158">
        <v>37.58</v>
      </c>
      <c r="AQ32" s="158">
        <v>36.43</v>
      </c>
      <c r="AR32" s="158">
        <v>38.369999999999997</v>
      </c>
      <c r="AS32" s="158">
        <v>35.89</v>
      </c>
      <c r="AT32" s="156" t="s">
        <v>80</v>
      </c>
      <c r="AU32" s="158">
        <v>36.049999999999997</v>
      </c>
      <c r="AV32" s="158">
        <v>37.369999999999997</v>
      </c>
      <c r="AW32" s="158">
        <v>38.770000000000003</v>
      </c>
      <c r="AX32" s="158">
        <v>36.909999999999997</v>
      </c>
      <c r="AY32" s="158">
        <v>33.31</v>
      </c>
      <c r="AZ32" s="158">
        <v>29.8</v>
      </c>
    </row>
    <row r="33" spans="1:52" ht="15.75">
      <c r="A33" s="156" t="s">
        <v>81</v>
      </c>
      <c r="B33" s="157">
        <v>1.74</v>
      </c>
      <c r="C33" s="157">
        <v>1.29</v>
      </c>
      <c r="D33" s="157">
        <v>1</v>
      </c>
      <c r="E33" s="157">
        <v>0.66</v>
      </c>
      <c r="F33" s="157">
        <v>0.52</v>
      </c>
      <c r="G33" s="157">
        <v>0.73</v>
      </c>
      <c r="H33" s="157">
        <v>0.78</v>
      </c>
      <c r="I33" s="157">
        <v>0.7</v>
      </c>
      <c r="J33" s="156" t="s">
        <v>81</v>
      </c>
      <c r="K33" s="157">
        <v>0.88</v>
      </c>
      <c r="L33" s="157">
        <v>0.81</v>
      </c>
      <c r="M33" s="158">
        <v>0.61</v>
      </c>
      <c r="N33" s="158">
        <v>0.73</v>
      </c>
      <c r="O33" s="158">
        <v>0.72</v>
      </c>
      <c r="P33" s="158">
        <v>1.03</v>
      </c>
      <c r="Q33" s="158">
        <v>1.77</v>
      </c>
      <c r="R33" s="158">
        <v>1.25</v>
      </c>
      <c r="S33" s="156" t="s">
        <v>81</v>
      </c>
      <c r="T33" s="158">
        <v>1.91</v>
      </c>
      <c r="U33" s="158">
        <v>3.07</v>
      </c>
      <c r="V33" s="158">
        <v>3.28</v>
      </c>
      <c r="W33" s="158">
        <v>3.32</v>
      </c>
      <c r="X33" s="158">
        <v>1.33</v>
      </c>
      <c r="Y33" s="158">
        <v>1.38</v>
      </c>
      <c r="Z33" s="158">
        <v>0.86</v>
      </c>
      <c r="AA33" s="158">
        <v>2.17</v>
      </c>
      <c r="AB33" s="156" t="s">
        <v>81</v>
      </c>
      <c r="AC33" s="158">
        <v>1.65</v>
      </c>
      <c r="AD33" s="158">
        <v>3.87</v>
      </c>
      <c r="AE33" s="158">
        <v>1.6</v>
      </c>
      <c r="AF33" s="158">
        <v>2.2400000000000002</v>
      </c>
      <c r="AG33" s="158">
        <v>2.68</v>
      </c>
      <c r="AH33" s="158">
        <v>1.78</v>
      </c>
      <c r="AI33" s="158">
        <v>1.65</v>
      </c>
      <c r="AJ33" s="158">
        <v>4.0599999999999996</v>
      </c>
      <c r="AK33" s="156" t="s">
        <v>81</v>
      </c>
      <c r="AL33" s="158">
        <v>1.95</v>
      </c>
      <c r="AM33" s="158">
        <v>1.56</v>
      </c>
      <c r="AN33" s="158">
        <v>1.98</v>
      </c>
      <c r="AO33" s="158">
        <v>1.57</v>
      </c>
      <c r="AP33" s="158">
        <v>1.0900000000000001</v>
      </c>
      <c r="AQ33" s="158">
        <v>1.1599999999999999</v>
      </c>
      <c r="AR33" s="158">
        <v>1.07</v>
      </c>
      <c r="AS33" s="158">
        <v>1.1499999999999999</v>
      </c>
      <c r="AT33" s="156" t="s">
        <v>81</v>
      </c>
      <c r="AU33" s="158">
        <v>1.1499999999999999</v>
      </c>
      <c r="AV33" s="158">
        <v>1.1200000000000001</v>
      </c>
      <c r="AW33" s="158">
        <v>1.06</v>
      </c>
      <c r="AX33" s="158">
        <v>1.17</v>
      </c>
      <c r="AY33" s="158">
        <v>1.37</v>
      </c>
      <c r="AZ33" s="158">
        <v>1.62</v>
      </c>
    </row>
    <row r="34" spans="1:52" ht="15.75">
      <c r="A34" s="159"/>
      <c r="B34" s="154"/>
      <c r="C34" s="154"/>
      <c r="D34" s="154"/>
      <c r="E34" s="154"/>
      <c r="F34" s="154"/>
      <c r="G34" s="154"/>
      <c r="H34" s="154"/>
      <c r="I34" s="154"/>
      <c r="J34" s="160"/>
      <c r="K34" s="154"/>
      <c r="L34" s="154"/>
      <c r="M34" s="155"/>
      <c r="N34" s="155"/>
      <c r="O34" s="155"/>
      <c r="P34" s="155"/>
      <c r="Q34" s="155"/>
      <c r="R34" s="155"/>
      <c r="S34" s="160"/>
      <c r="T34" s="155"/>
      <c r="U34" s="155"/>
      <c r="V34" s="155"/>
      <c r="W34" s="155"/>
      <c r="X34" s="155"/>
      <c r="Y34" s="155"/>
      <c r="Z34" s="155"/>
      <c r="AA34" s="155"/>
      <c r="AB34" s="160"/>
      <c r="AC34" s="155"/>
      <c r="AD34" s="155"/>
      <c r="AE34" s="155"/>
      <c r="AF34" s="155"/>
      <c r="AG34" s="155"/>
      <c r="AH34" s="155"/>
      <c r="AI34" s="155"/>
      <c r="AJ34" s="155"/>
      <c r="AK34" s="160"/>
      <c r="AL34" s="155"/>
      <c r="AM34" s="155"/>
      <c r="AN34" s="155"/>
      <c r="AO34" s="155"/>
      <c r="AP34" s="155"/>
      <c r="AQ34" s="155"/>
      <c r="AR34" s="155"/>
      <c r="AS34" s="155"/>
      <c r="AT34" s="160"/>
      <c r="AU34" s="155"/>
      <c r="AV34" s="155"/>
      <c r="AW34" s="155"/>
      <c r="AX34" s="155"/>
      <c r="AY34" s="155"/>
      <c r="AZ34" s="155"/>
    </row>
    <row r="35" spans="1:52" ht="15.75">
      <c r="A35" s="124" t="s">
        <v>82</v>
      </c>
      <c r="B35" s="125"/>
      <c r="C35" s="125"/>
      <c r="D35" s="125"/>
      <c r="E35" s="125"/>
      <c r="F35" s="125"/>
      <c r="G35" s="125"/>
      <c r="H35" s="125"/>
      <c r="I35" s="125"/>
      <c r="J35" s="124" t="s">
        <v>82</v>
      </c>
      <c r="K35" s="125"/>
      <c r="L35" s="125"/>
      <c r="M35" s="125"/>
      <c r="N35" s="125"/>
      <c r="O35" s="125"/>
      <c r="P35" s="125"/>
      <c r="Q35" s="125"/>
      <c r="R35" s="125"/>
      <c r="S35" s="124" t="s">
        <v>82</v>
      </c>
      <c r="T35" s="125"/>
      <c r="U35" s="125"/>
      <c r="V35" s="125"/>
      <c r="W35" s="125"/>
      <c r="X35" s="125"/>
      <c r="Y35" s="125"/>
      <c r="Z35" s="125"/>
      <c r="AA35" s="125"/>
      <c r="AB35" s="124" t="s">
        <v>82</v>
      </c>
      <c r="AC35" s="125"/>
      <c r="AD35" s="125"/>
      <c r="AE35" s="125"/>
      <c r="AF35" s="125"/>
      <c r="AG35" s="152"/>
      <c r="AH35" s="152"/>
      <c r="AI35" s="152"/>
      <c r="AJ35" s="152"/>
      <c r="AK35" s="124" t="s">
        <v>82</v>
      </c>
      <c r="AL35" s="152"/>
      <c r="AM35" s="152"/>
      <c r="AN35" s="152"/>
      <c r="AO35" s="152"/>
      <c r="AP35" s="152"/>
      <c r="AQ35" s="152"/>
      <c r="AR35" s="152"/>
      <c r="AS35" s="152"/>
      <c r="AT35" s="124" t="s">
        <v>82</v>
      </c>
      <c r="AU35" s="152"/>
      <c r="AV35" s="152"/>
      <c r="AW35" s="152"/>
      <c r="AX35" s="152"/>
      <c r="AY35" s="152"/>
      <c r="AZ35" s="152"/>
    </row>
    <row r="36" spans="1:52" ht="15.75">
      <c r="A36" s="127" t="s">
        <v>74</v>
      </c>
      <c r="B36" s="128">
        <v>1976</v>
      </c>
      <c r="C36" s="128">
        <v>1977</v>
      </c>
      <c r="D36" s="128">
        <v>1978</v>
      </c>
      <c r="E36" s="128">
        <v>1979</v>
      </c>
      <c r="F36" s="128">
        <v>1980</v>
      </c>
      <c r="G36" s="128">
        <v>1981</v>
      </c>
      <c r="H36" s="128">
        <v>1982</v>
      </c>
      <c r="I36" s="128">
        <v>1983</v>
      </c>
      <c r="J36" s="129" t="s">
        <v>74</v>
      </c>
      <c r="K36" s="128">
        <v>1984</v>
      </c>
      <c r="L36" s="128">
        <v>1985</v>
      </c>
      <c r="M36" s="128">
        <v>1986</v>
      </c>
      <c r="N36" s="128">
        <v>1987</v>
      </c>
      <c r="O36" s="128">
        <v>1988</v>
      </c>
      <c r="P36" s="128">
        <v>1989</v>
      </c>
      <c r="Q36" s="128">
        <v>1990</v>
      </c>
      <c r="R36" s="128">
        <v>1991</v>
      </c>
      <c r="S36" s="129" t="s">
        <v>74</v>
      </c>
      <c r="T36" s="128">
        <v>1992</v>
      </c>
      <c r="U36" s="128">
        <v>1993</v>
      </c>
      <c r="V36" s="128">
        <v>1994</v>
      </c>
      <c r="W36" s="128">
        <v>1995</v>
      </c>
      <c r="X36" s="128">
        <v>1996</v>
      </c>
      <c r="Y36" s="128">
        <v>1997</v>
      </c>
      <c r="Z36" s="128">
        <v>1998</v>
      </c>
      <c r="AA36" s="128">
        <v>1999</v>
      </c>
      <c r="AB36" s="129" t="s">
        <v>74</v>
      </c>
      <c r="AC36" s="128">
        <v>2000</v>
      </c>
      <c r="AD36" s="128">
        <v>2001</v>
      </c>
      <c r="AE36" s="128">
        <v>2002</v>
      </c>
      <c r="AF36" s="128">
        <v>2003</v>
      </c>
      <c r="AG36" s="128">
        <v>2004</v>
      </c>
      <c r="AH36" s="128">
        <v>2005</v>
      </c>
      <c r="AI36" s="128">
        <v>2006</v>
      </c>
      <c r="AJ36" s="128">
        <v>2007</v>
      </c>
      <c r="AK36" s="129" t="s">
        <v>74</v>
      </c>
      <c r="AL36" s="128">
        <v>2008</v>
      </c>
      <c r="AM36" s="128">
        <v>2009</v>
      </c>
      <c r="AN36" s="128">
        <v>2010</v>
      </c>
      <c r="AO36" s="128">
        <v>2011</v>
      </c>
      <c r="AP36" s="128">
        <v>2012</v>
      </c>
      <c r="AQ36" s="128">
        <v>2013</v>
      </c>
      <c r="AR36" s="128">
        <v>2014</v>
      </c>
      <c r="AS36" s="128">
        <v>2015</v>
      </c>
      <c r="AT36" s="129" t="s">
        <v>74</v>
      </c>
      <c r="AU36" s="128">
        <v>2016</v>
      </c>
      <c r="AV36" s="128">
        <v>2017</v>
      </c>
      <c r="AW36" s="128">
        <v>2018</v>
      </c>
      <c r="AX36" s="128">
        <v>2019</v>
      </c>
      <c r="AY36" s="128">
        <v>2020</v>
      </c>
      <c r="AZ36" s="128">
        <v>2021</v>
      </c>
    </row>
    <row r="37" spans="1:52" ht="15.75">
      <c r="A37" s="133" t="s">
        <v>23</v>
      </c>
      <c r="B37" s="142">
        <v>55898</v>
      </c>
      <c r="C37" s="142">
        <v>92251</v>
      </c>
      <c r="D37" s="142">
        <v>94204</v>
      </c>
      <c r="E37" s="142">
        <v>41921</v>
      </c>
      <c r="F37" s="142">
        <v>292971</v>
      </c>
      <c r="G37" s="142">
        <v>197812</v>
      </c>
      <c r="H37" s="142">
        <v>156249</v>
      </c>
      <c r="I37" s="142">
        <v>180202</v>
      </c>
      <c r="J37" s="135" t="s">
        <v>23</v>
      </c>
      <c r="K37" s="142">
        <v>212801</v>
      </c>
      <c r="L37" s="142">
        <v>247911</v>
      </c>
      <c r="M37" s="161">
        <v>259954</v>
      </c>
      <c r="N37" s="161">
        <v>156475</v>
      </c>
      <c r="O37" s="161">
        <v>22847</v>
      </c>
      <c r="P37" s="161">
        <v>19437</v>
      </c>
      <c r="Q37" s="161">
        <v>6923</v>
      </c>
      <c r="R37" s="161">
        <v>5308</v>
      </c>
      <c r="S37" s="135" t="s">
        <v>23</v>
      </c>
      <c r="T37" s="161">
        <v>27329</v>
      </c>
      <c r="U37" s="161">
        <v>12127</v>
      </c>
      <c r="V37" s="161">
        <v>11889</v>
      </c>
      <c r="W37" s="161">
        <v>7312</v>
      </c>
      <c r="X37" s="161">
        <v>13445</v>
      </c>
      <c r="Y37" s="161">
        <v>7777</v>
      </c>
      <c r="Z37" s="161">
        <v>7388</v>
      </c>
      <c r="AA37" s="161">
        <v>2580</v>
      </c>
      <c r="AB37" s="135" t="s">
        <v>23</v>
      </c>
      <c r="AC37" s="161">
        <v>4838</v>
      </c>
      <c r="AD37" s="161">
        <v>2483</v>
      </c>
      <c r="AE37" s="161">
        <v>1220</v>
      </c>
      <c r="AF37" s="161">
        <v>1134</v>
      </c>
      <c r="AG37" s="161">
        <v>895</v>
      </c>
      <c r="AH37" s="161">
        <v>1919</v>
      </c>
      <c r="AI37" s="161">
        <v>1241</v>
      </c>
      <c r="AJ37" s="161">
        <v>1420</v>
      </c>
      <c r="AK37" s="135" t="s">
        <v>23</v>
      </c>
      <c r="AL37" s="161">
        <v>2422</v>
      </c>
      <c r="AM37" s="161">
        <v>1303</v>
      </c>
      <c r="AN37" s="161">
        <v>7667</v>
      </c>
      <c r="AO37" s="161">
        <v>5258</v>
      </c>
      <c r="AP37" s="161">
        <v>6420</v>
      </c>
      <c r="AQ37" s="161">
        <v>7207</v>
      </c>
      <c r="AR37" s="161">
        <v>20175</v>
      </c>
      <c r="AS37" s="161">
        <v>22768</v>
      </c>
      <c r="AT37" s="135" t="s">
        <v>23</v>
      </c>
      <c r="AU37" s="161">
        <v>25368</v>
      </c>
      <c r="AV37" s="161">
        <v>46317</v>
      </c>
      <c r="AW37" s="161">
        <v>87973</v>
      </c>
      <c r="AX37" s="161">
        <v>54959</v>
      </c>
      <c r="AY37" s="161">
        <v>69723</v>
      </c>
      <c r="AZ37" s="161">
        <v>61692</v>
      </c>
    </row>
    <row r="38" spans="1:52" ht="15.75">
      <c r="A38" s="133" t="s">
        <v>24</v>
      </c>
      <c r="B38" s="142">
        <v>31999</v>
      </c>
      <c r="C38" s="142">
        <v>35269</v>
      </c>
      <c r="D38" s="142">
        <v>58696</v>
      </c>
      <c r="E38" s="142">
        <v>60655</v>
      </c>
      <c r="F38" s="142">
        <v>25786</v>
      </c>
      <c r="G38" s="142">
        <v>185141</v>
      </c>
      <c r="H38" s="142">
        <v>127459</v>
      </c>
      <c r="I38" s="142">
        <v>101808</v>
      </c>
      <c r="J38" s="135" t="s">
        <v>24</v>
      </c>
      <c r="K38" s="142">
        <v>117844</v>
      </c>
      <c r="L38" s="142">
        <v>134739</v>
      </c>
      <c r="M38" s="161">
        <v>152955</v>
      </c>
      <c r="N38" s="161">
        <v>172114</v>
      </c>
      <c r="O38" s="161">
        <v>94005</v>
      </c>
      <c r="P38" s="161">
        <v>13794</v>
      </c>
      <c r="Q38" s="161">
        <v>9154</v>
      </c>
      <c r="R38" s="161">
        <v>3142</v>
      </c>
      <c r="S38" s="135" t="s">
        <v>24</v>
      </c>
      <c r="T38" s="161">
        <v>3163</v>
      </c>
      <c r="U38" s="161">
        <v>15042</v>
      </c>
      <c r="V38" s="161">
        <v>5832</v>
      </c>
      <c r="W38" s="161">
        <v>5090</v>
      </c>
      <c r="X38" s="161">
        <v>3286</v>
      </c>
      <c r="Y38" s="161">
        <v>6599</v>
      </c>
      <c r="Z38" s="161">
        <v>4619</v>
      </c>
      <c r="AA38" s="161">
        <v>4583</v>
      </c>
      <c r="AB38" s="135" t="s">
        <v>24</v>
      </c>
      <c r="AC38" s="161">
        <v>1679</v>
      </c>
      <c r="AD38" s="161">
        <v>2366</v>
      </c>
      <c r="AE38" s="161">
        <v>1047</v>
      </c>
      <c r="AF38" s="161">
        <v>798</v>
      </c>
      <c r="AG38" s="161">
        <v>636</v>
      </c>
      <c r="AH38" s="161">
        <v>293</v>
      </c>
      <c r="AI38" s="161">
        <v>1073</v>
      </c>
      <c r="AJ38" s="161">
        <v>691</v>
      </c>
      <c r="AK38" s="135" t="s">
        <v>24</v>
      </c>
      <c r="AL38" s="161">
        <v>338</v>
      </c>
      <c r="AM38" s="161">
        <v>1248</v>
      </c>
      <c r="AN38" s="161">
        <v>775</v>
      </c>
      <c r="AO38" s="161">
        <v>4968</v>
      </c>
      <c r="AP38" s="161">
        <v>2902</v>
      </c>
      <c r="AQ38" s="161">
        <v>3882</v>
      </c>
      <c r="AR38" s="161">
        <v>4561</v>
      </c>
      <c r="AS38" s="161">
        <v>11433</v>
      </c>
      <c r="AT38" s="135" t="s">
        <v>24</v>
      </c>
      <c r="AU38" s="161">
        <v>11559</v>
      </c>
      <c r="AV38" s="161">
        <v>13697</v>
      </c>
      <c r="AW38" s="161">
        <v>26025</v>
      </c>
      <c r="AX38" s="161">
        <v>53765</v>
      </c>
      <c r="AY38" s="161">
        <v>35450</v>
      </c>
      <c r="AZ38" s="161">
        <v>44097</v>
      </c>
    </row>
    <row r="39" spans="1:52" ht="15.75">
      <c r="A39" s="133" t="s">
        <v>25</v>
      </c>
      <c r="B39" s="142">
        <v>7185</v>
      </c>
      <c r="C39" s="142">
        <v>15094</v>
      </c>
      <c r="D39" s="142">
        <v>19506</v>
      </c>
      <c r="E39" s="142">
        <v>32709</v>
      </c>
      <c r="F39" s="142">
        <v>37214</v>
      </c>
      <c r="G39" s="142">
        <v>16056</v>
      </c>
      <c r="H39" s="142">
        <v>94007</v>
      </c>
      <c r="I39" s="142">
        <v>77228</v>
      </c>
      <c r="J39" s="135" t="s">
        <v>25</v>
      </c>
      <c r="K39" s="142">
        <v>64528</v>
      </c>
      <c r="L39" s="142">
        <v>68389</v>
      </c>
      <c r="M39" s="161">
        <v>79963</v>
      </c>
      <c r="N39" s="161">
        <v>88695</v>
      </c>
      <c r="O39" s="161">
        <v>109303</v>
      </c>
      <c r="P39" s="161">
        <v>52808</v>
      </c>
      <c r="Q39" s="161">
        <v>8283</v>
      </c>
      <c r="R39" s="161">
        <v>3845</v>
      </c>
      <c r="S39" s="135" t="s">
        <v>25</v>
      </c>
      <c r="T39" s="161">
        <v>1472</v>
      </c>
      <c r="U39" s="161">
        <v>1146</v>
      </c>
      <c r="V39" s="161">
        <v>2769</v>
      </c>
      <c r="W39" s="161">
        <v>2199</v>
      </c>
      <c r="X39" s="161">
        <v>1338</v>
      </c>
      <c r="Y39" s="161">
        <v>1669</v>
      </c>
      <c r="Z39" s="161">
        <v>2263</v>
      </c>
      <c r="AA39" s="161">
        <v>2283</v>
      </c>
      <c r="AB39" s="135" t="s">
        <v>25</v>
      </c>
      <c r="AC39" s="161">
        <v>938</v>
      </c>
      <c r="AD39" s="161">
        <v>917</v>
      </c>
      <c r="AE39" s="161">
        <v>386</v>
      </c>
      <c r="AF39" s="161">
        <v>317</v>
      </c>
      <c r="AG39" s="161">
        <v>199</v>
      </c>
      <c r="AH39" s="161">
        <v>100</v>
      </c>
      <c r="AI39" s="161">
        <v>114</v>
      </c>
      <c r="AJ39" s="161">
        <v>340</v>
      </c>
      <c r="AK39" s="135" t="s">
        <v>25</v>
      </c>
      <c r="AL39" s="161">
        <v>111</v>
      </c>
      <c r="AM39" s="161">
        <v>80</v>
      </c>
      <c r="AN39" s="161">
        <v>328</v>
      </c>
      <c r="AO39" s="161">
        <v>187</v>
      </c>
      <c r="AP39" s="161">
        <v>1882</v>
      </c>
      <c r="AQ39" s="161">
        <v>1444</v>
      </c>
      <c r="AR39" s="161">
        <v>1937</v>
      </c>
      <c r="AS39" s="161">
        <v>2592</v>
      </c>
      <c r="AT39" s="135" t="s">
        <v>25</v>
      </c>
      <c r="AU39" s="161">
        <v>5385</v>
      </c>
      <c r="AV39" s="161">
        <v>6175</v>
      </c>
      <c r="AW39" s="161">
        <v>8014</v>
      </c>
      <c r="AX39" s="161">
        <v>15272</v>
      </c>
      <c r="AY39" s="161">
        <v>32314</v>
      </c>
      <c r="AZ39" s="161">
        <v>20266</v>
      </c>
    </row>
    <row r="40" spans="1:52" ht="15.75">
      <c r="A40" s="133" t="s">
        <v>26</v>
      </c>
      <c r="B40" s="142">
        <v>520</v>
      </c>
      <c r="C40" s="142">
        <v>2735</v>
      </c>
      <c r="D40" s="142">
        <v>5841</v>
      </c>
      <c r="E40" s="142">
        <v>9472</v>
      </c>
      <c r="F40" s="142">
        <v>18066</v>
      </c>
      <c r="G40" s="142">
        <v>22005</v>
      </c>
      <c r="H40" s="142">
        <v>9155</v>
      </c>
      <c r="I40" s="142">
        <v>44224</v>
      </c>
      <c r="J40" s="135" t="s">
        <v>26</v>
      </c>
      <c r="K40" s="142">
        <v>39056</v>
      </c>
      <c r="L40" s="142">
        <v>36396</v>
      </c>
      <c r="M40" s="161">
        <v>38518</v>
      </c>
      <c r="N40" s="161">
        <v>46773</v>
      </c>
      <c r="O40" s="161">
        <v>48037</v>
      </c>
      <c r="P40" s="161">
        <v>63299</v>
      </c>
      <c r="Q40" s="161">
        <v>29778</v>
      </c>
      <c r="R40" s="161">
        <v>3398</v>
      </c>
      <c r="S40" s="135" t="s">
        <v>26</v>
      </c>
      <c r="T40" s="161">
        <v>1805</v>
      </c>
      <c r="U40" s="161">
        <v>690</v>
      </c>
      <c r="V40" s="161">
        <v>509</v>
      </c>
      <c r="W40" s="161">
        <v>392</v>
      </c>
      <c r="X40" s="161">
        <v>466</v>
      </c>
      <c r="Y40" s="161">
        <v>622</v>
      </c>
      <c r="Z40" s="161">
        <v>752</v>
      </c>
      <c r="AA40" s="161">
        <v>1116</v>
      </c>
      <c r="AB40" s="135" t="s">
        <v>26</v>
      </c>
      <c r="AC40" s="161">
        <v>624</v>
      </c>
      <c r="AD40" s="161">
        <v>320</v>
      </c>
      <c r="AE40" s="161">
        <v>153</v>
      </c>
      <c r="AF40" s="161">
        <v>146</v>
      </c>
      <c r="AG40" s="161">
        <v>108</v>
      </c>
      <c r="AH40" s="161">
        <v>76</v>
      </c>
      <c r="AI40" s="161">
        <v>49</v>
      </c>
      <c r="AJ40" s="161">
        <v>41</v>
      </c>
      <c r="AK40" s="135" t="s">
        <v>26</v>
      </c>
      <c r="AL40" s="161">
        <v>59</v>
      </c>
      <c r="AM40" s="161">
        <v>45</v>
      </c>
      <c r="AN40" s="161">
        <v>30</v>
      </c>
      <c r="AO40" s="161">
        <v>52</v>
      </c>
      <c r="AP40" s="161">
        <v>63</v>
      </c>
      <c r="AQ40" s="161">
        <v>795</v>
      </c>
      <c r="AR40" s="161">
        <v>522</v>
      </c>
      <c r="AS40" s="161">
        <v>902</v>
      </c>
      <c r="AT40" s="135" t="s">
        <v>26</v>
      </c>
      <c r="AU40" s="161">
        <v>1412</v>
      </c>
      <c r="AV40" s="161">
        <v>2546</v>
      </c>
      <c r="AW40" s="161">
        <v>2889</v>
      </c>
      <c r="AX40" s="161">
        <v>3639</v>
      </c>
      <c r="AY40" s="161">
        <v>5660</v>
      </c>
      <c r="AZ40" s="161">
        <v>12563</v>
      </c>
    </row>
    <row r="41" spans="1:52" ht="15.75">
      <c r="A41" s="133" t="s">
        <v>27</v>
      </c>
      <c r="B41" s="142">
        <v>123</v>
      </c>
      <c r="C41" s="142">
        <v>121</v>
      </c>
      <c r="D41" s="142">
        <v>494</v>
      </c>
      <c r="E41" s="142">
        <v>1989</v>
      </c>
      <c r="F41" s="142">
        <v>4097</v>
      </c>
      <c r="G41" s="142">
        <v>8018</v>
      </c>
      <c r="H41" s="142">
        <v>11759</v>
      </c>
      <c r="I41" s="142">
        <v>4493</v>
      </c>
      <c r="J41" s="135" t="s">
        <v>27</v>
      </c>
      <c r="K41" s="142">
        <v>13228</v>
      </c>
      <c r="L41" s="142">
        <v>14992</v>
      </c>
      <c r="M41" s="161">
        <v>16053</v>
      </c>
      <c r="N41" s="161">
        <v>19060</v>
      </c>
      <c r="O41" s="161">
        <v>21359</v>
      </c>
      <c r="P41" s="161">
        <v>25363</v>
      </c>
      <c r="Q41" s="161">
        <v>33252</v>
      </c>
      <c r="R41" s="161">
        <v>14432</v>
      </c>
      <c r="S41" s="135" t="s">
        <v>27</v>
      </c>
      <c r="T41" s="161">
        <v>1153</v>
      </c>
      <c r="U41" s="161">
        <v>605</v>
      </c>
      <c r="V41" s="161">
        <v>200</v>
      </c>
      <c r="W41" s="161">
        <v>80</v>
      </c>
      <c r="X41" s="161">
        <v>104</v>
      </c>
      <c r="Y41" s="161">
        <v>207</v>
      </c>
      <c r="Z41" s="161">
        <v>303</v>
      </c>
      <c r="AA41" s="161">
        <v>383</v>
      </c>
      <c r="AB41" s="135" t="s">
        <v>27</v>
      </c>
      <c r="AC41" s="161">
        <v>404</v>
      </c>
      <c r="AD41" s="161">
        <v>156</v>
      </c>
      <c r="AE41" s="161">
        <v>54</v>
      </c>
      <c r="AF41" s="161">
        <v>62</v>
      </c>
      <c r="AG41" s="161">
        <v>38</v>
      </c>
      <c r="AH41" s="161">
        <v>62</v>
      </c>
      <c r="AI41" s="161">
        <v>22</v>
      </c>
      <c r="AJ41" s="161">
        <v>14</v>
      </c>
      <c r="AK41" s="135" t="s">
        <v>27</v>
      </c>
      <c r="AL41" s="161">
        <v>11</v>
      </c>
      <c r="AM41" s="161">
        <v>27</v>
      </c>
      <c r="AN41" s="161">
        <v>22</v>
      </c>
      <c r="AO41" s="161">
        <v>9</v>
      </c>
      <c r="AP41" s="161">
        <v>22</v>
      </c>
      <c r="AQ41" s="161">
        <v>22</v>
      </c>
      <c r="AR41" s="161">
        <v>337</v>
      </c>
      <c r="AS41" s="161">
        <v>107</v>
      </c>
      <c r="AT41" s="135" t="s">
        <v>27</v>
      </c>
      <c r="AU41" s="161">
        <v>432</v>
      </c>
      <c r="AV41" s="161">
        <v>657</v>
      </c>
      <c r="AW41" s="161">
        <v>764</v>
      </c>
      <c r="AX41" s="161">
        <v>979</v>
      </c>
      <c r="AY41" s="161">
        <v>1345</v>
      </c>
      <c r="AZ41" s="161">
        <v>1801</v>
      </c>
    </row>
    <row r="42" spans="1:52" ht="15.75">
      <c r="A42" s="133" t="s">
        <v>75</v>
      </c>
      <c r="B42" s="142">
        <v>1</v>
      </c>
      <c r="C42" s="142">
        <v>3</v>
      </c>
      <c r="D42" s="142">
        <v>39</v>
      </c>
      <c r="E42" s="142">
        <v>52</v>
      </c>
      <c r="F42" s="142">
        <v>742</v>
      </c>
      <c r="G42" s="142">
        <v>1512</v>
      </c>
      <c r="H42" s="142">
        <v>4592</v>
      </c>
      <c r="I42" s="142">
        <v>6982</v>
      </c>
      <c r="J42" s="135" t="s">
        <v>75</v>
      </c>
      <c r="K42" s="142">
        <v>5866</v>
      </c>
      <c r="L42" s="142">
        <v>4916</v>
      </c>
      <c r="M42" s="161">
        <v>6586</v>
      </c>
      <c r="N42" s="161">
        <v>8276</v>
      </c>
      <c r="O42" s="161">
        <v>10402</v>
      </c>
      <c r="P42" s="161">
        <v>13608</v>
      </c>
      <c r="Q42" s="161">
        <v>16310</v>
      </c>
      <c r="R42" s="161">
        <v>21641</v>
      </c>
      <c r="S42" s="135" t="s">
        <v>75</v>
      </c>
      <c r="T42" s="161">
        <v>12546</v>
      </c>
      <c r="U42" s="161">
        <v>1716</v>
      </c>
      <c r="V42" s="161">
        <v>524</v>
      </c>
      <c r="W42" s="161">
        <v>114</v>
      </c>
      <c r="X42" s="161">
        <v>46</v>
      </c>
      <c r="Y42" s="161">
        <v>68</v>
      </c>
      <c r="Z42" s="161">
        <v>152</v>
      </c>
      <c r="AA42" s="161">
        <v>131</v>
      </c>
      <c r="AB42" s="135" t="s">
        <v>75</v>
      </c>
      <c r="AC42" s="161">
        <v>154</v>
      </c>
      <c r="AD42" s="161">
        <v>108</v>
      </c>
      <c r="AE42" s="161">
        <v>34</v>
      </c>
      <c r="AF42" s="161">
        <v>24</v>
      </c>
      <c r="AG42" s="161">
        <v>23</v>
      </c>
      <c r="AH42" s="161">
        <v>30</v>
      </c>
      <c r="AI42" s="161">
        <v>5</v>
      </c>
      <c r="AJ42" s="161">
        <v>5</v>
      </c>
      <c r="AK42" s="135" t="s">
        <v>75</v>
      </c>
      <c r="AL42" s="161">
        <v>5</v>
      </c>
      <c r="AM42" s="161">
        <v>8</v>
      </c>
      <c r="AN42" s="161">
        <v>17</v>
      </c>
      <c r="AO42" s="161">
        <v>12</v>
      </c>
      <c r="AP42" s="161">
        <v>3</v>
      </c>
      <c r="AQ42" s="161">
        <v>13</v>
      </c>
      <c r="AR42" s="161">
        <v>13</v>
      </c>
      <c r="AS42" s="161">
        <v>164</v>
      </c>
      <c r="AT42" s="135" t="s">
        <v>75</v>
      </c>
      <c r="AU42" s="161">
        <v>94</v>
      </c>
      <c r="AV42" s="161">
        <v>213</v>
      </c>
      <c r="AW42" s="161">
        <v>285</v>
      </c>
      <c r="AX42" s="161">
        <v>295</v>
      </c>
      <c r="AY42" s="161">
        <v>257</v>
      </c>
      <c r="AZ42" s="161">
        <v>419</v>
      </c>
    </row>
    <row r="43" spans="1:52" ht="15.75">
      <c r="A43" s="137" t="s">
        <v>28</v>
      </c>
      <c r="B43" s="138">
        <v>95727</v>
      </c>
      <c r="C43" s="138">
        <v>145473</v>
      </c>
      <c r="D43" s="138">
        <v>178779</v>
      </c>
      <c r="E43" s="138">
        <v>146797</v>
      </c>
      <c r="F43" s="138">
        <v>378875</v>
      </c>
      <c r="G43" s="138">
        <v>430545</v>
      </c>
      <c r="H43" s="138">
        <v>403220</v>
      </c>
      <c r="I43" s="138">
        <v>414937</v>
      </c>
      <c r="J43" s="137" t="s">
        <v>28</v>
      </c>
      <c r="K43" s="138">
        <v>453324</v>
      </c>
      <c r="L43" s="138">
        <v>507343</v>
      </c>
      <c r="M43" s="139">
        <v>554029</v>
      </c>
      <c r="N43" s="139">
        <v>491392</v>
      </c>
      <c r="O43" s="139">
        <v>305952</v>
      </c>
      <c r="P43" s="139">
        <v>188309</v>
      </c>
      <c r="Q43" s="139">
        <v>103701</v>
      </c>
      <c r="R43" s="139">
        <v>51765</v>
      </c>
      <c r="S43" s="137" t="s">
        <v>28</v>
      </c>
      <c r="T43" s="139">
        <v>47467</v>
      </c>
      <c r="U43" s="139">
        <v>31326</v>
      </c>
      <c r="V43" s="139">
        <v>21722</v>
      </c>
      <c r="W43" s="139">
        <v>15185</v>
      </c>
      <c r="X43" s="139">
        <v>18685</v>
      </c>
      <c r="Y43" s="139">
        <v>16942</v>
      </c>
      <c r="Z43" s="139">
        <v>15478</v>
      </c>
      <c r="AA43" s="139">
        <v>11076</v>
      </c>
      <c r="AB43" s="137" t="s">
        <v>28</v>
      </c>
      <c r="AC43" s="139">
        <v>8636</v>
      </c>
      <c r="AD43" s="139">
        <v>6350</v>
      </c>
      <c r="AE43" s="139">
        <v>2895</v>
      </c>
      <c r="AF43" s="139">
        <v>2481</v>
      </c>
      <c r="AG43" s="139">
        <v>1900</v>
      </c>
      <c r="AH43" s="139">
        <v>2479</v>
      </c>
      <c r="AI43" s="139">
        <v>2504</v>
      </c>
      <c r="AJ43" s="139">
        <v>2511</v>
      </c>
      <c r="AK43" s="137" t="s">
        <v>28</v>
      </c>
      <c r="AL43" s="139">
        <v>2946</v>
      </c>
      <c r="AM43" s="139">
        <v>2710</v>
      </c>
      <c r="AN43" s="139">
        <v>8838</v>
      </c>
      <c r="AO43" s="139">
        <v>10484</v>
      </c>
      <c r="AP43" s="139">
        <v>11292</v>
      </c>
      <c r="AQ43" s="139">
        <v>13362</v>
      </c>
      <c r="AR43" s="139">
        <v>27545</v>
      </c>
      <c r="AS43" s="139">
        <v>37967</v>
      </c>
      <c r="AT43" s="137" t="s">
        <v>28</v>
      </c>
      <c r="AU43" s="139">
        <v>44251</v>
      </c>
      <c r="AV43" s="139">
        <v>69605</v>
      </c>
      <c r="AW43" s="139">
        <v>125951</v>
      </c>
      <c r="AX43" s="139">
        <v>128910</v>
      </c>
      <c r="AY43" s="139">
        <v>144748</v>
      </c>
      <c r="AZ43" s="139">
        <v>140838</v>
      </c>
    </row>
    <row r="44" spans="1:52" ht="15.75">
      <c r="A44" s="149"/>
      <c r="B44" s="149"/>
      <c r="C44" s="149"/>
      <c r="D44" s="149"/>
      <c r="E44" s="149"/>
      <c r="F44" s="149"/>
      <c r="G44" s="149"/>
      <c r="H44" s="149"/>
      <c r="I44" s="149"/>
      <c r="J44" s="149"/>
      <c r="K44" s="149"/>
      <c r="L44" s="149"/>
      <c r="M44" s="149"/>
      <c r="N44" s="149"/>
      <c r="O44" s="149"/>
      <c r="P44" s="149"/>
      <c r="Q44" s="149"/>
      <c r="R44" s="149"/>
      <c r="S44" s="149"/>
      <c r="T44" s="149"/>
      <c r="U44" s="149"/>
      <c r="V44" s="149"/>
      <c r="W44" s="149"/>
      <c r="X44" s="149"/>
      <c r="Y44" s="149"/>
      <c r="Z44" s="149"/>
      <c r="AA44" s="149"/>
      <c r="AB44" s="149"/>
      <c r="AC44" s="149"/>
      <c r="AD44" s="149"/>
      <c r="AE44" s="149"/>
      <c r="AF44" s="149"/>
      <c r="AG44" s="149"/>
      <c r="AH44" s="149"/>
      <c r="AI44" s="149"/>
      <c r="AJ44" s="150"/>
      <c r="AK44" s="149"/>
      <c r="AL44" s="48"/>
      <c r="AM44" s="149"/>
      <c r="AN44" s="150"/>
      <c r="AO44" s="48"/>
      <c r="AP44" s="149"/>
      <c r="AQ44" s="150"/>
      <c r="AR44" s="48"/>
      <c r="AS44" s="149"/>
      <c r="AT44" s="149"/>
      <c r="AU44" s="140"/>
      <c r="AV44" s="140"/>
      <c r="AW44" s="140"/>
      <c r="AX44" s="140"/>
      <c r="AY44" s="140"/>
      <c r="AZ44" s="140"/>
    </row>
    <row r="45" spans="1:52" ht="15.75">
      <c r="A45" s="125" t="s">
        <v>83</v>
      </c>
      <c r="B45" s="125"/>
      <c r="C45" s="125"/>
      <c r="D45" s="125"/>
      <c r="E45" s="125"/>
      <c r="F45" s="125"/>
      <c r="G45" s="125"/>
      <c r="H45" s="125"/>
      <c r="I45" s="125"/>
      <c r="J45" s="125" t="s">
        <v>84</v>
      </c>
      <c r="K45" s="125"/>
      <c r="L45" s="125"/>
      <c r="M45" s="125"/>
      <c r="N45" s="125"/>
      <c r="O45" s="125"/>
      <c r="P45" s="125"/>
      <c r="Q45" s="125"/>
      <c r="R45" s="125"/>
      <c r="S45" s="125" t="s">
        <v>84</v>
      </c>
      <c r="T45" s="125"/>
      <c r="U45" s="125"/>
      <c r="V45" s="125"/>
      <c r="W45" s="125"/>
      <c r="X45" s="125"/>
      <c r="Y45" s="125"/>
      <c r="Z45" s="125"/>
      <c r="AA45" s="125"/>
      <c r="AB45" s="125" t="s">
        <v>84</v>
      </c>
      <c r="AC45" s="125"/>
      <c r="AD45" s="125"/>
      <c r="AE45" s="125"/>
      <c r="AF45" s="125"/>
      <c r="AG45" s="162"/>
      <c r="AH45" s="162"/>
      <c r="AI45" s="162"/>
      <c r="AJ45" s="162"/>
      <c r="AK45" s="125" t="s">
        <v>84</v>
      </c>
      <c r="AL45" s="152"/>
      <c r="AM45" s="162"/>
      <c r="AN45" s="162"/>
      <c r="AO45" s="152"/>
      <c r="AP45" s="162"/>
      <c r="AQ45" s="162"/>
      <c r="AR45" s="152"/>
      <c r="AS45" s="162"/>
      <c r="AT45" s="125" t="s">
        <v>84</v>
      </c>
      <c r="AU45" s="152"/>
      <c r="AV45" s="152"/>
      <c r="AW45" s="152"/>
      <c r="AX45" s="152"/>
      <c r="AY45" s="152"/>
      <c r="AZ45" s="152"/>
    </row>
    <row r="46" spans="1:52" ht="15.75">
      <c r="A46" s="127" t="s">
        <v>74</v>
      </c>
      <c r="B46" s="128">
        <v>1976</v>
      </c>
      <c r="C46" s="128">
        <v>1977</v>
      </c>
      <c r="D46" s="128">
        <v>1978</v>
      </c>
      <c r="E46" s="128">
        <v>1979</v>
      </c>
      <c r="F46" s="128">
        <v>1980</v>
      </c>
      <c r="G46" s="128">
        <v>1981</v>
      </c>
      <c r="H46" s="128">
        <v>1982</v>
      </c>
      <c r="I46" s="128">
        <v>1983</v>
      </c>
      <c r="J46" s="129" t="s">
        <v>74</v>
      </c>
      <c r="K46" s="128">
        <v>1984</v>
      </c>
      <c r="L46" s="128">
        <v>1985</v>
      </c>
      <c r="M46" s="128">
        <v>1986</v>
      </c>
      <c r="N46" s="128">
        <v>1987</v>
      </c>
      <c r="O46" s="128">
        <v>1988</v>
      </c>
      <c r="P46" s="128">
        <v>1989</v>
      </c>
      <c r="Q46" s="128">
        <v>1990</v>
      </c>
      <c r="R46" s="128">
        <v>1991</v>
      </c>
      <c r="S46" s="129" t="s">
        <v>74</v>
      </c>
      <c r="T46" s="128">
        <v>1992</v>
      </c>
      <c r="U46" s="128">
        <v>1993</v>
      </c>
      <c r="V46" s="128">
        <v>1994</v>
      </c>
      <c r="W46" s="128">
        <v>1995</v>
      </c>
      <c r="X46" s="128">
        <v>1996</v>
      </c>
      <c r="Y46" s="128">
        <v>1997</v>
      </c>
      <c r="Z46" s="128">
        <v>1998</v>
      </c>
      <c r="AA46" s="128">
        <v>1999</v>
      </c>
      <c r="AB46" s="129" t="s">
        <v>74</v>
      </c>
      <c r="AC46" s="128">
        <v>2000</v>
      </c>
      <c r="AD46" s="128">
        <v>2001</v>
      </c>
      <c r="AE46" s="128">
        <v>2002</v>
      </c>
      <c r="AF46" s="128">
        <v>2003</v>
      </c>
      <c r="AG46" s="128">
        <v>2004</v>
      </c>
      <c r="AH46" s="128">
        <v>2005</v>
      </c>
      <c r="AI46" s="128">
        <v>2006</v>
      </c>
      <c r="AJ46" s="128">
        <v>2007</v>
      </c>
      <c r="AK46" s="129" t="s">
        <v>74</v>
      </c>
      <c r="AL46" s="128">
        <v>2008</v>
      </c>
      <c r="AM46" s="128">
        <v>2009</v>
      </c>
      <c r="AN46" s="128">
        <v>2010</v>
      </c>
      <c r="AO46" s="128">
        <v>2011</v>
      </c>
      <c r="AP46" s="128">
        <v>2012</v>
      </c>
      <c r="AQ46" s="128">
        <v>2013</v>
      </c>
      <c r="AR46" s="128">
        <v>2014</v>
      </c>
      <c r="AS46" s="128">
        <v>2015</v>
      </c>
      <c r="AT46" s="129" t="s">
        <v>74</v>
      </c>
      <c r="AU46" s="128">
        <v>2016</v>
      </c>
      <c r="AV46" s="128">
        <v>2017</v>
      </c>
      <c r="AW46" s="128">
        <v>2018</v>
      </c>
      <c r="AX46" s="128">
        <v>2019</v>
      </c>
      <c r="AY46" s="128">
        <v>2020</v>
      </c>
      <c r="AZ46" s="128">
        <v>2021</v>
      </c>
    </row>
    <row r="47" spans="1:52" ht="15.75">
      <c r="A47" s="133" t="s">
        <v>23</v>
      </c>
      <c r="B47" s="163">
        <v>1397</v>
      </c>
      <c r="C47" s="163">
        <v>1937</v>
      </c>
      <c r="D47" s="163">
        <v>2072</v>
      </c>
      <c r="E47" s="163">
        <v>1425</v>
      </c>
      <c r="F47" s="163">
        <v>6152</v>
      </c>
      <c r="G47" s="163">
        <v>3758</v>
      </c>
      <c r="H47" s="163">
        <v>2969</v>
      </c>
      <c r="I47" s="163">
        <v>2162</v>
      </c>
      <c r="J47" s="135" t="s">
        <v>23</v>
      </c>
      <c r="K47" s="163">
        <v>1702</v>
      </c>
      <c r="L47" s="163">
        <v>4462</v>
      </c>
      <c r="M47" s="164">
        <v>2600</v>
      </c>
      <c r="N47" s="164">
        <v>939</v>
      </c>
      <c r="O47" s="164">
        <v>274</v>
      </c>
      <c r="P47" s="164">
        <v>194</v>
      </c>
      <c r="Q47" s="164">
        <v>35</v>
      </c>
      <c r="R47" s="164">
        <v>21</v>
      </c>
      <c r="S47" s="135" t="s">
        <v>23</v>
      </c>
      <c r="T47" s="164">
        <v>492</v>
      </c>
      <c r="U47" s="164">
        <v>73</v>
      </c>
      <c r="V47" s="164">
        <v>131</v>
      </c>
      <c r="W47" s="164">
        <v>248</v>
      </c>
      <c r="X47" s="164">
        <v>455</v>
      </c>
      <c r="Y47" s="164">
        <v>218</v>
      </c>
      <c r="Z47" s="164">
        <v>177</v>
      </c>
      <c r="AA47" s="164">
        <v>91</v>
      </c>
      <c r="AB47" s="135" t="s">
        <v>23</v>
      </c>
      <c r="AC47" s="164">
        <v>143</v>
      </c>
      <c r="AD47" s="164">
        <v>42</v>
      </c>
      <c r="AE47" s="164">
        <v>41</v>
      </c>
      <c r="AF47" s="164">
        <v>21</v>
      </c>
      <c r="AG47" s="164">
        <v>24</v>
      </c>
      <c r="AH47" s="164">
        <v>46</v>
      </c>
      <c r="AI47" s="164">
        <v>26</v>
      </c>
      <c r="AJ47" s="164">
        <v>38</v>
      </c>
      <c r="AK47" s="135" t="s">
        <v>23</v>
      </c>
      <c r="AL47" s="164">
        <v>62</v>
      </c>
      <c r="AM47" s="164">
        <v>28</v>
      </c>
      <c r="AN47" s="164">
        <v>228</v>
      </c>
      <c r="AO47" s="164">
        <v>160</v>
      </c>
      <c r="AP47" s="164">
        <v>169</v>
      </c>
      <c r="AQ47" s="164">
        <v>162</v>
      </c>
      <c r="AR47" s="164">
        <v>490</v>
      </c>
      <c r="AS47" s="164">
        <v>449</v>
      </c>
      <c r="AT47" s="135" t="s">
        <v>23</v>
      </c>
      <c r="AU47" s="164">
        <v>476</v>
      </c>
      <c r="AV47" s="164">
        <v>633</v>
      </c>
      <c r="AW47" s="164">
        <v>1523</v>
      </c>
      <c r="AX47" s="164">
        <v>928</v>
      </c>
      <c r="AY47" s="164">
        <v>1255</v>
      </c>
      <c r="AZ47" s="164">
        <v>1023</v>
      </c>
    </row>
    <row r="48" spans="1:52" ht="15.75">
      <c r="A48" s="133" t="s">
        <v>24</v>
      </c>
      <c r="B48" s="163">
        <v>1792</v>
      </c>
      <c r="C48" s="163">
        <v>2046</v>
      </c>
      <c r="D48" s="163">
        <v>3052</v>
      </c>
      <c r="E48" s="163">
        <v>3336</v>
      </c>
      <c r="F48" s="163">
        <v>1779</v>
      </c>
      <c r="G48" s="163">
        <v>7035</v>
      </c>
      <c r="H48" s="163">
        <v>5226</v>
      </c>
      <c r="I48" s="163">
        <v>4276</v>
      </c>
      <c r="J48" s="135" t="s">
        <v>24</v>
      </c>
      <c r="K48" s="163">
        <v>4832</v>
      </c>
      <c r="L48" s="163">
        <v>5390</v>
      </c>
      <c r="M48" s="164">
        <v>6424</v>
      </c>
      <c r="N48" s="164">
        <v>8089</v>
      </c>
      <c r="O48" s="164">
        <v>4606</v>
      </c>
      <c r="P48" s="164">
        <v>621</v>
      </c>
      <c r="Q48" s="164">
        <v>375</v>
      </c>
      <c r="R48" s="164">
        <v>94</v>
      </c>
      <c r="S48" s="135" t="s">
        <v>24</v>
      </c>
      <c r="T48" s="164">
        <v>171</v>
      </c>
      <c r="U48" s="164">
        <v>918</v>
      </c>
      <c r="V48" s="164">
        <v>327</v>
      </c>
      <c r="W48" s="164">
        <v>248</v>
      </c>
      <c r="X48" s="164">
        <v>160</v>
      </c>
      <c r="Y48" s="164">
        <v>422</v>
      </c>
      <c r="Z48" s="164">
        <v>241</v>
      </c>
      <c r="AA48" s="164">
        <v>274</v>
      </c>
      <c r="AB48" s="135" t="s">
        <v>24</v>
      </c>
      <c r="AC48" s="164">
        <v>73</v>
      </c>
      <c r="AD48" s="164">
        <v>128</v>
      </c>
      <c r="AE48" s="164">
        <v>60</v>
      </c>
      <c r="AF48" s="164">
        <v>49</v>
      </c>
      <c r="AG48" s="164">
        <v>43</v>
      </c>
      <c r="AH48" s="164">
        <v>12</v>
      </c>
      <c r="AI48" s="164">
        <v>87</v>
      </c>
      <c r="AJ48" s="164">
        <v>37</v>
      </c>
      <c r="AK48" s="135" t="s">
        <v>24</v>
      </c>
      <c r="AL48" s="164">
        <v>19</v>
      </c>
      <c r="AM48" s="164">
        <v>84</v>
      </c>
      <c r="AN48" s="164">
        <v>59</v>
      </c>
      <c r="AO48" s="164">
        <v>272</v>
      </c>
      <c r="AP48" s="164">
        <v>162</v>
      </c>
      <c r="AQ48" s="164">
        <v>213</v>
      </c>
      <c r="AR48" s="164">
        <v>248</v>
      </c>
      <c r="AS48" s="164">
        <v>459</v>
      </c>
      <c r="AT48" s="135" t="s">
        <v>24</v>
      </c>
      <c r="AU48" s="164">
        <v>496</v>
      </c>
      <c r="AV48" s="164">
        <v>703</v>
      </c>
      <c r="AW48" s="164">
        <v>1073</v>
      </c>
      <c r="AX48" s="164">
        <v>2181</v>
      </c>
      <c r="AY48" s="164">
        <v>1456</v>
      </c>
      <c r="AZ48" s="164">
        <v>1501</v>
      </c>
    </row>
    <row r="49" spans="1:52" ht="15.75">
      <c r="A49" s="133" t="s">
        <v>25</v>
      </c>
      <c r="B49" s="163">
        <v>604</v>
      </c>
      <c r="C49" s="163">
        <v>1268</v>
      </c>
      <c r="D49" s="163">
        <v>1638</v>
      </c>
      <c r="E49" s="163">
        <v>2649</v>
      </c>
      <c r="F49" s="163">
        <v>3014</v>
      </c>
      <c r="G49" s="163">
        <v>1365</v>
      </c>
      <c r="H49" s="163">
        <v>4982</v>
      </c>
      <c r="I49" s="163">
        <v>4556</v>
      </c>
      <c r="J49" s="135" t="s">
        <v>25</v>
      </c>
      <c r="K49" s="163">
        <v>3485</v>
      </c>
      <c r="L49" s="163">
        <v>3351</v>
      </c>
      <c r="M49" s="164">
        <v>4718</v>
      </c>
      <c r="N49" s="164">
        <v>4790</v>
      </c>
      <c r="O49" s="164">
        <v>6340</v>
      </c>
      <c r="P49" s="164">
        <v>3116</v>
      </c>
      <c r="Q49" s="164">
        <v>480</v>
      </c>
      <c r="R49" s="164">
        <v>335</v>
      </c>
      <c r="S49" s="135" t="s">
        <v>25</v>
      </c>
      <c r="T49" s="164">
        <v>122</v>
      </c>
      <c r="U49" s="164">
        <v>91</v>
      </c>
      <c r="V49" s="164">
        <v>260</v>
      </c>
      <c r="W49" s="164">
        <v>185</v>
      </c>
      <c r="X49" s="164">
        <v>113</v>
      </c>
      <c r="Y49" s="164">
        <v>165</v>
      </c>
      <c r="Z49" s="164">
        <v>179</v>
      </c>
      <c r="AA49" s="164">
        <v>175</v>
      </c>
      <c r="AB49" s="135" t="s">
        <v>25</v>
      </c>
      <c r="AC49" s="164">
        <v>71</v>
      </c>
      <c r="AD49" s="164">
        <v>73</v>
      </c>
      <c r="AE49" s="164">
        <v>31</v>
      </c>
      <c r="AF49" s="164">
        <v>25</v>
      </c>
      <c r="AG49" s="164">
        <v>20</v>
      </c>
      <c r="AH49" s="164">
        <v>9</v>
      </c>
      <c r="AI49" s="164">
        <v>9</v>
      </c>
      <c r="AJ49" s="164">
        <v>31</v>
      </c>
      <c r="AK49" s="135" t="s">
        <v>25</v>
      </c>
      <c r="AL49" s="164">
        <v>9</v>
      </c>
      <c r="AM49" s="164">
        <v>8</v>
      </c>
      <c r="AN49" s="164">
        <v>38</v>
      </c>
      <c r="AO49" s="164">
        <v>20</v>
      </c>
      <c r="AP49" s="164">
        <v>166</v>
      </c>
      <c r="AQ49" s="164">
        <v>130</v>
      </c>
      <c r="AR49" s="164">
        <v>188</v>
      </c>
      <c r="AS49" s="164">
        <v>227</v>
      </c>
      <c r="AT49" s="135" t="s">
        <v>25</v>
      </c>
      <c r="AU49" s="164">
        <v>427</v>
      </c>
      <c r="AV49" s="164">
        <v>573</v>
      </c>
      <c r="AW49" s="164">
        <v>586</v>
      </c>
      <c r="AX49" s="164">
        <v>864</v>
      </c>
      <c r="AY49" s="164">
        <v>1612</v>
      </c>
      <c r="AZ49" s="164">
        <v>984</v>
      </c>
    </row>
    <row r="50" spans="1:52" ht="15.75">
      <c r="A50" s="133" t="s">
        <v>26</v>
      </c>
      <c r="B50" s="163">
        <v>55</v>
      </c>
      <c r="C50" s="163">
        <v>287</v>
      </c>
      <c r="D50" s="163">
        <v>613</v>
      </c>
      <c r="E50" s="163">
        <v>995</v>
      </c>
      <c r="F50" s="163">
        <v>1843</v>
      </c>
      <c r="G50" s="163">
        <v>2134</v>
      </c>
      <c r="H50" s="163">
        <v>833</v>
      </c>
      <c r="I50" s="163">
        <v>2963</v>
      </c>
      <c r="J50" s="135" t="s">
        <v>26</v>
      </c>
      <c r="K50" s="163">
        <v>2656</v>
      </c>
      <c r="L50" s="163">
        <v>2439</v>
      </c>
      <c r="M50" s="164">
        <v>2889</v>
      </c>
      <c r="N50" s="164">
        <v>3134</v>
      </c>
      <c r="O50" s="164">
        <v>3603</v>
      </c>
      <c r="P50" s="164">
        <v>4747</v>
      </c>
      <c r="Q50" s="164">
        <v>2352</v>
      </c>
      <c r="R50" s="164">
        <v>330</v>
      </c>
      <c r="S50" s="135" t="s">
        <v>26</v>
      </c>
      <c r="T50" s="164">
        <v>173</v>
      </c>
      <c r="U50" s="164">
        <v>77</v>
      </c>
      <c r="V50" s="164">
        <v>61</v>
      </c>
      <c r="W50" s="164">
        <v>46</v>
      </c>
      <c r="X50" s="164">
        <v>55</v>
      </c>
      <c r="Y50" s="164">
        <v>72</v>
      </c>
      <c r="Z50" s="164">
        <v>76</v>
      </c>
      <c r="AA50" s="164">
        <v>106</v>
      </c>
      <c r="AB50" s="135" t="s">
        <v>26</v>
      </c>
      <c r="AC50" s="164">
        <v>60</v>
      </c>
      <c r="AD50" s="164">
        <v>31</v>
      </c>
      <c r="AE50" s="164">
        <v>16</v>
      </c>
      <c r="AF50" s="164">
        <v>16</v>
      </c>
      <c r="AG50" s="164">
        <v>13</v>
      </c>
      <c r="AH50" s="164">
        <v>8</v>
      </c>
      <c r="AI50" s="164">
        <v>6</v>
      </c>
      <c r="AJ50" s="164">
        <v>4</v>
      </c>
      <c r="AK50" s="135" t="s">
        <v>26</v>
      </c>
      <c r="AL50" s="164">
        <v>7</v>
      </c>
      <c r="AM50" s="164">
        <v>5</v>
      </c>
      <c r="AN50" s="164">
        <v>3</v>
      </c>
      <c r="AO50" s="164">
        <v>6</v>
      </c>
      <c r="AP50" s="164">
        <v>7</v>
      </c>
      <c r="AQ50" s="164">
        <v>89</v>
      </c>
      <c r="AR50" s="164">
        <v>62</v>
      </c>
      <c r="AS50" s="164">
        <v>95</v>
      </c>
      <c r="AT50" s="135" t="s">
        <v>26</v>
      </c>
      <c r="AU50" s="164">
        <v>158</v>
      </c>
      <c r="AV50" s="164">
        <v>277</v>
      </c>
      <c r="AW50" s="164">
        <v>270</v>
      </c>
      <c r="AX50" s="164">
        <v>313</v>
      </c>
      <c r="AY50" s="164">
        <v>385</v>
      </c>
      <c r="AZ50" s="164">
        <v>721</v>
      </c>
    </row>
    <row r="51" spans="1:52" ht="15.75">
      <c r="A51" s="133" t="s">
        <v>27</v>
      </c>
      <c r="B51" s="163">
        <v>15</v>
      </c>
      <c r="C51" s="163">
        <v>14</v>
      </c>
      <c r="D51" s="163">
        <v>58</v>
      </c>
      <c r="E51" s="163">
        <v>235</v>
      </c>
      <c r="F51" s="163">
        <v>483</v>
      </c>
      <c r="G51" s="163">
        <v>930</v>
      </c>
      <c r="H51" s="163">
        <v>1246</v>
      </c>
      <c r="I51" s="163">
        <v>418</v>
      </c>
      <c r="J51" s="135" t="s">
        <v>27</v>
      </c>
      <c r="K51" s="163">
        <v>1111</v>
      </c>
      <c r="L51" s="163">
        <v>1244</v>
      </c>
      <c r="M51" s="164">
        <v>1493</v>
      </c>
      <c r="N51" s="164">
        <v>1696</v>
      </c>
      <c r="O51" s="164">
        <v>1901</v>
      </c>
      <c r="P51" s="164">
        <v>2359</v>
      </c>
      <c r="Q51" s="164">
        <v>3026</v>
      </c>
      <c r="R51" s="164">
        <v>1429</v>
      </c>
      <c r="S51" s="135" t="s">
        <v>27</v>
      </c>
      <c r="T51" s="164">
        <v>114</v>
      </c>
      <c r="U51" s="164">
        <v>81</v>
      </c>
      <c r="V51" s="164">
        <v>27</v>
      </c>
      <c r="W51" s="164">
        <v>11</v>
      </c>
      <c r="X51" s="164">
        <v>15</v>
      </c>
      <c r="Y51" s="164">
        <v>28</v>
      </c>
      <c r="Z51" s="164">
        <v>36</v>
      </c>
      <c r="AA51" s="164">
        <v>39</v>
      </c>
      <c r="AB51" s="135" t="s">
        <v>27</v>
      </c>
      <c r="AC51" s="164">
        <v>43</v>
      </c>
      <c r="AD51" s="164">
        <v>18</v>
      </c>
      <c r="AE51" s="164">
        <v>6</v>
      </c>
      <c r="AF51" s="164">
        <v>7</v>
      </c>
      <c r="AG51" s="164">
        <v>4</v>
      </c>
      <c r="AH51" s="164">
        <v>8</v>
      </c>
      <c r="AI51" s="164">
        <v>2</v>
      </c>
      <c r="AJ51" s="164">
        <v>2</v>
      </c>
      <c r="AK51" s="135" t="s">
        <v>27</v>
      </c>
      <c r="AL51" s="164">
        <v>1</v>
      </c>
      <c r="AM51" s="164">
        <v>3</v>
      </c>
      <c r="AN51" s="164">
        <v>2</v>
      </c>
      <c r="AO51" s="164">
        <v>1</v>
      </c>
      <c r="AP51" s="164">
        <v>3</v>
      </c>
      <c r="AQ51" s="164">
        <v>3</v>
      </c>
      <c r="AR51" s="164">
        <v>43</v>
      </c>
      <c r="AS51" s="164">
        <v>13</v>
      </c>
      <c r="AT51" s="135" t="s">
        <v>27</v>
      </c>
      <c r="AU51" s="164">
        <v>53</v>
      </c>
      <c r="AV51" s="164">
        <v>86</v>
      </c>
      <c r="AW51" s="164">
        <v>83</v>
      </c>
      <c r="AX51" s="164">
        <v>99</v>
      </c>
      <c r="AY51" s="164">
        <v>131</v>
      </c>
      <c r="AZ51" s="164">
        <v>154</v>
      </c>
    </row>
    <row r="52" spans="1:52" ht="15.75">
      <c r="A52" s="133" t="s">
        <v>75</v>
      </c>
      <c r="B52" s="163">
        <v>0</v>
      </c>
      <c r="C52" s="163">
        <v>0</v>
      </c>
      <c r="D52" s="163">
        <v>5</v>
      </c>
      <c r="E52" s="163">
        <v>7</v>
      </c>
      <c r="F52" s="163">
        <v>94</v>
      </c>
      <c r="G52" s="163">
        <v>192</v>
      </c>
      <c r="H52" s="163">
        <v>574</v>
      </c>
      <c r="I52" s="163">
        <v>775</v>
      </c>
      <c r="J52" s="135" t="s">
        <v>75</v>
      </c>
      <c r="K52" s="163">
        <v>633</v>
      </c>
      <c r="L52" s="163">
        <v>506</v>
      </c>
      <c r="M52" s="164">
        <v>757</v>
      </c>
      <c r="N52" s="164">
        <v>894</v>
      </c>
      <c r="O52" s="164">
        <v>1051</v>
      </c>
      <c r="P52" s="164">
        <v>1470</v>
      </c>
      <c r="Q52" s="164">
        <v>1713</v>
      </c>
      <c r="R52" s="164">
        <v>2337</v>
      </c>
      <c r="S52" s="135" t="s">
        <v>75</v>
      </c>
      <c r="T52" s="164">
        <v>1393</v>
      </c>
      <c r="U52" s="164">
        <v>228</v>
      </c>
      <c r="V52" s="164">
        <v>73</v>
      </c>
      <c r="W52" s="164">
        <v>18</v>
      </c>
      <c r="X52" s="164">
        <v>7</v>
      </c>
      <c r="Y52" s="164">
        <v>11</v>
      </c>
      <c r="Z52" s="164">
        <v>19</v>
      </c>
      <c r="AA52" s="164">
        <v>17</v>
      </c>
      <c r="AB52" s="135" t="s">
        <v>75</v>
      </c>
      <c r="AC52" s="164">
        <v>19</v>
      </c>
      <c r="AD52" s="164">
        <v>14</v>
      </c>
      <c r="AE52" s="164">
        <v>4</v>
      </c>
      <c r="AF52" s="164">
        <v>3</v>
      </c>
      <c r="AG52" s="164">
        <v>3</v>
      </c>
      <c r="AH52" s="164">
        <v>4</v>
      </c>
      <c r="AI52" s="164">
        <v>1</v>
      </c>
      <c r="AJ52" s="164">
        <v>1</v>
      </c>
      <c r="AK52" s="135" t="s">
        <v>75</v>
      </c>
      <c r="AL52" s="164">
        <v>1</v>
      </c>
      <c r="AM52" s="164">
        <v>1</v>
      </c>
      <c r="AN52" s="164">
        <v>2</v>
      </c>
      <c r="AO52" s="164">
        <v>1</v>
      </c>
      <c r="AP52" s="164">
        <v>1</v>
      </c>
      <c r="AQ52" s="164">
        <v>2</v>
      </c>
      <c r="AR52" s="164">
        <v>2</v>
      </c>
      <c r="AS52" s="164">
        <v>19</v>
      </c>
      <c r="AT52" s="135" t="s">
        <v>75</v>
      </c>
      <c r="AU52" s="164">
        <v>13</v>
      </c>
      <c r="AV52" s="164">
        <v>31</v>
      </c>
      <c r="AW52" s="164">
        <v>38</v>
      </c>
      <c r="AX52" s="164">
        <v>35</v>
      </c>
      <c r="AY52" s="164">
        <v>31</v>
      </c>
      <c r="AZ52" s="164">
        <v>47</v>
      </c>
    </row>
    <row r="53" spans="1:52" ht="15.75">
      <c r="A53" s="137" t="s">
        <v>28</v>
      </c>
      <c r="B53" s="138">
        <v>3862</v>
      </c>
      <c r="C53" s="138">
        <v>5553</v>
      </c>
      <c r="D53" s="138">
        <v>7440</v>
      </c>
      <c r="E53" s="138">
        <v>8647</v>
      </c>
      <c r="F53" s="138">
        <v>13366</v>
      </c>
      <c r="G53" s="138">
        <v>15415</v>
      </c>
      <c r="H53" s="138">
        <v>15830</v>
      </c>
      <c r="I53" s="138">
        <v>15151</v>
      </c>
      <c r="J53" s="137" t="s">
        <v>28</v>
      </c>
      <c r="K53" s="138">
        <v>14419</v>
      </c>
      <c r="L53" s="138">
        <v>17392</v>
      </c>
      <c r="M53" s="138">
        <v>18881</v>
      </c>
      <c r="N53" s="138">
        <v>19542</v>
      </c>
      <c r="O53" s="138">
        <v>17774</v>
      </c>
      <c r="P53" s="138">
        <v>12507</v>
      </c>
      <c r="Q53" s="138">
        <v>7981</v>
      </c>
      <c r="R53" s="138">
        <v>4546</v>
      </c>
      <c r="S53" s="137" t="s">
        <v>28</v>
      </c>
      <c r="T53" s="138">
        <v>2465</v>
      </c>
      <c r="U53" s="138">
        <v>1467</v>
      </c>
      <c r="V53" s="138">
        <v>879</v>
      </c>
      <c r="W53" s="138">
        <v>756</v>
      </c>
      <c r="X53" s="138">
        <v>805</v>
      </c>
      <c r="Y53" s="138">
        <v>916</v>
      </c>
      <c r="Z53" s="138">
        <v>727</v>
      </c>
      <c r="AA53" s="138">
        <v>701</v>
      </c>
      <c r="AB53" s="137" t="s">
        <v>28</v>
      </c>
      <c r="AC53" s="138">
        <v>411</v>
      </c>
      <c r="AD53" s="138">
        <v>305</v>
      </c>
      <c r="AE53" s="138">
        <v>157</v>
      </c>
      <c r="AF53" s="138">
        <v>121</v>
      </c>
      <c r="AG53" s="138">
        <v>109</v>
      </c>
      <c r="AH53" s="138">
        <v>87</v>
      </c>
      <c r="AI53" s="138">
        <v>131</v>
      </c>
      <c r="AJ53" s="138">
        <v>112</v>
      </c>
      <c r="AK53" s="137" t="s">
        <v>28</v>
      </c>
      <c r="AL53" s="138">
        <v>99</v>
      </c>
      <c r="AM53" s="138">
        <v>129</v>
      </c>
      <c r="AN53" s="138">
        <v>333</v>
      </c>
      <c r="AO53" s="138">
        <v>462</v>
      </c>
      <c r="AP53" s="138">
        <v>508</v>
      </c>
      <c r="AQ53" s="138">
        <v>598</v>
      </c>
      <c r="AR53" s="138">
        <v>1033</v>
      </c>
      <c r="AS53" s="138">
        <v>1262</v>
      </c>
      <c r="AT53" s="137" t="s">
        <v>28</v>
      </c>
      <c r="AU53" s="138">
        <v>1624</v>
      </c>
      <c r="AV53" s="138">
        <v>2302</v>
      </c>
      <c r="AW53" s="138">
        <v>3573</v>
      </c>
      <c r="AX53" s="138">
        <v>4420</v>
      </c>
      <c r="AY53" s="138">
        <v>4870</v>
      </c>
      <c r="AZ53" s="138">
        <v>4430</v>
      </c>
    </row>
    <row r="54" spans="1:52" ht="15.75">
      <c r="A54" s="145" t="s">
        <v>85</v>
      </c>
      <c r="B54" s="165">
        <v>852</v>
      </c>
      <c r="C54" s="165">
        <v>1774</v>
      </c>
      <c r="D54" s="165">
        <v>2620</v>
      </c>
      <c r="E54" s="165">
        <v>4219</v>
      </c>
      <c r="F54" s="165">
        <v>5613</v>
      </c>
      <c r="G54" s="165">
        <v>5325</v>
      </c>
      <c r="H54" s="165">
        <v>8158</v>
      </c>
      <c r="I54" s="165">
        <v>9140</v>
      </c>
      <c r="J54" s="147" t="s">
        <v>85</v>
      </c>
      <c r="K54" s="165">
        <v>8368</v>
      </c>
      <c r="L54" s="165">
        <v>8079</v>
      </c>
      <c r="M54" s="166">
        <v>10499</v>
      </c>
      <c r="N54" s="166">
        <v>11322</v>
      </c>
      <c r="O54" s="166">
        <v>13355</v>
      </c>
      <c r="P54" s="166">
        <v>11754</v>
      </c>
      <c r="Q54" s="166">
        <v>7609</v>
      </c>
      <c r="R54" s="166">
        <v>4440</v>
      </c>
      <c r="S54" s="147" t="s">
        <v>85</v>
      </c>
      <c r="T54" s="166">
        <v>1819</v>
      </c>
      <c r="U54" s="166">
        <v>569</v>
      </c>
      <c r="V54" s="166">
        <v>487</v>
      </c>
      <c r="W54" s="166">
        <v>310</v>
      </c>
      <c r="X54" s="166">
        <v>221</v>
      </c>
      <c r="Y54" s="166">
        <v>360</v>
      </c>
      <c r="Z54" s="166">
        <v>429</v>
      </c>
      <c r="AA54" s="166">
        <v>473</v>
      </c>
      <c r="AB54" s="147" t="s">
        <v>85</v>
      </c>
      <c r="AC54" s="166">
        <v>231</v>
      </c>
      <c r="AD54" s="166">
        <v>199</v>
      </c>
      <c r="AE54" s="166">
        <v>87</v>
      </c>
      <c r="AF54" s="166">
        <v>75</v>
      </c>
      <c r="AG54" s="166">
        <v>63</v>
      </c>
      <c r="AH54" s="166">
        <v>35</v>
      </c>
      <c r="AI54" s="166">
        <v>62</v>
      </c>
      <c r="AJ54" s="166">
        <v>56</v>
      </c>
      <c r="AK54" s="147" t="s">
        <v>85</v>
      </c>
      <c r="AL54" s="166">
        <v>28</v>
      </c>
      <c r="AM54" s="166">
        <v>59</v>
      </c>
      <c r="AN54" s="166">
        <v>76</v>
      </c>
      <c r="AO54" s="166">
        <v>165</v>
      </c>
      <c r="AP54" s="166">
        <v>258</v>
      </c>
      <c r="AQ54" s="166">
        <v>330</v>
      </c>
      <c r="AR54" s="166">
        <v>419</v>
      </c>
      <c r="AS54" s="166">
        <v>584</v>
      </c>
      <c r="AT54" s="147" t="s">
        <v>85</v>
      </c>
      <c r="AU54" s="166">
        <v>750</v>
      </c>
      <c r="AV54" s="166">
        <v>1107</v>
      </c>
      <c r="AW54" s="166">
        <v>1191</v>
      </c>
      <c r="AX54" s="166">
        <v>1747</v>
      </c>
      <c r="AY54" s="166">
        <v>2449</v>
      </c>
      <c r="AZ54" s="166">
        <v>2205</v>
      </c>
    </row>
    <row r="55" spans="1:52" ht="15.75">
      <c r="A55" s="167" t="s">
        <v>29</v>
      </c>
      <c r="B55" s="168">
        <v>65.599999999999994</v>
      </c>
      <c r="C55" s="168">
        <v>52</v>
      </c>
      <c r="D55" s="168">
        <v>36</v>
      </c>
      <c r="E55" s="168">
        <v>9.9</v>
      </c>
      <c r="F55" s="168">
        <v>52.2</v>
      </c>
      <c r="G55" s="168">
        <v>37.1</v>
      </c>
      <c r="H55" s="168">
        <v>19.2</v>
      </c>
      <c r="I55" s="168">
        <v>19.7</v>
      </c>
      <c r="J55" s="169" t="s">
        <v>29</v>
      </c>
      <c r="K55" s="168">
        <v>25.4</v>
      </c>
      <c r="L55" s="168">
        <v>30.7</v>
      </c>
      <c r="M55" s="170">
        <v>24.8</v>
      </c>
      <c r="N55" s="170">
        <v>13.8</v>
      </c>
      <c r="O55" s="170">
        <v>1.7</v>
      </c>
      <c r="P55" s="170">
        <v>1.7</v>
      </c>
      <c r="Q55" s="170">
        <v>0.9</v>
      </c>
      <c r="R55" s="170">
        <v>1.2</v>
      </c>
      <c r="S55" s="169" t="s">
        <v>29</v>
      </c>
      <c r="T55" s="170">
        <v>15</v>
      </c>
      <c r="U55" s="170">
        <v>21.3</v>
      </c>
      <c r="V55" s="170">
        <v>24.4</v>
      </c>
      <c r="W55" s="170">
        <v>23.6</v>
      </c>
      <c r="X55" s="170">
        <v>60.7</v>
      </c>
      <c r="Y55" s="170">
        <v>21.6</v>
      </c>
      <c r="Z55" s="170">
        <v>17.2</v>
      </c>
      <c r="AA55" s="170">
        <v>5.4</v>
      </c>
      <c r="AB55" s="169" t="s">
        <v>29</v>
      </c>
      <c r="AC55" s="170">
        <v>21</v>
      </c>
      <c r="AD55" s="170">
        <v>12.4</v>
      </c>
      <c r="AE55" s="170">
        <v>14.1</v>
      </c>
      <c r="AF55" s="170">
        <v>15</v>
      </c>
      <c r="AG55" s="170">
        <v>14.3</v>
      </c>
      <c r="AH55" s="170">
        <v>55.4</v>
      </c>
      <c r="AI55" s="170">
        <v>20.100000000000001</v>
      </c>
      <c r="AJ55" s="170">
        <v>25.4</v>
      </c>
      <c r="AK55" s="169" t="s">
        <v>29</v>
      </c>
      <c r="AL55" s="170">
        <v>87.4</v>
      </c>
      <c r="AM55" s="170">
        <v>22.2</v>
      </c>
      <c r="AN55" s="170">
        <v>101.5</v>
      </c>
      <c r="AO55" s="170">
        <v>31.8</v>
      </c>
      <c r="AP55" s="170">
        <v>24.9</v>
      </c>
      <c r="AQ55" s="170">
        <v>21.8</v>
      </c>
      <c r="AR55" s="170">
        <v>48.1</v>
      </c>
      <c r="AS55" s="170">
        <v>39</v>
      </c>
      <c r="AT55" s="169" t="s">
        <v>29</v>
      </c>
      <c r="AU55" s="170">
        <v>33.799999999999997</v>
      </c>
      <c r="AV55" s="170">
        <v>41.9</v>
      </c>
      <c r="AW55" s="170">
        <v>73.900000000000006</v>
      </c>
      <c r="AX55" s="170">
        <v>31.5</v>
      </c>
      <c r="AY55" s="170">
        <v>28.5</v>
      </c>
      <c r="AZ55" s="170">
        <v>28</v>
      </c>
    </row>
    <row r="56" spans="1:52" ht="15.75">
      <c r="A56" s="149"/>
      <c r="B56" s="149"/>
      <c r="C56" s="149"/>
      <c r="D56" s="149"/>
      <c r="E56" s="149"/>
      <c r="F56" s="149"/>
      <c r="G56" s="149"/>
      <c r="H56" s="149"/>
      <c r="I56" s="149"/>
      <c r="J56" s="149"/>
      <c r="K56" s="149"/>
      <c r="L56" s="149"/>
      <c r="M56" s="149"/>
      <c r="N56" s="149"/>
      <c r="O56" s="149"/>
      <c r="P56" s="149"/>
      <c r="Q56" s="149"/>
      <c r="R56" s="149"/>
      <c r="S56" s="140"/>
      <c r="T56" s="149"/>
      <c r="U56" s="149"/>
      <c r="V56" s="149"/>
      <c r="W56" s="149"/>
      <c r="X56" s="140"/>
      <c r="Y56" s="140"/>
      <c r="Z56" s="140"/>
      <c r="AA56" s="140"/>
      <c r="AB56" s="140"/>
      <c r="AC56" s="140"/>
      <c r="AD56" s="140"/>
      <c r="AE56" s="140"/>
      <c r="AF56" s="140"/>
      <c r="AG56" s="149"/>
      <c r="AH56" s="149"/>
      <c r="AI56" s="140"/>
      <c r="AJ56" s="140"/>
      <c r="AK56" s="140"/>
      <c r="AL56" s="140"/>
      <c r="AM56" s="140"/>
      <c r="AN56" s="140"/>
      <c r="AO56" s="140"/>
      <c r="AP56" s="140"/>
      <c r="AQ56" s="140"/>
      <c r="AR56" s="140"/>
      <c r="AS56" s="140"/>
      <c r="AT56" s="140"/>
      <c r="AU56" s="140"/>
      <c r="AV56" s="140"/>
      <c r="AW56" s="140"/>
      <c r="AX56" s="140"/>
      <c r="AY56" s="140"/>
      <c r="AZ56" s="140"/>
    </row>
    <row r="57" spans="1:52" ht="15.75">
      <c r="A57" s="125" t="s">
        <v>86</v>
      </c>
      <c r="B57" s="125"/>
      <c r="C57" s="125"/>
      <c r="D57" s="125"/>
      <c r="E57" s="125"/>
      <c r="F57" s="125"/>
      <c r="G57" s="125"/>
      <c r="H57" s="125"/>
      <c r="I57" s="125"/>
      <c r="J57" s="125" t="s">
        <v>86</v>
      </c>
      <c r="K57" s="125"/>
      <c r="L57" s="125"/>
      <c r="M57" s="125"/>
      <c r="N57" s="125"/>
      <c r="O57" s="125"/>
      <c r="P57" s="125"/>
      <c r="Q57" s="125"/>
      <c r="R57" s="125"/>
      <c r="S57" s="125" t="s">
        <v>86</v>
      </c>
      <c r="T57" s="125"/>
      <c r="U57" s="125"/>
      <c r="V57" s="125"/>
      <c r="W57" s="125"/>
      <c r="X57" s="125"/>
      <c r="Y57" s="125"/>
      <c r="Z57" s="125"/>
      <c r="AA57" s="125"/>
      <c r="AB57" s="125" t="s">
        <v>86</v>
      </c>
      <c r="AC57" s="125"/>
      <c r="AD57" s="125"/>
      <c r="AE57" s="125"/>
      <c r="AF57" s="125"/>
      <c r="AG57" s="152"/>
      <c r="AH57" s="152"/>
      <c r="AI57" s="162"/>
      <c r="AJ57" s="162"/>
      <c r="AK57" s="125" t="s">
        <v>86</v>
      </c>
      <c r="AL57" s="162"/>
      <c r="AM57" s="162"/>
      <c r="AN57" s="162"/>
      <c r="AO57" s="162"/>
      <c r="AP57" s="162"/>
      <c r="AQ57" s="162"/>
      <c r="AR57" s="162"/>
      <c r="AS57" s="162"/>
      <c r="AT57" s="125" t="s">
        <v>86</v>
      </c>
      <c r="AU57" s="162"/>
      <c r="AV57" s="162"/>
      <c r="AW57" s="162"/>
      <c r="AX57" s="162"/>
      <c r="AY57" s="162"/>
      <c r="AZ57" s="162"/>
    </row>
    <row r="58" spans="1:52" ht="15.75">
      <c r="A58" s="127" t="s">
        <v>74</v>
      </c>
      <c r="B58" s="128">
        <v>1976</v>
      </c>
      <c r="C58" s="128">
        <v>1977</v>
      </c>
      <c r="D58" s="128">
        <v>1978</v>
      </c>
      <c r="E58" s="128">
        <v>1979</v>
      </c>
      <c r="F58" s="128">
        <v>1980</v>
      </c>
      <c r="G58" s="128">
        <v>1981</v>
      </c>
      <c r="H58" s="128">
        <v>1982</v>
      </c>
      <c r="I58" s="128">
        <v>1983</v>
      </c>
      <c r="J58" s="129" t="s">
        <v>74</v>
      </c>
      <c r="K58" s="128">
        <v>1984</v>
      </c>
      <c r="L58" s="128">
        <v>1985</v>
      </c>
      <c r="M58" s="128">
        <v>1986</v>
      </c>
      <c r="N58" s="128">
        <v>1987</v>
      </c>
      <c r="O58" s="128">
        <v>1988</v>
      </c>
      <c r="P58" s="128">
        <v>1989</v>
      </c>
      <c r="Q58" s="128">
        <v>1990</v>
      </c>
      <c r="R58" s="128">
        <v>1991</v>
      </c>
      <c r="S58" s="129" t="s">
        <v>74</v>
      </c>
      <c r="T58" s="128">
        <v>1992</v>
      </c>
      <c r="U58" s="128">
        <v>1993</v>
      </c>
      <c r="V58" s="128">
        <v>1994</v>
      </c>
      <c r="W58" s="128">
        <v>1995</v>
      </c>
      <c r="X58" s="128">
        <v>1996</v>
      </c>
      <c r="Y58" s="128">
        <v>1997</v>
      </c>
      <c r="Z58" s="128">
        <v>1998</v>
      </c>
      <c r="AA58" s="128">
        <v>1999</v>
      </c>
      <c r="AB58" s="129" t="s">
        <v>74</v>
      </c>
      <c r="AC58" s="128">
        <v>2000</v>
      </c>
      <c r="AD58" s="128">
        <v>2001</v>
      </c>
      <c r="AE58" s="128">
        <v>2002</v>
      </c>
      <c r="AF58" s="128">
        <v>2003</v>
      </c>
      <c r="AG58" s="128">
        <v>2004</v>
      </c>
      <c r="AH58" s="128">
        <v>2005</v>
      </c>
      <c r="AI58" s="128">
        <v>2006</v>
      </c>
      <c r="AJ58" s="128">
        <v>2007</v>
      </c>
      <c r="AK58" s="129" t="s">
        <v>74</v>
      </c>
      <c r="AL58" s="128">
        <v>2008</v>
      </c>
      <c r="AM58" s="128">
        <v>2009</v>
      </c>
      <c r="AN58" s="128">
        <v>2010</v>
      </c>
      <c r="AO58" s="128">
        <v>2011</v>
      </c>
      <c r="AP58" s="128">
        <v>2012</v>
      </c>
      <c r="AQ58" s="128">
        <v>2013</v>
      </c>
      <c r="AR58" s="128">
        <v>2014</v>
      </c>
      <c r="AS58" s="128">
        <v>2015</v>
      </c>
      <c r="AT58" s="129" t="s">
        <v>74</v>
      </c>
      <c r="AU58" s="128">
        <v>2016</v>
      </c>
      <c r="AV58" s="128">
        <v>2017</v>
      </c>
      <c r="AW58" s="128">
        <v>2018</v>
      </c>
      <c r="AX58" s="128">
        <v>2019</v>
      </c>
      <c r="AY58" s="128">
        <v>2020</v>
      </c>
      <c r="AZ58" s="128">
        <v>2021</v>
      </c>
    </row>
    <row r="59" spans="1:52" ht="15.75">
      <c r="A59" s="133" t="s">
        <v>23</v>
      </c>
      <c r="B59" s="134">
        <v>25</v>
      </c>
      <c r="C59" s="134">
        <v>21</v>
      </c>
      <c r="D59" s="134">
        <v>22</v>
      </c>
      <c r="E59" s="134">
        <v>34</v>
      </c>
      <c r="F59" s="134">
        <v>21</v>
      </c>
      <c r="G59" s="134">
        <v>19</v>
      </c>
      <c r="H59" s="134">
        <v>19</v>
      </c>
      <c r="I59" s="134">
        <v>12</v>
      </c>
      <c r="J59" s="135" t="s">
        <v>23</v>
      </c>
      <c r="K59" s="134">
        <v>8</v>
      </c>
      <c r="L59" s="134">
        <v>18</v>
      </c>
      <c r="M59" s="136">
        <v>10</v>
      </c>
      <c r="N59" s="136">
        <v>6</v>
      </c>
      <c r="O59" s="136">
        <v>12</v>
      </c>
      <c r="P59" s="136">
        <v>10</v>
      </c>
      <c r="Q59" s="136">
        <v>5</v>
      </c>
      <c r="R59" s="136">
        <v>4</v>
      </c>
      <c r="S59" s="135" t="s">
        <v>23</v>
      </c>
      <c r="T59" s="136">
        <v>18</v>
      </c>
      <c r="U59" s="136">
        <v>6</v>
      </c>
      <c r="V59" s="136">
        <v>11</v>
      </c>
      <c r="W59" s="136">
        <v>34</v>
      </c>
      <c r="X59" s="136">
        <v>34</v>
      </c>
      <c r="Y59" s="136">
        <v>28</v>
      </c>
      <c r="Z59" s="136">
        <v>24</v>
      </c>
      <c r="AA59" s="136">
        <v>35</v>
      </c>
      <c r="AB59" s="135" t="s">
        <v>23</v>
      </c>
      <c r="AC59" s="136">
        <v>30</v>
      </c>
      <c r="AD59" s="136">
        <v>17</v>
      </c>
      <c r="AE59" s="136">
        <v>33</v>
      </c>
      <c r="AF59" s="136">
        <v>19</v>
      </c>
      <c r="AG59" s="136">
        <v>27</v>
      </c>
      <c r="AH59" s="136">
        <v>24</v>
      </c>
      <c r="AI59" s="136">
        <v>21</v>
      </c>
      <c r="AJ59" s="136">
        <v>27</v>
      </c>
      <c r="AK59" s="135" t="s">
        <v>23</v>
      </c>
      <c r="AL59" s="136">
        <v>26</v>
      </c>
      <c r="AM59" s="136">
        <v>21</v>
      </c>
      <c r="AN59" s="136">
        <v>30</v>
      </c>
      <c r="AO59" s="136">
        <v>31</v>
      </c>
      <c r="AP59" s="136">
        <v>26</v>
      </c>
      <c r="AQ59" s="136">
        <v>22</v>
      </c>
      <c r="AR59" s="136">
        <v>24</v>
      </c>
      <c r="AS59" s="136">
        <v>20</v>
      </c>
      <c r="AT59" s="135" t="s">
        <v>23</v>
      </c>
      <c r="AU59" s="136">
        <v>19</v>
      </c>
      <c r="AV59" s="136">
        <v>14</v>
      </c>
      <c r="AW59" s="136">
        <v>17</v>
      </c>
      <c r="AX59" s="136">
        <v>17</v>
      </c>
      <c r="AY59" s="136">
        <v>18</v>
      </c>
      <c r="AZ59" s="136">
        <v>17</v>
      </c>
    </row>
    <row r="60" spans="1:52" ht="15.75">
      <c r="A60" s="133" t="s">
        <v>24</v>
      </c>
      <c r="B60" s="134">
        <v>56</v>
      </c>
      <c r="C60" s="134">
        <v>58</v>
      </c>
      <c r="D60" s="134">
        <v>52</v>
      </c>
      <c r="E60" s="134">
        <v>55</v>
      </c>
      <c r="F60" s="134">
        <v>69</v>
      </c>
      <c r="G60" s="134">
        <v>38</v>
      </c>
      <c r="H60" s="134">
        <v>41</v>
      </c>
      <c r="I60" s="134">
        <v>42</v>
      </c>
      <c r="J60" s="135" t="s">
        <v>24</v>
      </c>
      <c r="K60" s="134">
        <v>41</v>
      </c>
      <c r="L60" s="134">
        <v>40</v>
      </c>
      <c r="M60" s="136">
        <v>42</v>
      </c>
      <c r="N60" s="136">
        <v>47</v>
      </c>
      <c r="O60" s="136">
        <v>49</v>
      </c>
      <c r="P60" s="136">
        <v>45</v>
      </c>
      <c r="Q60" s="136">
        <v>41</v>
      </c>
      <c r="R60" s="136">
        <v>30</v>
      </c>
      <c r="S60" s="135" t="s">
        <v>24</v>
      </c>
      <c r="T60" s="136">
        <v>54</v>
      </c>
      <c r="U60" s="136">
        <v>61</v>
      </c>
      <c r="V60" s="136">
        <v>56</v>
      </c>
      <c r="W60" s="136">
        <v>49</v>
      </c>
      <c r="X60" s="136">
        <v>49</v>
      </c>
      <c r="Y60" s="136">
        <v>64</v>
      </c>
      <c r="Z60" s="136">
        <v>52</v>
      </c>
      <c r="AA60" s="136">
        <v>60</v>
      </c>
      <c r="AB60" s="135" t="s">
        <v>24</v>
      </c>
      <c r="AC60" s="136">
        <v>44</v>
      </c>
      <c r="AD60" s="136">
        <v>54</v>
      </c>
      <c r="AE60" s="136">
        <v>57</v>
      </c>
      <c r="AF60" s="136">
        <v>61</v>
      </c>
      <c r="AG60" s="136">
        <v>68</v>
      </c>
      <c r="AH60" s="136">
        <v>41</v>
      </c>
      <c r="AI60" s="136">
        <v>81</v>
      </c>
      <c r="AJ60" s="136">
        <v>53</v>
      </c>
      <c r="AK60" s="135" t="s">
        <v>24</v>
      </c>
      <c r="AL60" s="136">
        <v>55</v>
      </c>
      <c r="AM60" s="136">
        <v>68</v>
      </c>
      <c r="AN60" s="136">
        <v>76</v>
      </c>
      <c r="AO60" s="136">
        <v>55</v>
      </c>
      <c r="AP60" s="136">
        <v>56</v>
      </c>
      <c r="AQ60" s="136">
        <v>55</v>
      </c>
      <c r="AR60" s="136">
        <v>54</v>
      </c>
      <c r="AS60" s="136">
        <v>40</v>
      </c>
      <c r="AT60" s="135" t="s">
        <v>24</v>
      </c>
      <c r="AU60" s="136">
        <v>43</v>
      </c>
      <c r="AV60" s="136">
        <v>51</v>
      </c>
      <c r="AW60" s="136">
        <v>41</v>
      </c>
      <c r="AX60" s="136">
        <v>41</v>
      </c>
      <c r="AY60" s="136">
        <v>41</v>
      </c>
      <c r="AZ60" s="136">
        <v>34</v>
      </c>
    </row>
    <row r="61" spans="1:52" ht="15.75">
      <c r="A61" s="133" t="s">
        <v>25</v>
      </c>
      <c r="B61" s="134">
        <v>84</v>
      </c>
      <c r="C61" s="134">
        <v>84</v>
      </c>
      <c r="D61" s="134">
        <v>84</v>
      </c>
      <c r="E61" s="134">
        <v>81</v>
      </c>
      <c r="F61" s="134">
        <v>81</v>
      </c>
      <c r="G61" s="134">
        <v>85</v>
      </c>
      <c r="H61" s="134">
        <v>53</v>
      </c>
      <c r="I61" s="134">
        <v>59</v>
      </c>
      <c r="J61" s="135" t="s">
        <v>25</v>
      </c>
      <c r="K61" s="134">
        <v>54</v>
      </c>
      <c r="L61" s="134">
        <v>49</v>
      </c>
      <c r="M61" s="136">
        <v>59</v>
      </c>
      <c r="N61" s="136">
        <v>54</v>
      </c>
      <c r="O61" s="136">
        <v>58</v>
      </c>
      <c r="P61" s="136">
        <v>59</v>
      </c>
      <c r="Q61" s="136">
        <v>58</v>
      </c>
      <c r="R61" s="136">
        <v>87</v>
      </c>
      <c r="S61" s="135" t="s">
        <v>25</v>
      </c>
      <c r="T61" s="136">
        <v>83</v>
      </c>
      <c r="U61" s="136">
        <v>79</v>
      </c>
      <c r="V61" s="136">
        <v>94</v>
      </c>
      <c r="W61" s="136">
        <v>84</v>
      </c>
      <c r="X61" s="136">
        <v>84</v>
      </c>
      <c r="Y61" s="136">
        <v>99</v>
      </c>
      <c r="Z61" s="136">
        <v>79</v>
      </c>
      <c r="AA61" s="136">
        <v>77</v>
      </c>
      <c r="AB61" s="135" t="s">
        <v>25</v>
      </c>
      <c r="AC61" s="136">
        <v>76</v>
      </c>
      <c r="AD61" s="136">
        <v>79</v>
      </c>
      <c r="AE61" s="136">
        <v>79</v>
      </c>
      <c r="AF61" s="136">
        <v>78</v>
      </c>
      <c r="AG61" s="136">
        <v>102</v>
      </c>
      <c r="AH61" s="136">
        <v>88</v>
      </c>
      <c r="AI61" s="136">
        <v>83</v>
      </c>
      <c r="AJ61" s="136">
        <v>92</v>
      </c>
      <c r="AK61" s="135" t="s">
        <v>25</v>
      </c>
      <c r="AL61" s="136">
        <v>82</v>
      </c>
      <c r="AM61" s="136">
        <v>93</v>
      </c>
      <c r="AN61" s="136">
        <v>116</v>
      </c>
      <c r="AO61" s="136">
        <v>109</v>
      </c>
      <c r="AP61" s="136">
        <v>88</v>
      </c>
      <c r="AQ61" s="136">
        <v>90</v>
      </c>
      <c r="AR61" s="136">
        <v>97</v>
      </c>
      <c r="AS61" s="136">
        <v>88</v>
      </c>
      <c r="AT61" s="135" t="s">
        <v>25</v>
      </c>
      <c r="AU61" s="136">
        <v>79</v>
      </c>
      <c r="AV61" s="136">
        <v>93</v>
      </c>
      <c r="AW61" s="136">
        <v>73</v>
      </c>
      <c r="AX61" s="136">
        <v>57</v>
      </c>
      <c r="AY61" s="136">
        <v>50</v>
      </c>
      <c r="AZ61" s="136">
        <v>49</v>
      </c>
    </row>
    <row r="62" spans="1:52" ht="15.75">
      <c r="A62" s="133" t="s">
        <v>26</v>
      </c>
      <c r="B62" s="134">
        <v>105</v>
      </c>
      <c r="C62" s="134">
        <v>105</v>
      </c>
      <c r="D62" s="134">
        <v>105</v>
      </c>
      <c r="E62" s="134">
        <v>105</v>
      </c>
      <c r="F62" s="134">
        <v>102</v>
      </c>
      <c r="G62" s="134">
        <v>97</v>
      </c>
      <c r="H62" s="134">
        <v>91</v>
      </c>
      <c r="I62" s="134">
        <v>67</v>
      </c>
      <c r="J62" s="135" t="s">
        <v>26</v>
      </c>
      <c r="K62" s="134">
        <v>68</v>
      </c>
      <c r="L62" s="134">
        <v>67</v>
      </c>
      <c r="M62" s="136">
        <v>75</v>
      </c>
      <c r="N62" s="136">
        <v>67</v>
      </c>
      <c r="O62" s="136">
        <v>75</v>
      </c>
      <c r="P62" s="136">
        <v>75</v>
      </c>
      <c r="Q62" s="136">
        <v>79</v>
      </c>
      <c r="R62" s="136">
        <v>97</v>
      </c>
      <c r="S62" s="135" t="s">
        <v>26</v>
      </c>
      <c r="T62" s="136">
        <v>96</v>
      </c>
      <c r="U62" s="136">
        <v>112</v>
      </c>
      <c r="V62" s="136">
        <v>120</v>
      </c>
      <c r="W62" s="136">
        <v>118</v>
      </c>
      <c r="X62" s="136">
        <v>118</v>
      </c>
      <c r="Y62" s="136">
        <v>116</v>
      </c>
      <c r="Z62" s="136">
        <v>101</v>
      </c>
      <c r="AA62" s="136">
        <v>95</v>
      </c>
      <c r="AB62" s="135" t="s">
        <v>26</v>
      </c>
      <c r="AC62" s="136">
        <v>96</v>
      </c>
      <c r="AD62" s="136">
        <v>97</v>
      </c>
      <c r="AE62" s="136">
        <v>102</v>
      </c>
      <c r="AF62" s="136">
        <v>107</v>
      </c>
      <c r="AG62" s="136">
        <v>124</v>
      </c>
      <c r="AH62" s="136">
        <v>109</v>
      </c>
      <c r="AI62" s="136">
        <v>118</v>
      </c>
      <c r="AJ62" s="136">
        <v>99</v>
      </c>
      <c r="AK62" s="135" t="s">
        <v>26</v>
      </c>
      <c r="AL62" s="136">
        <v>123</v>
      </c>
      <c r="AM62" s="136">
        <v>108</v>
      </c>
      <c r="AN62" s="136">
        <v>117</v>
      </c>
      <c r="AO62" s="136">
        <v>122</v>
      </c>
      <c r="AP62" s="136">
        <v>119</v>
      </c>
      <c r="AQ62" s="136">
        <v>112</v>
      </c>
      <c r="AR62" s="136">
        <v>119</v>
      </c>
      <c r="AS62" s="136">
        <v>105</v>
      </c>
      <c r="AT62" s="135" t="s">
        <v>26</v>
      </c>
      <c r="AU62" s="136">
        <v>112</v>
      </c>
      <c r="AV62" s="136">
        <v>109</v>
      </c>
      <c r="AW62" s="136">
        <v>94</v>
      </c>
      <c r="AX62" s="136">
        <v>86</v>
      </c>
      <c r="AY62" s="136">
        <v>68</v>
      </c>
      <c r="AZ62" s="136">
        <v>57</v>
      </c>
    </row>
    <row r="63" spans="1:52" ht="15.75">
      <c r="A63" s="133" t="s">
        <v>27</v>
      </c>
      <c r="B63" s="134">
        <v>118</v>
      </c>
      <c r="C63" s="134">
        <v>118</v>
      </c>
      <c r="D63" s="134">
        <v>118</v>
      </c>
      <c r="E63" s="134">
        <v>118</v>
      </c>
      <c r="F63" s="134">
        <v>118</v>
      </c>
      <c r="G63" s="134">
        <v>116</v>
      </c>
      <c r="H63" s="134">
        <v>106</v>
      </c>
      <c r="I63" s="134">
        <v>93</v>
      </c>
      <c r="J63" s="135" t="s">
        <v>27</v>
      </c>
      <c r="K63" s="134">
        <v>84</v>
      </c>
      <c r="L63" s="134">
        <v>83</v>
      </c>
      <c r="M63" s="136">
        <v>93</v>
      </c>
      <c r="N63" s="136">
        <v>89</v>
      </c>
      <c r="O63" s="136">
        <v>89</v>
      </c>
      <c r="P63" s="136">
        <v>93</v>
      </c>
      <c r="Q63" s="136">
        <v>91</v>
      </c>
      <c r="R63" s="136">
        <v>99</v>
      </c>
      <c r="S63" s="135" t="s">
        <v>27</v>
      </c>
      <c r="T63" s="136">
        <v>99</v>
      </c>
      <c r="U63" s="136">
        <v>134</v>
      </c>
      <c r="V63" s="136">
        <v>135</v>
      </c>
      <c r="W63" s="136">
        <v>143</v>
      </c>
      <c r="X63" s="136">
        <v>143</v>
      </c>
      <c r="Y63" s="136">
        <v>134</v>
      </c>
      <c r="Z63" s="136">
        <v>118</v>
      </c>
      <c r="AA63" s="136">
        <v>102</v>
      </c>
      <c r="AB63" s="135" t="s">
        <v>27</v>
      </c>
      <c r="AC63" s="136">
        <v>107</v>
      </c>
      <c r="AD63" s="136">
        <v>115</v>
      </c>
      <c r="AE63" s="136">
        <v>112</v>
      </c>
      <c r="AF63" s="136">
        <v>117</v>
      </c>
      <c r="AG63" s="136">
        <v>111</v>
      </c>
      <c r="AH63" s="136">
        <v>122</v>
      </c>
      <c r="AI63" s="136">
        <v>113</v>
      </c>
      <c r="AJ63" s="136">
        <v>111</v>
      </c>
      <c r="AK63" s="135" t="s">
        <v>27</v>
      </c>
      <c r="AL63" s="136">
        <v>123</v>
      </c>
      <c r="AM63" s="136">
        <v>115</v>
      </c>
      <c r="AN63" s="136">
        <v>109</v>
      </c>
      <c r="AO63" s="136">
        <v>108</v>
      </c>
      <c r="AP63" s="136">
        <v>128</v>
      </c>
      <c r="AQ63" s="136">
        <v>128</v>
      </c>
      <c r="AR63" s="136">
        <v>127</v>
      </c>
      <c r="AS63" s="136">
        <v>118</v>
      </c>
      <c r="AT63" s="135" t="s">
        <v>27</v>
      </c>
      <c r="AU63" s="136">
        <v>122</v>
      </c>
      <c r="AV63" s="136">
        <v>131</v>
      </c>
      <c r="AW63" s="136">
        <v>109</v>
      </c>
      <c r="AX63" s="136">
        <v>101</v>
      </c>
      <c r="AY63" s="136">
        <v>97</v>
      </c>
      <c r="AZ63" s="136">
        <v>85</v>
      </c>
    </row>
    <row r="64" spans="1:52" ht="15.75">
      <c r="A64" s="127" t="s">
        <v>75</v>
      </c>
      <c r="B64" s="171">
        <v>127</v>
      </c>
      <c r="C64" s="171">
        <v>127</v>
      </c>
      <c r="D64" s="171">
        <v>127</v>
      </c>
      <c r="E64" s="171">
        <v>127</v>
      </c>
      <c r="F64" s="171">
        <v>127</v>
      </c>
      <c r="G64" s="171">
        <v>127</v>
      </c>
      <c r="H64" s="171">
        <v>125</v>
      </c>
      <c r="I64" s="171">
        <v>111</v>
      </c>
      <c r="J64" s="129" t="s">
        <v>75</v>
      </c>
      <c r="K64" s="171">
        <v>108</v>
      </c>
      <c r="L64" s="171">
        <v>103</v>
      </c>
      <c r="M64" s="172">
        <v>115</v>
      </c>
      <c r="N64" s="172">
        <v>108</v>
      </c>
      <c r="O64" s="172">
        <v>101</v>
      </c>
      <c r="P64" s="172">
        <v>108</v>
      </c>
      <c r="Q64" s="172">
        <v>105</v>
      </c>
      <c r="R64" s="172">
        <v>108</v>
      </c>
      <c r="S64" s="129" t="s">
        <v>75</v>
      </c>
      <c r="T64" s="172">
        <v>111</v>
      </c>
      <c r="U64" s="172">
        <v>133</v>
      </c>
      <c r="V64" s="172">
        <v>140</v>
      </c>
      <c r="W64" s="172">
        <v>156</v>
      </c>
      <c r="X64" s="172">
        <v>150</v>
      </c>
      <c r="Y64" s="172">
        <v>154</v>
      </c>
      <c r="Z64" s="172">
        <v>122</v>
      </c>
      <c r="AA64" s="172">
        <v>127</v>
      </c>
      <c r="AB64" s="129" t="s">
        <v>75</v>
      </c>
      <c r="AC64" s="172">
        <v>123</v>
      </c>
      <c r="AD64" s="172">
        <v>129</v>
      </c>
      <c r="AE64" s="172">
        <v>132</v>
      </c>
      <c r="AF64" s="172">
        <v>138</v>
      </c>
      <c r="AG64" s="172">
        <v>118</v>
      </c>
      <c r="AH64" s="172">
        <v>143</v>
      </c>
      <c r="AI64" s="172">
        <v>108</v>
      </c>
      <c r="AJ64" s="172">
        <v>110</v>
      </c>
      <c r="AK64" s="129" t="s">
        <v>75</v>
      </c>
      <c r="AL64" s="172">
        <v>142</v>
      </c>
      <c r="AM64" s="172">
        <v>127</v>
      </c>
      <c r="AN64" s="172">
        <v>119</v>
      </c>
      <c r="AO64" s="172">
        <v>119</v>
      </c>
      <c r="AP64" s="172">
        <v>175</v>
      </c>
      <c r="AQ64" s="172">
        <v>181</v>
      </c>
      <c r="AR64" s="172">
        <v>162</v>
      </c>
      <c r="AS64" s="172">
        <v>117</v>
      </c>
      <c r="AT64" s="129" t="s">
        <v>75</v>
      </c>
      <c r="AU64" s="172">
        <v>139</v>
      </c>
      <c r="AV64" s="172">
        <v>143</v>
      </c>
      <c r="AW64" s="172">
        <v>132</v>
      </c>
      <c r="AX64" s="172">
        <v>119</v>
      </c>
      <c r="AY64" s="172">
        <v>120</v>
      </c>
      <c r="AZ64" s="172">
        <v>111</v>
      </c>
    </row>
    <row r="65" spans="1:44">
      <c r="A65" s="10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10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10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10"/>
      <c r="AJ65" s="53"/>
      <c r="AK65" s="53"/>
      <c r="AL65" s="53"/>
      <c r="AM65" s="53"/>
      <c r="AN65" s="53"/>
      <c r="AO65" s="53"/>
      <c r="AP65" s="53"/>
      <c r="AQ65" s="53"/>
      <c r="AR65" s="53"/>
    </row>
    <row r="66" spans="1:44">
      <c r="A66" s="10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10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10"/>
      <c r="X66" s="53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10"/>
      <c r="AJ66" s="53"/>
      <c r="AK66" s="53"/>
      <c r="AL66" s="53"/>
      <c r="AM66" s="53"/>
      <c r="AN66" s="53"/>
      <c r="AO66" s="53"/>
      <c r="AP66" s="53"/>
      <c r="AQ66" s="53"/>
      <c r="AR66" s="53"/>
    </row>
    <row r="67" spans="1:44">
      <c r="A67" s="10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10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10"/>
      <c r="X67" s="53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10"/>
      <c r="AJ67" s="53"/>
      <c r="AK67" s="53"/>
      <c r="AL67" s="53"/>
      <c r="AM67" s="53"/>
      <c r="AN67" s="53"/>
      <c r="AO67" s="53"/>
      <c r="AP67" s="53"/>
      <c r="AQ67" s="53"/>
      <c r="AR67" s="53"/>
    </row>
    <row r="68" spans="1:44">
      <c r="A68" s="10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10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10"/>
      <c r="X68" s="53"/>
      <c r="Y68" s="53"/>
      <c r="Z68" s="53"/>
      <c r="AA68" s="53"/>
      <c r="AB68" s="53"/>
      <c r="AC68" s="53"/>
      <c r="AD68" s="53"/>
      <c r="AE68" s="53"/>
      <c r="AF68" s="53"/>
      <c r="AG68" s="53"/>
      <c r="AH68" s="53"/>
      <c r="AI68" s="10"/>
      <c r="AJ68" s="53"/>
      <c r="AK68" s="53"/>
      <c r="AL68" s="53"/>
      <c r="AM68" s="53"/>
      <c r="AN68" s="53"/>
      <c r="AO68" s="53"/>
      <c r="AP68" s="53"/>
      <c r="AQ68" s="53"/>
      <c r="AR68" s="53"/>
    </row>
    <row r="69" spans="1:44"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1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1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3"/>
      <c r="AI69" s="10"/>
      <c r="AJ69" s="53"/>
      <c r="AK69" s="53"/>
      <c r="AL69" s="53"/>
      <c r="AM69" s="53"/>
      <c r="AN69" s="53"/>
      <c r="AO69" s="53"/>
      <c r="AP69" s="53"/>
      <c r="AQ69" s="53"/>
      <c r="AR69" s="53"/>
    </row>
    <row r="70" spans="1:44"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1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1"/>
      <c r="X70" s="53"/>
      <c r="Y70" s="53"/>
      <c r="Z70" s="53"/>
      <c r="AA70" s="53"/>
      <c r="AB70" s="53"/>
      <c r="AC70" s="53"/>
      <c r="AD70" s="53"/>
      <c r="AE70" s="53"/>
      <c r="AF70" s="53"/>
      <c r="AG70" s="53"/>
      <c r="AH70" s="53"/>
      <c r="AI70" s="10"/>
      <c r="AJ70" s="53"/>
      <c r="AK70" s="53"/>
      <c r="AL70" s="53"/>
      <c r="AM70" s="53"/>
      <c r="AN70" s="53"/>
      <c r="AO70" s="53"/>
      <c r="AP70" s="53"/>
      <c r="AQ70" s="53"/>
      <c r="AR70" s="53"/>
    </row>
    <row r="71" spans="1:44"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3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3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33"/>
      <c r="AJ71" s="53"/>
      <c r="AK71" s="53"/>
      <c r="AL71" s="53"/>
      <c r="AM71" s="53"/>
      <c r="AN71" s="53"/>
      <c r="AO71" s="53"/>
      <c r="AP71" s="53"/>
      <c r="AQ71" s="53"/>
      <c r="AR71" s="53"/>
    </row>
    <row r="72" spans="1:44">
      <c r="L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</row>
    <row r="73" spans="1:44">
      <c r="L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</row>
    <row r="74" spans="1:44">
      <c r="L74" s="2"/>
      <c r="O74" s="2"/>
      <c r="P74" s="10"/>
      <c r="Q74" s="10"/>
      <c r="R74" s="10"/>
      <c r="S74" s="10"/>
      <c r="T74" s="10"/>
      <c r="U74" s="10"/>
      <c r="V74" s="10"/>
      <c r="W74" s="2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</row>
    <row r="75" spans="1:44">
      <c r="L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</row>
    <row r="76" spans="1:44">
      <c r="L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</row>
    <row r="77" spans="1:44">
      <c r="L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</row>
    <row r="78" spans="1:44">
      <c r="L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</row>
    <row r="79" spans="1:44">
      <c r="L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</row>
    <row r="80" spans="1:44">
      <c r="L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</row>
    <row r="81" spans="12:44">
      <c r="L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</row>
    <row r="82" spans="12:44">
      <c r="L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</row>
    <row r="83" spans="12:44">
      <c r="L83" s="1"/>
      <c r="O83" s="10"/>
      <c r="P83" s="10"/>
      <c r="Q83" s="10"/>
      <c r="R83" s="10"/>
      <c r="S83" s="10"/>
      <c r="T83" s="10"/>
      <c r="U83" s="10"/>
      <c r="V83" s="10"/>
      <c r="W83" s="1"/>
      <c r="X83" s="10"/>
      <c r="Y83" s="10"/>
      <c r="Z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</row>
    <row r="84" spans="12:44">
      <c r="L84" s="2"/>
      <c r="O84" s="2"/>
      <c r="P84" s="10"/>
      <c r="Q84" s="10"/>
      <c r="R84" s="10"/>
      <c r="S84" s="10"/>
      <c r="T84" s="10"/>
      <c r="U84" s="10"/>
      <c r="V84" s="10"/>
      <c r="W84" s="2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</row>
    <row r="85" spans="12:44">
      <c r="L85" s="2"/>
      <c r="O85" s="2"/>
      <c r="P85" s="10"/>
      <c r="Q85" s="10"/>
      <c r="R85" s="10"/>
      <c r="S85" s="10"/>
      <c r="T85" s="10"/>
      <c r="U85" s="10"/>
      <c r="V85" s="10"/>
      <c r="W85" s="2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</row>
    <row r="86" spans="12:44">
      <c r="L86" s="1"/>
      <c r="O86" s="1"/>
      <c r="P86" s="1"/>
      <c r="Q86" s="1"/>
      <c r="R86" s="1"/>
      <c r="S86" s="1"/>
      <c r="T86" s="1"/>
      <c r="U86" s="1"/>
      <c r="V86" s="1"/>
      <c r="W86" s="1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</row>
    <row r="87" spans="12:44">
      <c r="L87" s="33"/>
      <c r="O87" s="33"/>
      <c r="P87" s="33"/>
      <c r="Q87" s="33"/>
      <c r="R87" s="33"/>
      <c r="S87" s="3"/>
      <c r="T87" s="3"/>
      <c r="U87" s="3"/>
      <c r="V87" s="3"/>
      <c r="W87" s="33"/>
      <c r="X87" s="3"/>
      <c r="Y87" s="3"/>
      <c r="Z87" s="3"/>
      <c r="AA87" s="3"/>
      <c r="AB87" s="3"/>
    </row>
    <row r="88" spans="12:44">
      <c r="L88" s="33"/>
      <c r="O88" s="33"/>
      <c r="P88" s="33"/>
      <c r="Q88" s="33"/>
      <c r="R88" s="33"/>
      <c r="S88" s="1"/>
      <c r="T88" s="1"/>
      <c r="U88" s="1"/>
      <c r="V88" s="1"/>
      <c r="W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</row>
    <row r="89" spans="12:44">
      <c r="L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</row>
    <row r="90" spans="12:44">
      <c r="L90" s="1"/>
      <c r="O90" s="1"/>
      <c r="P90" s="1"/>
      <c r="Q90" s="1"/>
      <c r="R90" s="1"/>
      <c r="S90" s="1"/>
      <c r="T90" s="1"/>
      <c r="U90" s="1"/>
      <c r="V90" s="1"/>
      <c r="W90" s="1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/>
      <c r="AP90" s="33"/>
      <c r="AQ90" s="33"/>
      <c r="AR90" s="33"/>
    </row>
    <row r="91" spans="12:44">
      <c r="L91" s="3"/>
      <c r="O91" s="3"/>
      <c r="P91" s="10"/>
      <c r="Q91" s="10"/>
      <c r="R91" s="10"/>
      <c r="S91" s="10"/>
      <c r="T91" s="10"/>
      <c r="U91" s="10"/>
      <c r="V91" s="10"/>
      <c r="W91" s="3"/>
      <c r="X91" s="10"/>
      <c r="Y91" s="10"/>
      <c r="Z91" s="10"/>
      <c r="AA91" s="10"/>
      <c r="AB91" s="10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  <c r="AP91" s="33"/>
      <c r="AQ91" s="33"/>
      <c r="AR91" s="33"/>
    </row>
    <row r="92" spans="12:44">
      <c r="L92" s="1"/>
      <c r="O92" s="1"/>
      <c r="P92" s="10"/>
      <c r="Q92" s="10"/>
      <c r="R92" s="10"/>
      <c r="S92" s="10"/>
      <c r="T92" s="10"/>
      <c r="U92" s="10"/>
      <c r="V92" s="10"/>
      <c r="W92" s="1"/>
      <c r="X92" s="10"/>
      <c r="Y92" s="10"/>
      <c r="Z92" s="10"/>
      <c r="AA92" s="10"/>
      <c r="AB92" s="10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33"/>
      <c r="AQ92" s="33"/>
      <c r="AR92" s="33"/>
    </row>
    <row r="93" spans="12:44">
      <c r="L93" s="2"/>
      <c r="O93" s="2"/>
      <c r="P93" s="10"/>
      <c r="Q93" s="10"/>
      <c r="R93" s="10"/>
      <c r="S93" s="10"/>
      <c r="T93" s="10"/>
      <c r="U93" s="10"/>
      <c r="V93" s="10"/>
      <c r="W93" s="2"/>
      <c r="X93" s="10"/>
      <c r="Y93" s="10"/>
      <c r="Z93" s="10"/>
      <c r="AA93" s="10"/>
      <c r="AB93" s="10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  <c r="AO93" s="33"/>
      <c r="AP93" s="33"/>
      <c r="AQ93" s="33"/>
      <c r="AR93" s="33"/>
    </row>
    <row r="94" spans="12:44">
      <c r="L94" s="1"/>
      <c r="O94" s="1"/>
      <c r="P94" s="1"/>
      <c r="Q94" s="1"/>
      <c r="R94" s="1"/>
      <c r="S94" s="1"/>
      <c r="T94" s="1"/>
      <c r="U94" s="1"/>
      <c r="V94" s="1"/>
      <c r="W94" s="1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  <c r="AO94" s="33"/>
      <c r="AP94" s="33"/>
      <c r="AQ94" s="33"/>
      <c r="AR94" s="33"/>
    </row>
    <row r="95" spans="12:44">
      <c r="L95" s="1"/>
      <c r="O95" s="1"/>
      <c r="P95" s="1"/>
      <c r="Q95" s="1"/>
      <c r="R95" s="1"/>
      <c r="S95" s="1"/>
      <c r="T95" s="1"/>
      <c r="U95" s="1"/>
      <c r="V95" s="1"/>
      <c r="W95" s="1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  <c r="AR95" s="33"/>
    </row>
    <row r="96" spans="12:44">
      <c r="U96" s="3"/>
      <c r="V96" s="3"/>
      <c r="X96" s="3"/>
      <c r="Y96" s="3"/>
      <c r="Z96" s="3"/>
      <c r="AA96" s="3"/>
      <c r="AB96" s="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  <c r="AO96" s="33"/>
      <c r="AP96" s="33"/>
      <c r="AQ96" s="33"/>
      <c r="AR96" s="33"/>
    </row>
    <row r="97" spans="1:44">
      <c r="U97" s="4"/>
      <c r="V97" s="1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</row>
    <row r="98" spans="1:44">
      <c r="U98" s="4"/>
      <c r="V98" s="1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/>
      <c r="AR98" s="33"/>
    </row>
    <row r="99" spans="1:44">
      <c r="L99" s="2"/>
      <c r="O99" s="2"/>
      <c r="P99" s="10"/>
      <c r="Q99" s="10"/>
      <c r="R99" s="10"/>
      <c r="S99" s="10"/>
      <c r="T99" s="10"/>
      <c r="U99" s="10"/>
      <c r="V99" s="10"/>
      <c r="W99" s="2"/>
      <c r="X99" s="10"/>
      <c r="Y99" s="10"/>
      <c r="Z99" s="10"/>
      <c r="AA99" s="10"/>
      <c r="AB99" s="10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3"/>
      <c r="AP99" s="33"/>
      <c r="AQ99" s="33"/>
      <c r="AR99" s="33"/>
    </row>
    <row r="100" spans="1:44">
      <c r="L100" s="1"/>
      <c r="O100" s="1"/>
      <c r="P100" s="10"/>
      <c r="Q100" s="10"/>
      <c r="R100" s="10"/>
      <c r="S100" s="10"/>
      <c r="T100" s="10"/>
      <c r="U100" s="10"/>
      <c r="V100" s="10"/>
      <c r="W100" s="1"/>
      <c r="X100" s="10"/>
      <c r="Y100" s="10"/>
      <c r="Z100" s="10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</row>
    <row r="101" spans="1:44">
      <c r="L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</row>
    <row r="102" spans="1:44">
      <c r="L102" s="10"/>
      <c r="O102" s="10"/>
      <c r="P102" s="10"/>
      <c r="Q102" s="10"/>
      <c r="R102" s="10"/>
      <c r="S102" s="10"/>
      <c r="T102" s="1"/>
      <c r="U102" s="1"/>
      <c r="V102" s="1"/>
      <c r="W102" s="10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</row>
    <row r="103" spans="1:44">
      <c r="L103" s="10"/>
      <c r="O103" s="10"/>
      <c r="P103" s="10"/>
      <c r="Q103" s="10"/>
      <c r="R103" s="10"/>
      <c r="S103" s="10"/>
      <c r="T103" s="1"/>
      <c r="U103" s="1"/>
      <c r="V103" s="1"/>
      <c r="W103" s="10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</row>
    <row r="104" spans="1:44">
      <c r="L104" s="10"/>
      <c r="O104" s="10"/>
      <c r="P104" s="10"/>
      <c r="Q104" s="10"/>
      <c r="R104" s="10"/>
      <c r="S104" s="10"/>
      <c r="T104" s="1"/>
      <c r="U104" s="1"/>
      <c r="V104" s="1"/>
      <c r="W104" s="10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</row>
    <row r="105" spans="1:44">
      <c r="L105" s="10"/>
      <c r="O105" s="10"/>
      <c r="P105" s="10"/>
      <c r="Q105" s="10"/>
      <c r="R105" s="10"/>
      <c r="S105" s="10"/>
      <c r="T105" s="1"/>
      <c r="U105" s="1"/>
      <c r="V105" s="1"/>
      <c r="W105" s="10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  <c r="AO105" s="33"/>
      <c r="AP105" s="33"/>
      <c r="AQ105" s="33"/>
      <c r="AR105" s="33"/>
    </row>
    <row r="106" spans="1:44">
      <c r="L106" s="1"/>
      <c r="O106" s="1"/>
      <c r="P106" s="1"/>
      <c r="Q106" s="1"/>
      <c r="R106" s="10"/>
      <c r="S106" s="10"/>
      <c r="T106" s="10"/>
      <c r="U106" s="1"/>
      <c r="V106" s="1"/>
      <c r="W106" s="1"/>
    </row>
    <row r="107" spans="1:44">
      <c r="R107" s="10"/>
      <c r="S107" s="10"/>
      <c r="T107" s="10"/>
      <c r="U107" s="3"/>
      <c r="V107" s="3"/>
      <c r="X107" s="3"/>
      <c r="Y107" s="3"/>
      <c r="Z107" s="3"/>
      <c r="AA107" s="3"/>
      <c r="AB107" s="3"/>
      <c r="AM107" s="49"/>
      <c r="AN107" s="49"/>
      <c r="AO107" s="49"/>
      <c r="AP107" s="49"/>
      <c r="AQ107" s="49"/>
      <c r="AR107" s="49"/>
    </row>
    <row r="108" spans="1:44">
      <c r="R108" s="10"/>
      <c r="S108" s="10"/>
      <c r="T108" s="10"/>
      <c r="U108" s="4"/>
      <c r="V108" s="4"/>
    </row>
    <row r="109" spans="1:44">
      <c r="R109" s="10"/>
      <c r="S109" s="10"/>
      <c r="T109" s="10"/>
      <c r="U109" s="4"/>
      <c r="V109" s="4"/>
    </row>
    <row r="110" spans="1:44">
      <c r="R110" s="10"/>
      <c r="S110" s="10"/>
      <c r="T110" s="10"/>
      <c r="U110" s="4"/>
      <c r="V110" s="4"/>
    </row>
    <row r="111" spans="1:44">
      <c r="A111" s="3"/>
      <c r="B111" s="5"/>
      <c r="C111" s="5"/>
      <c r="D111" s="5"/>
      <c r="E111" s="5"/>
      <c r="F111" s="5"/>
      <c r="G111" s="5"/>
      <c r="H111" s="6"/>
      <c r="I111" s="6"/>
      <c r="J111" s="6"/>
      <c r="K111" s="6"/>
      <c r="L111" s="2"/>
      <c r="M111" s="2"/>
      <c r="N111" s="2"/>
      <c r="O111" s="2"/>
      <c r="P111" s="10"/>
      <c r="Q111" s="10"/>
      <c r="R111" s="10"/>
      <c r="S111" s="10"/>
      <c r="T111" s="10"/>
      <c r="U111" s="10"/>
      <c r="V111" s="10"/>
      <c r="W111" s="2"/>
      <c r="X111" s="10"/>
      <c r="Y111" s="10"/>
      <c r="Z111" s="10"/>
      <c r="AA111" s="10"/>
      <c r="AB111" s="10"/>
    </row>
    <row r="117" spans="9:44"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</row>
    <row r="118" spans="9:44"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</row>
    <row r="119" spans="9:44"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</row>
    <row r="120" spans="9:44"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</row>
    <row r="121" spans="9:44"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</row>
    <row r="122" spans="9:44"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</row>
    <row r="123" spans="9:44"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</row>
    <row r="124" spans="9:44"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</row>
    <row r="125" spans="9:44"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</row>
    <row r="126" spans="9:44"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</row>
    <row r="127" spans="9:44"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</row>
    <row r="128" spans="9:44"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</row>
    <row r="129" spans="9:44"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</row>
    <row r="130" spans="9:44"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</row>
    <row r="131" spans="9:44"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</row>
    <row r="132" spans="9:44"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</row>
    <row r="133" spans="9:44"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</row>
    <row r="134" spans="9:44"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</row>
    <row r="135" spans="9:44"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</row>
    <row r="136" spans="9:44"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</row>
    <row r="137" spans="9:44"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</row>
    <row r="138" spans="9:44"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</row>
    <row r="139" spans="9:44"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</row>
    <row r="140" spans="9:44"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</row>
    <row r="141" spans="9:44"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</row>
    <row r="142" spans="9:44"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</row>
    <row r="143" spans="9:44"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</row>
    <row r="144" spans="9:44">
      <c r="AM144" s="54"/>
      <c r="AN144" s="54"/>
      <c r="AO144" s="54"/>
      <c r="AP144" s="54"/>
      <c r="AQ144" s="54"/>
      <c r="AR144" s="54"/>
    </row>
    <row r="145" spans="1:44">
      <c r="AM145" s="54"/>
      <c r="AN145" s="54"/>
      <c r="AO145" s="54"/>
      <c r="AP145" s="54"/>
      <c r="AQ145" s="54"/>
      <c r="AR145" s="54"/>
    </row>
    <row r="146" spans="1:44">
      <c r="AM146" s="54"/>
      <c r="AN146" s="54"/>
      <c r="AO146" s="54"/>
      <c r="AP146" s="54"/>
      <c r="AQ146" s="54"/>
      <c r="AR146" s="54"/>
    </row>
    <row r="147" spans="1:44">
      <c r="AM147" s="54"/>
      <c r="AN147" s="54"/>
      <c r="AO147" s="54"/>
      <c r="AP147" s="54"/>
      <c r="AQ147" s="54"/>
      <c r="AR147" s="54"/>
    </row>
    <row r="148" spans="1:44">
      <c r="AM148" s="54"/>
      <c r="AN148" s="54"/>
      <c r="AO148" s="54"/>
      <c r="AP148" s="54"/>
      <c r="AQ148" s="54"/>
      <c r="AR148" s="54"/>
    </row>
    <row r="151" spans="1:44"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</row>
    <row r="152" spans="1:44"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</row>
    <row r="153" spans="1:44"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</row>
    <row r="154" spans="1:44">
      <c r="A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</row>
    <row r="155" spans="1:44">
      <c r="A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</row>
    <row r="156" spans="1:44">
      <c r="A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</row>
    <row r="157" spans="1:44">
      <c r="A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</row>
    <row r="158" spans="1:44">
      <c r="A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</row>
    <row r="159" spans="1:44">
      <c r="A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</row>
    <row r="160" spans="1:44">
      <c r="A160" s="10"/>
      <c r="B160" s="50"/>
      <c r="C160" s="50"/>
      <c r="D160" s="50"/>
      <c r="E160" s="50"/>
      <c r="F160" s="50"/>
      <c r="G160" s="50"/>
      <c r="H160" s="5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</row>
    <row r="161" spans="1:44">
      <c r="A161" s="10"/>
      <c r="B161" s="50"/>
      <c r="C161" s="50"/>
      <c r="D161" s="50"/>
      <c r="E161" s="50"/>
      <c r="F161" s="50"/>
      <c r="G161" s="50"/>
      <c r="H161" s="5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</row>
    <row r="162" spans="1:44">
      <c r="A162" s="10"/>
      <c r="B162" s="50"/>
      <c r="C162" s="50"/>
      <c r="D162" s="50"/>
      <c r="E162" s="50"/>
      <c r="F162" s="50"/>
      <c r="G162" s="50"/>
      <c r="H162" s="5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</row>
    <row r="163" spans="1:44">
      <c r="A163" s="10"/>
      <c r="B163" s="50"/>
      <c r="C163" s="50"/>
      <c r="D163" s="50"/>
      <c r="E163" s="50"/>
      <c r="F163" s="50"/>
      <c r="G163" s="50"/>
      <c r="H163" s="5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</row>
    <row r="164" spans="1:44">
      <c r="A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</row>
    <row r="165" spans="1:44">
      <c r="A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</row>
    <row r="166" spans="1:44">
      <c r="A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</row>
    <row r="167" spans="1:44">
      <c r="A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</row>
    <row r="168" spans="1:44">
      <c r="A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</row>
    <row r="169" spans="1:44">
      <c r="A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</row>
    <row r="170" spans="1:44">
      <c r="A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</row>
    <row r="171" spans="1:44">
      <c r="A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</row>
    <row r="172" spans="1:44">
      <c r="A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</row>
    <row r="173" spans="1:44">
      <c r="A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</row>
    <row r="174" spans="1:44">
      <c r="A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</row>
    <row r="175" spans="1:4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80" spans="1:44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  <c r="AA180" s="49"/>
      <c r="AB180" s="49"/>
      <c r="AC180" s="49"/>
      <c r="AD180" s="49"/>
      <c r="AE180" s="49"/>
      <c r="AF180" s="49"/>
      <c r="AG180" s="49"/>
      <c r="AH180" s="49"/>
      <c r="AI180" s="49"/>
      <c r="AJ180" s="49"/>
      <c r="AK180" s="49"/>
      <c r="AL180" s="49"/>
    </row>
    <row r="181" spans="1:44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  <c r="AA181" s="49"/>
      <c r="AB181" s="49"/>
      <c r="AC181" s="49"/>
      <c r="AD181" s="49"/>
      <c r="AE181" s="49"/>
      <c r="AF181" s="49"/>
      <c r="AG181" s="49"/>
      <c r="AH181" s="49"/>
      <c r="AI181" s="49"/>
      <c r="AJ181" s="49"/>
      <c r="AK181" s="49"/>
      <c r="AL181" s="49"/>
    </row>
    <row r="182" spans="1:44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49"/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</row>
    <row r="183" spans="1:44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  <c r="AA183" s="49"/>
      <c r="AB183" s="49"/>
      <c r="AC183" s="49"/>
      <c r="AD183" s="49"/>
      <c r="AE183" s="49"/>
      <c r="AF183" s="49"/>
      <c r="AG183" s="49"/>
      <c r="AH183" s="49"/>
      <c r="AI183" s="49"/>
      <c r="AJ183" s="49"/>
      <c r="AK183" s="49"/>
      <c r="AL183" s="49"/>
    </row>
    <row r="184" spans="1:44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  <c r="AA184" s="49"/>
      <c r="AB184" s="49"/>
      <c r="AC184" s="49"/>
      <c r="AD184" s="49"/>
      <c r="AE184" s="49"/>
      <c r="AF184" s="49"/>
      <c r="AG184" s="49"/>
      <c r="AH184" s="49"/>
      <c r="AI184" s="49"/>
      <c r="AJ184" s="49"/>
      <c r="AK184" s="49"/>
      <c r="AL184" s="49"/>
    </row>
    <row r="185" spans="1:4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44" ht="13.5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  <c r="AN186" s="33"/>
      <c r="AO186" s="33"/>
      <c r="AP186" s="33"/>
      <c r="AQ186" s="33"/>
      <c r="AR186" s="33"/>
    </row>
    <row r="187" spans="1:44" ht="13.5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  <c r="AN187" s="33"/>
      <c r="AO187" s="33"/>
      <c r="AP187" s="33"/>
      <c r="AQ187" s="33"/>
      <c r="AR187" s="33"/>
    </row>
    <row r="188" spans="1:44" ht="13.5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  <c r="AO188" s="33"/>
      <c r="AP188" s="33"/>
      <c r="AQ188" s="33"/>
      <c r="AR188" s="33"/>
    </row>
    <row r="189" spans="1:44" ht="13.5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  <c r="AL189" s="33"/>
      <c r="AM189" s="33"/>
      <c r="AN189" s="33"/>
      <c r="AO189" s="33"/>
      <c r="AP189" s="33"/>
      <c r="AQ189" s="33"/>
      <c r="AR189" s="33"/>
    </row>
    <row r="190" spans="1:44" ht="13.5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3"/>
      <c r="AL190" s="33"/>
      <c r="AM190" s="33"/>
      <c r="AN190" s="33"/>
      <c r="AO190" s="33"/>
      <c r="AP190" s="33"/>
      <c r="AQ190" s="33"/>
      <c r="AR190" s="33"/>
    </row>
    <row r="191" spans="1:44" ht="13.5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/>
      <c r="AN191" s="33"/>
      <c r="AO191" s="33"/>
      <c r="AP191" s="33"/>
      <c r="AQ191" s="33"/>
      <c r="AR191" s="33"/>
    </row>
    <row r="192" spans="1:44" ht="13.5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  <c r="AN192" s="33"/>
      <c r="AO192" s="33"/>
      <c r="AP192" s="33"/>
      <c r="AQ192" s="33"/>
      <c r="AR192" s="33"/>
    </row>
    <row r="193" spans="1:44" ht="13.5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  <c r="AO193" s="33"/>
      <c r="AP193" s="33"/>
      <c r="AQ193" s="33"/>
      <c r="AR193" s="33"/>
    </row>
    <row r="194" spans="1:44" ht="13.5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  <c r="AO194" s="33"/>
      <c r="AP194" s="33"/>
      <c r="AQ194" s="33"/>
      <c r="AR194" s="33"/>
    </row>
    <row r="195" spans="1:44" ht="13.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  <c r="AO195" s="33"/>
      <c r="AP195" s="33"/>
      <c r="AQ195" s="33"/>
      <c r="AR195" s="33"/>
    </row>
    <row r="196" spans="1:44" ht="13.5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  <c r="AM196" s="33"/>
      <c r="AN196" s="33"/>
      <c r="AO196" s="33"/>
      <c r="AP196" s="33"/>
      <c r="AQ196" s="33"/>
      <c r="AR196" s="33"/>
    </row>
    <row r="197" spans="1:44" ht="13.5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  <c r="AN197" s="33"/>
      <c r="AO197" s="33"/>
      <c r="AP197" s="33"/>
      <c r="AQ197" s="33"/>
      <c r="AR197" s="33"/>
    </row>
    <row r="198" spans="1:44" ht="13.5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  <c r="AN198" s="33"/>
      <c r="AO198" s="33"/>
      <c r="AP198" s="33"/>
      <c r="AQ198" s="33"/>
      <c r="AR198" s="33"/>
    </row>
    <row r="199" spans="1:44" ht="13.5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  <c r="AN199" s="33"/>
      <c r="AO199" s="33"/>
      <c r="AP199" s="33"/>
      <c r="AQ199" s="33"/>
      <c r="AR199" s="33"/>
    </row>
    <row r="200" spans="1:44" ht="13.5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  <c r="AM200" s="33"/>
      <c r="AN200" s="33"/>
      <c r="AO200" s="33"/>
      <c r="AP200" s="33"/>
      <c r="AQ200" s="33"/>
      <c r="AR200" s="33"/>
    </row>
    <row r="201" spans="1:44" ht="13.5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  <c r="AL201" s="33"/>
      <c r="AM201" s="33"/>
      <c r="AN201" s="33"/>
      <c r="AO201" s="33"/>
      <c r="AP201" s="33"/>
      <c r="AQ201" s="33"/>
      <c r="AR201" s="33"/>
    </row>
    <row r="202" spans="1:44" ht="13.5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  <c r="AL202" s="33"/>
      <c r="AM202" s="33"/>
      <c r="AN202" s="33"/>
      <c r="AO202" s="33"/>
      <c r="AP202" s="33"/>
      <c r="AQ202" s="33"/>
      <c r="AR202" s="33"/>
    </row>
    <row r="203" spans="1:44" ht="13.5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/>
      <c r="AN203" s="33"/>
      <c r="AO203" s="33"/>
      <c r="AP203" s="33"/>
      <c r="AQ203" s="33"/>
      <c r="AR203" s="33"/>
    </row>
    <row r="204" spans="1:44" ht="13.5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  <c r="AO204" s="33"/>
      <c r="AP204" s="33"/>
      <c r="AQ204" s="33"/>
      <c r="AR204" s="33"/>
    </row>
    <row r="205" spans="1:44" ht="13.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  <c r="AN205" s="33"/>
      <c r="AO205" s="33"/>
      <c r="AP205" s="33"/>
      <c r="AQ205" s="33"/>
      <c r="AR205" s="33"/>
    </row>
    <row r="206" spans="1:44" ht="13.5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  <c r="AO206" s="33"/>
      <c r="AP206" s="33"/>
      <c r="AQ206" s="33"/>
      <c r="AR206" s="33"/>
    </row>
    <row r="207" spans="1:44" ht="13.5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  <c r="AM207" s="33"/>
      <c r="AN207" s="33"/>
      <c r="AO207" s="33"/>
      <c r="AP207" s="33"/>
      <c r="AQ207" s="33"/>
      <c r="AR207" s="33"/>
    </row>
    <row r="208" spans="1:44" ht="13.5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  <c r="AM208" s="33"/>
      <c r="AN208" s="33"/>
      <c r="AO208" s="33"/>
      <c r="AP208" s="33"/>
      <c r="AQ208" s="33"/>
      <c r="AR208" s="33"/>
    </row>
    <row r="209" spans="1:44" ht="13.5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  <c r="AM209" s="33"/>
      <c r="AN209" s="33"/>
      <c r="AO209" s="33"/>
      <c r="AP209" s="33"/>
      <c r="AQ209" s="33"/>
      <c r="AR209" s="33"/>
    </row>
    <row r="210" spans="1:44" ht="13.5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/>
      <c r="AN210" s="33"/>
      <c r="AO210" s="33"/>
      <c r="AP210" s="33"/>
      <c r="AQ210" s="33"/>
      <c r="AR210" s="33"/>
    </row>
    <row r="211" spans="1:44" ht="13.5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  <c r="AN211" s="33"/>
      <c r="AO211" s="33"/>
      <c r="AP211" s="33"/>
      <c r="AQ211" s="33"/>
      <c r="AR211" s="33"/>
    </row>
    <row r="212" spans="1:44" ht="13.5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  <c r="AN212" s="33"/>
      <c r="AO212" s="33"/>
      <c r="AP212" s="33"/>
      <c r="AQ212" s="33"/>
      <c r="AR212" s="33"/>
    </row>
    <row r="213" spans="1:44" ht="13.5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  <c r="AL213" s="33"/>
      <c r="AM213" s="33"/>
      <c r="AN213" s="33"/>
      <c r="AO213" s="33"/>
      <c r="AP213" s="33"/>
      <c r="AQ213" s="33"/>
      <c r="AR213" s="33"/>
    </row>
    <row r="214" spans="1:44" ht="13.5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/>
      <c r="AN214" s="33"/>
      <c r="AO214" s="33"/>
      <c r="AP214" s="33"/>
      <c r="AQ214" s="33"/>
      <c r="AR214" s="33"/>
    </row>
    <row r="215" spans="1:44" ht="13.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/>
      <c r="AN215" s="33"/>
      <c r="AO215" s="33"/>
      <c r="AP215" s="33"/>
      <c r="AQ215" s="33"/>
      <c r="AR215" s="33"/>
    </row>
    <row r="216" spans="1:44" ht="13.5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  <c r="AM216" s="33"/>
      <c r="AN216" s="33"/>
      <c r="AO216" s="33"/>
      <c r="AP216" s="33"/>
      <c r="AQ216" s="33"/>
      <c r="AR216" s="33"/>
    </row>
    <row r="217" spans="1:44" ht="13.5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  <c r="AN217" s="33"/>
      <c r="AO217" s="33"/>
      <c r="AP217" s="33"/>
      <c r="AQ217" s="33"/>
      <c r="AR217" s="33"/>
    </row>
    <row r="218" spans="1:44" ht="13.5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  <c r="AO218" s="33"/>
      <c r="AP218" s="33"/>
      <c r="AQ218" s="33"/>
      <c r="AR218" s="33"/>
    </row>
    <row r="219" spans="1:44" ht="13.5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  <c r="AM219" s="33"/>
      <c r="AN219" s="33"/>
      <c r="AO219" s="33"/>
      <c r="AP219" s="33"/>
      <c r="AQ219" s="33"/>
      <c r="AR219" s="33"/>
    </row>
    <row r="220" spans="1:44" ht="13.5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  <c r="AO220" s="33"/>
      <c r="AP220" s="33"/>
      <c r="AQ220" s="33"/>
      <c r="AR220" s="33"/>
    </row>
    <row r="221" spans="1:44" ht="13.5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33"/>
      <c r="AM221" s="33"/>
      <c r="AN221" s="33"/>
      <c r="AO221" s="33"/>
      <c r="AP221" s="33"/>
      <c r="AQ221" s="33"/>
      <c r="AR221" s="33"/>
    </row>
    <row r="222" spans="1:44" ht="13.5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  <c r="AL222" s="33"/>
      <c r="AM222" s="33"/>
      <c r="AN222" s="33"/>
      <c r="AO222" s="33"/>
      <c r="AP222" s="33"/>
      <c r="AQ222" s="33"/>
      <c r="AR222" s="33"/>
    </row>
    <row r="223" spans="1:44" ht="13.5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  <c r="AL223" s="33"/>
      <c r="AM223" s="33"/>
      <c r="AN223" s="33"/>
      <c r="AO223" s="33"/>
      <c r="AP223" s="33"/>
      <c r="AQ223" s="33"/>
      <c r="AR223" s="33"/>
    </row>
    <row r="224" spans="1:44" ht="13.5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33"/>
      <c r="AM224" s="33"/>
      <c r="AN224" s="33"/>
      <c r="AO224" s="33"/>
      <c r="AP224" s="33"/>
      <c r="AQ224" s="33"/>
      <c r="AR224" s="33"/>
    </row>
    <row r="225" spans="1:44" ht="13.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33"/>
      <c r="AL225" s="33"/>
      <c r="AM225" s="33"/>
      <c r="AN225" s="33"/>
      <c r="AO225" s="33"/>
      <c r="AP225" s="33"/>
      <c r="AQ225" s="33"/>
      <c r="AR225" s="33"/>
    </row>
    <row r="226" spans="1:44" ht="13.5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  <c r="AK226" s="33"/>
      <c r="AL226" s="33"/>
      <c r="AM226" s="33"/>
      <c r="AN226" s="33"/>
      <c r="AO226" s="33"/>
      <c r="AP226" s="33"/>
      <c r="AQ226" s="33"/>
      <c r="AR226" s="33"/>
    </row>
    <row r="227" spans="1:44" ht="13.5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  <c r="AL227" s="33"/>
      <c r="AM227" s="33"/>
      <c r="AN227" s="33"/>
      <c r="AO227" s="33"/>
      <c r="AP227" s="33"/>
      <c r="AQ227" s="33"/>
      <c r="AR227" s="33"/>
    </row>
    <row r="228" spans="1:44" ht="13.5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  <c r="AL228" s="33"/>
      <c r="AM228" s="33"/>
      <c r="AN228" s="33"/>
      <c r="AO228" s="33"/>
      <c r="AP228" s="33"/>
      <c r="AQ228" s="33"/>
      <c r="AR228" s="33"/>
    </row>
    <row r="229" spans="1:44" ht="13.5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  <c r="AL229" s="33"/>
      <c r="AM229" s="33"/>
      <c r="AN229" s="33"/>
      <c r="AO229" s="33"/>
      <c r="AP229" s="33"/>
      <c r="AQ229" s="33"/>
      <c r="AR229" s="33"/>
    </row>
    <row r="230" spans="1:44" ht="13.5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  <c r="AL230" s="33"/>
      <c r="AM230" s="33"/>
      <c r="AN230" s="33"/>
      <c r="AO230" s="33"/>
      <c r="AP230" s="33"/>
      <c r="AQ230" s="33"/>
      <c r="AR230" s="33"/>
    </row>
    <row r="231" spans="1:44" ht="13.5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3"/>
      <c r="AL231" s="33"/>
      <c r="AM231" s="33"/>
      <c r="AN231" s="33"/>
      <c r="AO231" s="33"/>
      <c r="AP231" s="33"/>
      <c r="AQ231" s="33"/>
      <c r="AR231" s="33"/>
    </row>
    <row r="232" spans="1:44" ht="13.5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33"/>
      <c r="AL232" s="33"/>
      <c r="AM232" s="33"/>
      <c r="AN232" s="33"/>
      <c r="AO232" s="33"/>
      <c r="AP232" s="33"/>
      <c r="AQ232" s="33"/>
      <c r="AR232" s="33"/>
    </row>
    <row r="233" spans="1:44" ht="13.5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  <c r="AL233" s="33"/>
      <c r="AM233" s="33"/>
      <c r="AN233" s="33"/>
      <c r="AO233" s="33"/>
      <c r="AP233" s="33"/>
      <c r="AQ233" s="33"/>
      <c r="AR233" s="33"/>
    </row>
    <row r="234" spans="1:44" ht="13.5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  <c r="AK234" s="33"/>
      <c r="AL234" s="33"/>
      <c r="AM234" s="33"/>
      <c r="AN234" s="33"/>
      <c r="AO234" s="33"/>
      <c r="AP234" s="33"/>
      <c r="AQ234" s="33"/>
      <c r="AR234" s="33"/>
    </row>
    <row r="235" spans="1:44" ht="13.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  <c r="AK235" s="33"/>
      <c r="AL235" s="33"/>
      <c r="AM235" s="33"/>
      <c r="AN235" s="33"/>
      <c r="AO235" s="33"/>
      <c r="AP235" s="33"/>
      <c r="AQ235" s="33"/>
      <c r="AR235" s="33"/>
    </row>
    <row r="236" spans="1:44" ht="13.5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  <c r="AK236" s="33"/>
      <c r="AL236" s="33"/>
      <c r="AM236" s="33"/>
      <c r="AN236" s="33"/>
      <c r="AO236" s="33"/>
      <c r="AP236" s="33"/>
      <c r="AQ236" s="33"/>
      <c r="AR236" s="33"/>
    </row>
    <row r="237" spans="1:44" ht="13.5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  <c r="AI237" s="33"/>
      <c r="AJ237" s="33"/>
      <c r="AK237" s="33"/>
      <c r="AL237" s="33"/>
      <c r="AM237" s="33"/>
      <c r="AN237" s="33"/>
      <c r="AO237" s="33"/>
      <c r="AP237" s="33"/>
      <c r="AQ237" s="33"/>
      <c r="AR237" s="33"/>
    </row>
    <row r="238" spans="1:44" ht="13.5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  <c r="AJ238" s="33"/>
      <c r="AK238" s="33"/>
      <c r="AL238" s="33"/>
      <c r="AM238" s="33"/>
      <c r="AN238" s="33"/>
      <c r="AO238" s="33"/>
      <c r="AP238" s="33"/>
      <c r="AQ238" s="33"/>
      <c r="AR238" s="33"/>
    </row>
    <row r="239" spans="1:44" ht="13.5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  <c r="AJ239" s="33"/>
      <c r="AK239" s="33"/>
      <c r="AL239" s="33"/>
      <c r="AM239" s="33"/>
      <c r="AN239" s="33"/>
      <c r="AO239" s="33"/>
      <c r="AP239" s="33"/>
      <c r="AQ239" s="33"/>
      <c r="AR239" s="33"/>
    </row>
    <row r="240" spans="1:44" ht="13.5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  <c r="AK240" s="33"/>
      <c r="AL240" s="33"/>
      <c r="AM240" s="33"/>
      <c r="AN240" s="33"/>
      <c r="AO240" s="33"/>
      <c r="AP240" s="33"/>
      <c r="AQ240" s="33"/>
      <c r="AR240" s="33"/>
    </row>
    <row r="241" spans="1:44" ht="13.5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33"/>
      <c r="AL241" s="33"/>
      <c r="AM241" s="33"/>
      <c r="AN241" s="33"/>
      <c r="AO241" s="33"/>
      <c r="AP241" s="33"/>
      <c r="AQ241" s="33"/>
      <c r="AR241" s="33"/>
    </row>
    <row r="242" spans="1:44" ht="13.5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  <c r="AL242" s="33"/>
      <c r="AM242" s="33"/>
      <c r="AN242" s="33"/>
      <c r="AO242" s="33"/>
      <c r="AP242" s="33"/>
      <c r="AQ242" s="33"/>
      <c r="AR242" s="33"/>
    </row>
    <row r="243" spans="1:44" ht="13.5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  <c r="AK243" s="33"/>
      <c r="AL243" s="33"/>
      <c r="AM243" s="33"/>
      <c r="AN243" s="33"/>
      <c r="AO243" s="33"/>
      <c r="AP243" s="33"/>
      <c r="AQ243" s="33"/>
      <c r="AR243" s="33"/>
    </row>
    <row r="244" spans="1:44" ht="13.5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3"/>
      <c r="AL244" s="33"/>
      <c r="AM244" s="33"/>
      <c r="AN244" s="33"/>
      <c r="AO244" s="33"/>
      <c r="AP244" s="33"/>
      <c r="AQ244" s="33"/>
      <c r="AR244" s="33"/>
    </row>
    <row r="245" spans="1:44" ht="13.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3"/>
      <c r="AL245" s="33"/>
      <c r="AM245" s="33"/>
      <c r="AN245" s="33"/>
      <c r="AO245" s="33"/>
      <c r="AP245" s="33"/>
      <c r="AQ245" s="33"/>
      <c r="AR245" s="33"/>
    </row>
    <row r="246" spans="1:44" ht="13.5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  <c r="AK246" s="33"/>
      <c r="AL246" s="33"/>
      <c r="AM246" s="33"/>
      <c r="AN246" s="33"/>
      <c r="AO246" s="33"/>
      <c r="AP246" s="33"/>
      <c r="AQ246" s="33"/>
      <c r="AR246" s="33"/>
    </row>
    <row r="247" spans="1:4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4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51" spans="1:44">
      <c r="AC251" s="3"/>
      <c r="AI251" s="3"/>
    </row>
    <row r="252" spans="1:44">
      <c r="AC252" s="3"/>
      <c r="AI252" s="3"/>
    </row>
    <row r="255" spans="1:44"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</row>
    <row r="256" spans="1:44"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</row>
    <row r="257" spans="29:44"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</row>
    <row r="258" spans="29:44"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</row>
    <row r="259" spans="29:44"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</row>
    <row r="260" spans="29:44"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</row>
    <row r="261" spans="29:44"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</row>
    <row r="262" spans="29:44"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</row>
    <row r="267" spans="29:44">
      <c r="AC267" s="3"/>
      <c r="AI267" s="3"/>
    </row>
    <row r="269" spans="29:44">
      <c r="AC269" s="2"/>
      <c r="AD269" s="2"/>
      <c r="AE269" s="2"/>
      <c r="AI269" s="2"/>
    </row>
    <row r="271" spans="29:44">
      <c r="AC271" s="3"/>
      <c r="AD271" s="3"/>
      <c r="AE271" s="3"/>
      <c r="AF271" s="3"/>
      <c r="AG271" s="3"/>
      <c r="AH271" s="3"/>
      <c r="AI271" s="3"/>
      <c r="AJ271" s="3"/>
      <c r="AK271" s="3"/>
      <c r="AL271" s="3"/>
    </row>
    <row r="276" spans="29:44">
      <c r="AC276" s="3"/>
      <c r="AD276" s="3"/>
      <c r="AE276" s="3"/>
      <c r="AF276" s="7"/>
      <c r="AG276" s="7"/>
      <c r="AH276" s="7"/>
      <c r="AI276" s="3"/>
      <c r="AJ276" s="7"/>
      <c r="AK276" s="7"/>
      <c r="AL276" s="7"/>
    </row>
    <row r="277" spans="29:44">
      <c r="AF277" s="4"/>
      <c r="AG277" s="4"/>
      <c r="AH277" s="4"/>
      <c r="AJ277" s="4"/>
      <c r="AK277" s="4"/>
      <c r="AL277" s="4"/>
    </row>
    <row r="278" spans="29:44">
      <c r="AF278" s="4"/>
      <c r="AG278" s="4"/>
      <c r="AH278" s="4"/>
      <c r="AJ278" s="4"/>
      <c r="AK278" s="4"/>
      <c r="AL278" s="4"/>
    </row>
    <row r="281" spans="29:44">
      <c r="AC281" s="3"/>
      <c r="AD281" s="3"/>
      <c r="AE281" s="3"/>
      <c r="AF281" s="7"/>
      <c r="AG281" s="7"/>
      <c r="AH281" s="7"/>
      <c r="AI281" s="3"/>
      <c r="AJ281" s="7"/>
      <c r="AK281" s="7"/>
      <c r="AL281" s="7"/>
    </row>
    <row r="282" spans="29:44">
      <c r="AF282" s="4"/>
      <c r="AG282" s="4"/>
      <c r="AH282" s="4"/>
      <c r="AJ282" s="4"/>
      <c r="AK282" s="4"/>
      <c r="AL282" s="4"/>
    </row>
    <row r="283" spans="29:44">
      <c r="AF283" s="4"/>
      <c r="AG283" s="4"/>
      <c r="AH283" s="4"/>
      <c r="AJ283" s="4"/>
      <c r="AK283" s="4"/>
      <c r="AL283" s="4"/>
    </row>
    <row r="284" spans="29:44">
      <c r="AF284" s="4"/>
      <c r="AG284" s="4"/>
      <c r="AH284" s="4"/>
      <c r="AJ284" s="4"/>
      <c r="AK284" s="4"/>
      <c r="AL284" s="4"/>
    </row>
    <row r="286" spans="29:44">
      <c r="AC286" s="33"/>
      <c r="AD286" s="33"/>
      <c r="AE286" s="33"/>
      <c r="AF286" s="33"/>
      <c r="AG286" s="33"/>
      <c r="AH286" s="33"/>
      <c r="AI286" s="33"/>
      <c r="AJ286" s="33"/>
      <c r="AK286" s="33"/>
      <c r="AL286" s="33"/>
      <c r="AM286" s="33"/>
      <c r="AN286" s="33"/>
      <c r="AO286" s="33"/>
      <c r="AP286" s="33"/>
      <c r="AQ286" s="33"/>
      <c r="AR286" s="33"/>
    </row>
    <row r="287" spans="29:44">
      <c r="AC287" s="33"/>
      <c r="AD287" s="33"/>
      <c r="AE287" s="33"/>
      <c r="AF287" s="33"/>
      <c r="AG287" s="33"/>
      <c r="AH287" s="33"/>
      <c r="AI287" s="33"/>
      <c r="AJ287" s="33"/>
      <c r="AK287" s="33"/>
      <c r="AL287" s="33"/>
      <c r="AM287" s="33"/>
      <c r="AN287" s="33"/>
      <c r="AO287" s="33"/>
      <c r="AP287" s="33"/>
      <c r="AQ287" s="33"/>
      <c r="AR287" s="33"/>
    </row>
    <row r="288" spans="29:44">
      <c r="AC288" s="33"/>
      <c r="AD288" s="33"/>
      <c r="AE288" s="33"/>
      <c r="AF288" s="33"/>
      <c r="AG288" s="33"/>
      <c r="AH288" s="33"/>
      <c r="AI288" s="33"/>
      <c r="AJ288" s="33"/>
      <c r="AK288" s="33"/>
      <c r="AL288" s="33"/>
      <c r="AM288" s="33"/>
      <c r="AN288" s="33"/>
      <c r="AO288" s="33"/>
      <c r="AP288" s="33"/>
      <c r="AQ288" s="33"/>
      <c r="AR288" s="33"/>
    </row>
    <row r="289" spans="1:38">
      <c r="AC289" s="8"/>
      <c r="AD289" s="8"/>
      <c r="AE289" s="8"/>
      <c r="AI289" s="8"/>
    </row>
    <row r="296" spans="1:38">
      <c r="AC296" s="3"/>
      <c r="AD296" s="3"/>
      <c r="AE296" s="3"/>
      <c r="AF296" s="7"/>
      <c r="AG296" s="7"/>
      <c r="AH296" s="7"/>
      <c r="AI296" s="3"/>
      <c r="AJ296" s="7"/>
      <c r="AK296" s="7"/>
      <c r="AL296" s="7"/>
    </row>
    <row r="297" spans="1:38">
      <c r="AE297" s="4"/>
      <c r="AF297" s="4"/>
      <c r="AG297" s="4"/>
      <c r="AH297" s="4"/>
      <c r="AJ297" s="4"/>
      <c r="AK297" s="4"/>
      <c r="AL297" s="4"/>
    </row>
    <row r="298" spans="1:38">
      <c r="AE298" s="4"/>
      <c r="AF298" s="4"/>
      <c r="AG298" s="4"/>
      <c r="AH298" s="4"/>
      <c r="AJ298" s="4"/>
      <c r="AK298" s="4"/>
      <c r="AL298" s="4"/>
    </row>
    <row r="299" spans="1:38">
      <c r="AE299" s="4"/>
      <c r="AF299" s="4"/>
      <c r="AG299" s="4"/>
      <c r="AH299" s="4"/>
      <c r="AJ299" s="4"/>
      <c r="AK299" s="4"/>
      <c r="AL299" s="4"/>
    </row>
    <row r="301" spans="1:38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1"/>
      <c r="P301" s="1"/>
      <c r="Q301" s="1"/>
      <c r="R301" s="10"/>
      <c r="S301" s="10"/>
      <c r="T301" s="10"/>
      <c r="U301" s="1"/>
      <c r="V301" s="1"/>
      <c r="W301" s="33"/>
    </row>
    <row r="302" spans="1:38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"/>
      <c r="P302" s="3"/>
      <c r="Q302" s="3"/>
      <c r="R302" s="3"/>
      <c r="S302" s="3"/>
      <c r="T302" s="3"/>
      <c r="U302" s="3"/>
      <c r="V302" s="3"/>
      <c r="W302" s="33"/>
      <c r="X302" s="3"/>
      <c r="Y302" s="3"/>
      <c r="Z302" s="3"/>
      <c r="AA302" s="3"/>
      <c r="AB302" s="3"/>
      <c r="AC302" s="3"/>
      <c r="AD302" s="3"/>
      <c r="AE302" s="3"/>
      <c r="AF302" s="7"/>
      <c r="AG302" s="7"/>
      <c r="AH302" s="7"/>
      <c r="AI302" s="3"/>
      <c r="AJ302" s="7"/>
      <c r="AK302" s="7"/>
      <c r="AL302" s="7"/>
    </row>
    <row r="303" spans="1:38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4"/>
      <c r="P303" s="4"/>
      <c r="Q303" s="1"/>
      <c r="R303" s="1"/>
      <c r="S303" s="1"/>
      <c r="T303" s="1"/>
      <c r="U303" s="1"/>
      <c r="V303" s="1"/>
      <c r="W303" s="33"/>
      <c r="AF303" s="4"/>
      <c r="AG303" s="4"/>
      <c r="AH303" s="4"/>
      <c r="AJ303" s="4"/>
      <c r="AK303" s="4"/>
      <c r="AL303" s="4"/>
    </row>
    <row r="304" spans="1:38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4"/>
      <c r="P304" s="4"/>
      <c r="Q304" s="1"/>
      <c r="R304" s="1"/>
      <c r="S304" s="1"/>
      <c r="T304" s="1"/>
      <c r="U304" s="1"/>
      <c r="V304" s="1"/>
      <c r="W304" s="33"/>
      <c r="AF304" s="4"/>
      <c r="AG304" s="4"/>
      <c r="AH304" s="4"/>
      <c r="AJ304" s="4"/>
      <c r="AK304" s="4"/>
      <c r="AL304" s="4"/>
    </row>
    <row r="305" spans="1:40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4"/>
      <c r="P305" s="4"/>
      <c r="Q305" s="1"/>
      <c r="R305" s="1"/>
      <c r="S305" s="1"/>
      <c r="T305" s="1"/>
      <c r="U305" s="1"/>
      <c r="V305" s="1"/>
      <c r="W305" s="33"/>
      <c r="AF305" s="4"/>
      <c r="AG305" s="4"/>
      <c r="AH305" s="4"/>
      <c r="AJ305" s="4"/>
      <c r="AK305" s="4"/>
      <c r="AL305" s="4"/>
    </row>
    <row r="306" spans="1:40">
      <c r="A306" s="3"/>
      <c r="B306" s="5"/>
      <c r="C306" s="5"/>
      <c r="D306" s="5"/>
      <c r="E306" s="5"/>
      <c r="F306" s="5"/>
      <c r="G306" s="5"/>
      <c r="H306" s="6"/>
      <c r="I306" s="6"/>
      <c r="J306" s="6"/>
      <c r="K306" s="6"/>
      <c r="L306" s="2"/>
      <c r="M306" s="2"/>
      <c r="N306" s="2"/>
      <c r="O306" s="2"/>
      <c r="P306" s="10"/>
      <c r="Q306" s="10"/>
      <c r="R306" s="10"/>
      <c r="S306" s="10"/>
      <c r="T306" s="10"/>
      <c r="U306" s="10"/>
      <c r="V306" s="10"/>
      <c r="W306" s="2"/>
      <c r="X306" s="10"/>
      <c r="Y306" s="10"/>
      <c r="Z306" s="10"/>
      <c r="AA306" s="10"/>
      <c r="AB306" s="10"/>
    </row>
    <row r="307" spans="1:40">
      <c r="A307" s="3"/>
      <c r="B307" s="5"/>
      <c r="C307" s="5"/>
      <c r="D307" s="5"/>
      <c r="E307" s="5"/>
      <c r="F307" s="5"/>
      <c r="G307" s="5"/>
      <c r="H307" s="6"/>
      <c r="I307" s="6"/>
      <c r="J307" s="6"/>
      <c r="K307" s="6"/>
      <c r="L307" s="2"/>
      <c r="M307" s="2"/>
      <c r="N307" s="2"/>
      <c r="O307" s="2"/>
      <c r="P307" s="10"/>
      <c r="Q307" s="10"/>
      <c r="R307" s="10"/>
      <c r="S307" s="10"/>
      <c r="T307" s="10"/>
      <c r="U307" s="10"/>
      <c r="V307" s="10"/>
      <c r="W307" s="2"/>
      <c r="X307" s="10"/>
      <c r="Y307" s="10"/>
      <c r="Z307" s="10"/>
      <c r="AA307" s="10"/>
      <c r="AB307" s="10"/>
    </row>
    <row r="308" spans="1:40">
      <c r="L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  <c r="AH308" s="33"/>
      <c r="AI308" s="33"/>
      <c r="AJ308" s="33"/>
      <c r="AK308" s="33"/>
      <c r="AL308" s="33"/>
      <c r="AM308" s="33"/>
    </row>
    <row r="309" spans="1:40">
      <c r="L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 s="33"/>
      <c r="AI309" s="33"/>
      <c r="AJ309" s="33"/>
      <c r="AK309" s="33"/>
      <c r="AL309" s="33"/>
      <c r="AM309" s="33"/>
    </row>
    <row r="310" spans="1:40">
      <c r="L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  <c r="AH310" s="33"/>
      <c r="AI310" s="33"/>
      <c r="AJ310" s="33"/>
      <c r="AK310" s="33"/>
      <c r="AL310" s="33"/>
      <c r="AM310" s="33"/>
    </row>
    <row r="311" spans="1:40">
      <c r="L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  <c r="AH311" s="33"/>
      <c r="AI311" s="33"/>
      <c r="AJ311" s="33"/>
      <c r="AK311" s="33"/>
      <c r="AL311" s="33"/>
      <c r="AM311" s="33"/>
    </row>
    <row r="312" spans="1:40">
      <c r="L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40">
      <c r="AE313" s="3"/>
      <c r="AF313" s="3"/>
      <c r="AG313" s="3"/>
      <c r="AH313" s="3"/>
      <c r="AJ313" s="3"/>
      <c r="AK313" s="3"/>
      <c r="AL313" s="3"/>
    </row>
    <row r="315" spans="1:40">
      <c r="L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I315" s="2"/>
    </row>
    <row r="316" spans="1:40">
      <c r="R316" s="3"/>
      <c r="S316" s="3"/>
      <c r="T316" s="3"/>
      <c r="U316" s="3"/>
      <c r="V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</row>
    <row r="317" spans="1:40">
      <c r="R317" s="1"/>
      <c r="S317" s="1"/>
      <c r="T317" s="1"/>
      <c r="U317" s="1"/>
      <c r="V317" s="1"/>
      <c r="Z317" s="3"/>
    </row>
    <row r="318" spans="1:40">
      <c r="L318" s="2"/>
      <c r="O318" s="2"/>
      <c r="P318" s="10"/>
      <c r="Q318" s="10"/>
      <c r="R318" s="10"/>
      <c r="S318" s="10"/>
      <c r="T318" s="10"/>
      <c r="U318" s="10"/>
      <c r="V318" s="10"/>
      <c r="W318" s="2"/>
      <c r="X318" s="10"/>
      <c r="Y318" s="10"/>
      <c r="AA318" s="10"/>
      <c r="AB318" s="10"/>
    </row>
    <row r="320" spans="1:40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  <c r="AG320" s="33"/>
      <c r="AH320" s="33"/>
      <c r="AI320" s="33"/>
      <c r="AJ320" s="33"/>
      <c r="AK320" s="33"/>
      <c r="AL320" s="33"/>
      <c r="AM320" s="33"/>
      <c r="AN320" s="33"/>
    </row>
    <row r="321" spans="1:40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 s="33"/>
      <c r="AI321" s="33"/>
      <c r="AJ321" s="33"/>
      <c r="AK321" s="33"/>
      <c r="AL321" s="33"/>
      <c r="AM321" s="33"/>
      <c r="AN321" s="33"/>
    </row>
    <row r="322" spans="1:40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  <c r="AH322" s="33"/>
      <c r="AI322" s="33"/>
      <c r="AJ322" s="33"/>
      <c r="AK322" s="33"/>
      <c r="AL322" s="33"/>
      <c r="AM322" s="33"/>
      <c r="AN322" s="33"/>
    </row>
    <row r="323" spans="1:40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  <c r="AG323" s="33"/>
      <c r="AH323" s="33"/>
      <c r="AI323" s="33"/>
      <c r="AJ323" s="33"/>
      <c r="AK323" s="33"/>
      <c r="AL323" s="33"/>
      <c r="AM323" s="33"/>
      <c r="AN323" s="33"/>
    </row>
    <row r="324" spans="1:40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  <c r="AH324" s="33"/>
      <c r="AI324" s="33"/>
      <c r="AJ324" s="33"/>
      <c r="AK324" s="33"/>
      <c r="AL324" s="33"/>
      <c r="AM324" s="33"/>
      <c r="AN324" s="33"/>
    </row>
    <row r="325" spans="1:40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  <c r="AH325" s="33"/>
      <c r="AI325" s="33"/>
      <c r="AJ325" s="33"/>
      <c r="AK325" s="33"/>
      <c r="AL325" s="33"/>
      <c r="AM325" s="33"/>
      <c r="AN325" s="33"/>
    </row>
    <row r="326" spans="1:40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  <c r="AI326" s="33"/>
      <c r="AJ326" s="33"/>
      <c r="AK326" s="33"/>
      <c r="AL326" s="33"/>
      <c r="AM326" s="33"/>
      <c r="AN326" s="33"/>
    </row>
    <row r="327" spans="1:40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  <c r="AH327" s="33"/>
      <c r="AI327" s="33"/>
      <c r="AJ327" s="33"/>
      <c r="AK327" s="33"/>
      <c r="AL327" s="33"/>
      <c r="AM327" s="33"/>
      <c r="AN327" s="33"/>
    </row>
    <row r="328" spans="1:40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  <c r="AG328" s="33"/>
      <c r="AH328" s="33"/>
      <c r="AI328" s="33"/>
      <c r="AJ328" s="33"/>
      <c r="AK328" s="33"/>
      <c r="AL328" s="33"/>
      <c r="AM328" s="33"/>
      <c r="AN328" s="33"/>
    </row>
    <row r="329" spans="1:40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  <c r="AG329" s="33"/>
      <c r="AH329" s="33"/>
      <c r="AI329" s="33"/>
      <c r="AJ329" s="33"/>
      <c r="AK329" s="33"/>
      <c r="AL329" s="33"/>
      <c r="AM329" s="33"/>
      <c r="AN329" s="33"/>
    </row>
    <row r="330" spans="1:40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  <c r="AG330" s="33"/>
      <c r="AH330" s="33"/>
      <c r="AI330" s="33"/>
      <c r="AJ330" s="33"/>
      <c r="AK330" s="33"/>
      <c r="AL330" s="33"/>
      <c r="AM330" s="33"/>
      <c r="AN330" s="33"/>
    </row>
    <row r="331" spans="1:40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  <c r="AF331" s="33"/>
      <c r="AG331" s="33"/>
      <c r="AH331" s="33"/>
      <c r="AI331" s="33"/>
      <c r="AJ331" s="33"/>
      <c r="AK331" s="33"/>
      <c r="AL331" s="33"/>
      <c r="AM331" s="33"/>
      <c r="AN331" s="33"/>
    </row>
    <row r="332" spans="1:40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  <c r="AG332" s="33"/>
      <c r="AH332" s="33"/>
      <c r="AI332" s="33"/>
      <c r="AJ332" s="33"/>
      <c r="AK332" s="33"/>
      <c r="AL332" s="33"/>
      <c r="AM332" s="33"/>
      <c r="AN332" s="33"/>
    </row>
    <row r="333" spans="1:40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  <c r="AH333" s="33"/>
      <c r="AI333" s="33"/>
      <c r="AJ333" s="33"/>
      <c r="AK333" s="33"/>
      <c r="AL333" s="33"/>
      <c r="AM333" s="33"/>
      <c r="AN333" s="33"/>
    </row>
    <row r="334" spans="1:40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  <c r="AH334" s="33"/>
      <c r="AI334" s="33"/>
      <c r="AJ334" s="33"/>
      <c r="AK334" s="33"/>
      <c r="AL334" s="33"/>
      <c r="AM334" s="33"/>
      <c r="AN334" s="33"/>
    </row>
    <row r="335" spans="1:40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  <c r="AG335" s="33"/>
      <c r="AH335" s="33"/>
      <c r="AI335" s="33"/>
      <c r="AJ335" s="33"/>
      <c r="AK335" s="33"/>
      <c r="AL335" s="33"/>
      <c r="AM335" s="33"/>
      <c r="AN335" s="33"/>
    </row>
    <row r="336" spans="1:40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  <c r="AG336" s="33"/>
      <c r="AH336" s="33"/>
      <c r="AI336" s="33"/>
      <c r="AJ336" s="33"/>
      <c r="AK336" s="33"/>
      <c r="AL336" s="33"/>
      <c r="AM336" s="33"/>
      <c r="AN336" s="33"/>
    </row>
    <row r="337" spans="1:44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  <c r="AG337" s="33"/>
      <c r="AH337" s="33"/>
      <c r="AI337" s="33"/>
      <c r="AJ337" s="33"/>
      <c r="AK337" s="33"/>
      <c r="AL337" s="33"/>
      <c r="AM337" s="33"/>
      <c r="AN337" s="33"/>
    </row>
    <row r="338" spans="1:44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  <c r="AG338" s="33"/>
      <c r="AH338" s="33"/>
      <c r="AI338" s="33"/>
      <c r="AJ338" s="33"/>
      <c r="AK338" s="33"/>
      <c r="AL338" s="33"/>
      <c r="AM338" s="33"/>
      <c r="AN338" s="33"/>
    </row>
    <row r="339" spans="1:44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  <c r="AG339" s="33"/>
      <c r="AH339" s="33"/>
      <c r="AI339" s="33"/>
      <c r="AJ339" s="33"/>
      <c r="AK339" s="33"/>
      <c r="AL339" s="33"/>
      <c r="AM339" s="33"/>
      <c r="AN339" s="33"/>
    </row>
    <row r="340" spans="1:44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  <c r="AH340" s="33"/>
      <c r="AI340" s="33"/>
      <c r="AJ340" s="33"/>
      <c r="AK340" s="33"/>
      <c r="AL340" s="33"/>
      <c r="AM340" s="33"/>
      <c r="AN340" s="33"/>
    </row>
    <row r="341" spans="1:44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  <c r="AH341" s="33"/>
      <c r="AI341" s="33"/>
      <c r="AJ341" s="33"/>
      <c r="AK341" s="33"/>
      <c r="AL341" s="33"/>
      <c r="AM341" s="33"/>
      <c r="AN341" s="33"/>
    </row>
    <row r="342" spans="1:44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  <c r="AG342" s="33"/>
      <c r="AH342" s="33"/>
      <c r="AI342" s="33"/>
      <c r="AJ342" s="33"/>
      <c r="AK342" s="33"/>
      <c r="AL342" s="33"/>
      <c r="AM342" s="33"/>
      <c r="AN342" s="33"/>
    </row>
    <row r="346" spans="1:44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</row>
    <row r="347" spans="1:44">
      <c r="AM347" s="3"/>
      <c r="AN347" s="3"/>
      <c r="AO347" s="3"/>
      <c r="AP347" s="3"/>
      <c r="AQ347" s="3"/>
      <c r="AR347" s="3"/>
    </row>
    <row r="358" spans="1:44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</row>
    <row r="359" spans="1:44">
      <c r="AM359" s="3"/>
      <c r="AN359" s="3"/>
      <c r="AO359" s="3"/>
      <c r="AP359" s="3"/>
      <c r="AQ359" s="3"/>
      <c r="AR359" s="3"/>
    </row>
    <row r="370" spans="1:44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</row>
    <row r="371" spans="1:44">
      <c r="AM371" s="3"/>
      <c r="AN371" s="3"/>
      <c r="AO371" s="3"/>
      <c r="AP371" s="3"/>
      <c r="AQ371" s="3"/>
      <c r="AR371" s="3"/>
    </row>
    <row r="382" spans="1:44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</row>
    <row r="383" spans="1:44">
      <c r="AM383" s="3"/>
      <c r="AN383" s="3"/>
      <c r="AO383" s="3"/>
      <c r="AP383" s="3"/>
      <c r="AQ383" s="3"/>
      <c r="AR383" s="3"/>
    </row>
    <row r="391" spans="1:44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</row>
    <row r="392" spans="1:44">
      <c r="AM392" s="3"/>
      <c r="AN392" s="3"/>
      <c r="AO392" s="3"/>
      <c r="AP392" s="3"/>
      <c r="AQ392" s="3"/>
      <c r="AR392" s="3"/>
    </row>
    <row r="400" spans="1:44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</row>
    <row r="401" spans="1:44">
      <c r="AM401" s="3"/>
      <c r="AN401" s="3"/>
      <c r="AO401" s="3"/>
      <c r="AP401" s="3"/>
      <c r="AQ401" s="3"/>
      <c r="AR401" s="3"/>
    </row>
    <row r="409" spans="1:44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</row>
    <row r="410" spans="1:44">
      <c r="AM410" s="3"/>
      <c r="AN410" s="3"/>
      <c r="AO410" s="3"/>
      <c r="AP410" s="3"/>
      <c r="AQ410" s="3"/>
      <c r="AR410" s="3"/>
    </row>
    <row r="421" spans="1:44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</row>
    <row r="422" spans="1:44">
      <c r="AM422" s="3"/>
      <c r="AN422" s="3"/>
      <c r="AO422" s="3"/>
      <c r="AP422" s="3"/>
      <c r="AQ422" s="3"/>
      <c r="AR422" s="3"/>
    </row>
    <row r="433" spans="1:44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</row>
    <row r="434" spans="1:44">
      <c r="AM434" s="3"/>
      <c r="AN434" s="3"/>
      <c r="AO434" s="3"/>
      <c r="AP434" s="3"/>
      <c r="AQ434" s="3"/>
      <c r="AR434" s="3"/>
    </row>
    <row r="445" spans="1:44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</row>
    <row r="446" spans="1:44">
      <c r="AM446" s="3"/>
      <c r="AN446" s="3"/>
      <c r="AO446" s="3"/>
      <c r="AP446" s="3"/>
      <c r="AQ446" s="3"/>
      <c r="AR446" s="3"/>
    </row>
    <row r="452" spans="1:44">
      <c r="A452" s="56"/>
      <c r="B452" s="56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1"/>
      <c r="Y452" s="51"/>
      <c r="Z452" s="51"/>
      <c r="AA452" s="51"/>
      <c r="AB452" s="51"/>
      <c r="AC452" s="51"/>
      <c r="AD452" s="51"/>
      <c r="AE452" s="51"/>
      <c r="AF452" s="51"/>
      <c r="AG452" s="51"/>
      <c r="AH452" s="51"/>
      <c r="AI452" s="51"/>
      <c r="AJ452" s="51"/>
      <c r="AK452" s="51"/>
      <c r="AL452" s="51"/>
    </row>
    <row r="453" spans="1:44">
      <c r="A453" s="56"/>
      <c r="B453" s="56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1"/>
      <c r="Y453" s="51"/>
      <c r="Z453" s="51"/>
      <c r="AA453" s="51"/>
      <c r="AB453" s="51"/>
      <c r="AC453" s="51"/>
      <c r="AD453" s="51"/>
      <c r="AE453" s="51"/>
      <c r="AF453" s="51"/>
      <c r="AG453" s="51"/>
      <c r="AH453" s="51"/>
      <c r="AI453" s="51"/>
      <c r="AJ453" s="51"/>
      <c r="AK453" s="51"/>
      <c r="AL453" s="51"/>
      <c r="AM453" s="51"/>
      <c r="AN453" s="51"/>
      <c r="AO453" s="51"/>
      <c r="AP453" s="51"/>
      <c r="AQ453" s="51"/>
      <c r="AR453" s="51"/>
    </row>
    <row r="454" spans="1:44">
      <c r="AM454" s="51"/>
      <c r="AN454" s="51"/>
      <c r="AO454" s="51"/>
      <c r="AP454" s="51"/>
      <c r="AQ454" s="51"/>
      <c r="AR454" s="51"/>
    </row>
    <row r="457" spans="1:44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</row>
    <row r="458" spans="1:44">
      <c r="AM458" s="3"/>
      <c r="AN458" s="3"/>
      <c r="AO458" s="3"/>
      <c r="AP458" s="3"/>
      <c r="AQ458" s="3"/>
      <c r="AR458" s="3"/>
    </row>
    <row r="469" spans="1:44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</row>
    <row r="470" spans="1:44">
      <c r="AM470" s="3"/>
      <c r="AN470" s="3"/>
      <c r="AO470" s="3"/>
      <c r="AP470" s="3"/>
      <c r="AQ470" s="3"/>
      <c r="AR470" s="3"/>
    </row>
    <row r="481" spans="1:44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</row>
    <row r="482" spans="1:44">
      <c r="AM482" s="3"/>
      <c r="AN482" s="3"/>
      <c r="AO482" s="3"/>
      <c r="AP482" s="3"/>
      <c r="AQ482" s="3"/>
      <c r="AR482" s="3"/>
    </row>
    <row r="493" spans="1:44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</row>
    <row r="494" spans="1:44">
      <c r="AM494" s="3"/>
      <c r="AN494" s="3"/>
      <c r="AO494" s="3"/>
      <c r="AP494" s="3"/>
      <c r="AQ494" s="3"/>
      <c r="AR494" s="3"/>
    </row>
    <row r="505" spans="1:44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</row>
    <row r="506" spans="1:44">
      <c r="AM506" s="3"/>
      <c r="AN506" s="3"/>
      <c r="AO506" s="3"/>
      <c r="AP506" s="3"/>
      <c r="AQ506" s="3"/>
      <c r="AR506" s="3"/>
    </row>
    <row r="518" spans="1:44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</row>
    <row r="519" spans="1:44">
      <c r="AM519" s="3"/>
      <c r="AN519" s="3"/>
      <c r="AO519" s="3"/>
      <c r="AP519" s="3"/>
      <c r="AQ519" s="3"/>
      <c r="AR519" s="3"/>
    </row>
    <row r="530" spans="1:44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</row>
    <row r="531" spans="1:44">
      <c r="AM531" s="3"/>
      <c r="AN531" s="3"/>
      <c r="AO531" s="3"/>
      <c r="AP531" s="3"/>
      <c r="AQ531" s="3"/>
      <c r="AR531" s="3"/>
    </row>
    <row r="542" spans="1:44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</row>
    <row r="543" spans="1:44">
      <c r="AM543" s="3"/>
      <c r="AN543" s="3"/>
      <c r="AO543" s="3"/>
      <c r="AP543" s="3"/>
      <c r="AQ543" s="3"/>
      <c r="AR543" s="3"/>
    </row>
    <row r="557" spans="1:44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</row>
    <row r="558" spans="1:44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</row>
    <row r="559" spans="1:44">
      <c r="AM559" s="3"/>
      <c r="AN559" s="3"/>
      <c r="AO559" s="3"/>
      <c r="AP559" s="3"/>
      <c r="AQ559" s="3"/>
      <c r="AR559" s="3"/>
    </row>
    <row r="562" spans="1:44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</row>
    <row r="563" spans="1:44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</row>
    <row r="564" spans="1:44">
      <c r="AM564" s="3"/>
      <c r="AN564" s="3"/>
      <c r="AO564" s="3"/>
      <c r="AP564" s="3"/>
      <c r="AQ564" s="3"/>
      <c r="AR564" s="3"/>
    </row>
    <row r="567" spans="1:44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</row>
    <row r="568" spans="1:44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</row>
    <row r="569" spans="1:44">
      <c r="AM569" s="3"/>
      <c r="AN569" s="3"/>
      <c r="AO569" s="3"/>
      <c r="AP569" s="3"/>
      <c r="AQ569" s="3"/>
      <c r="AR569" s="3"/>
    </row>
    <row r="573" spans="1:44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</row>
    <row r="574" spans="1:44">
      <c r="AM574" s="3"/>
      <c r="AN574" s="3"/>
      <c r="AO574" s="3"/>
      <c r="AP574" s="3"/>
      <c r="AQ574" s="3"/>
      <c r="AR574" s="3"/>
    </row>
    <row r="577" spans="1:44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</row>
    <row r="578" spans="1:44">
      <c r="AM578" s="3"/>
      <c r="AN578" s="3"/>
      <c r="AO578" s="3"/>
      <c r="AP578" s="3"/>
      <c r="AQ578" s="3"/>
      <c r="AR578" s="3"/>
    </row>
    <row r="582" spans="1:44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</row>
    <row r="583" spans="1:44">
      <c r="AM583" s="3"/>
      <c r="AN583" s="3"/>
      <c r="AO583" s="3"/>
      <c r="AP583" s="3"/>
      <c r="AQ583" s="3"/>
      <c r="AR583" s="3"/>
    </row>
    <row r="587" spans="1:44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</row>
    <row r="588" spans="1:44">
      <c r="AM588" s="3"/>
      <c r="AN588" s="3"/>
      <c r="AO588" s="3"/>
      <c r="AP588" s="3"/>
      <c r="AQ588" s="3"/>
      <c r="AR588" s="3"/>
    </row>
    <row r="602" spans="1:44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</row>
    <row r="603" spans="1:44">
      <c r="AM603" s="3"/>
      <c r="AN603" s="3"/>
      <c r="AO603" s="3"/>
      <c r="AP603" s="3"/>
      <c r="AQ603" s="3"/>
      <c r="AR603" s="3"/>
    </row>
    <row r="608" spans="1:44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</row>
    <row r="609" spans="1:44">
      <c r="AM609" s="3"/>
      <c r="AN609" s="3"/>
      <c r="AO609" s="3"/>
      <c r="AP609" s="3"/>
      <c r="AQ609" s="3"/>
      <c r="AR609" s="3"/>
    </row>
    <row r="615" spans="1:44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</row>
    <row r="616" spans="1:44">
      <c r="AM616" s="3"/>
      <c r="AN616" s="3"/>
      <c r="AO616" s="3"/>
      <c r="AP616" s="3"/>
      <c r="AQ616" s="3"/>
      <c r="AR616" s="3"/>
    </row>
    <row r="619" spans="1:44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</row>
    <row r="620" spans="1:44">
      <c r="AM620" s="3"/>
      <c r="AN620" s="3"/>
      <c r="AO620" s="3"/>
      <c r="AP620" s="3"/>
      <c r="AQ620" s="3"/>
      <c r="AR620" s="3"/>
    </row>
    <row r="623" spans="1:44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</row>
    <row r="624" spans="1:44">
      <c r="AM624" s="3"/>
      <c r="AN624" s="3"/>
      <c r="AO624" s="3"/>
      <c r="AP624" s="3"/>
      <c r="AQ624" s="3"/>
      <c r="AR624" s="3"/>
    </row>
  </sheetData>
  <phoneticPr fontId="3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5"/>
  <sheetViews>
    <sheetView zoomScale="90" zoomScaleNormal="90" workbookViewId="0">
      <selection activeCell="E13" sqref="E13"/>
    </sheetView>
  </sheetViews>
  <sheetFormatPr defaultRowHeight="13.5"/>
  <cols>
    <col min="2" max="2" width="17.875" customWidth="1"/>
  </cols>
  <sheetData>
    <row r="1" spans="1:17" ht="15">
      <c r="A1" s="24" t="s">
        <v>13</v>
      </c>
      <c r="C1" s="20"/>
      <c r="D1" s="20"/>
      <c r="E1" s="20"/>
      <c r="F1" s="20"/>
      <c r="G1" s="20"/>
      <c r="H1" s="20"/>
    </row>
    <row r="2" spans="1:17" ht="15">
      <c r="A2" s="69"/>
      <c r="B2" s="69"/>
      <c r="C2" s="70">
        <v>2005</v>
      </c>
      <c r="D2" s="70">
        <v>2006</v>
      </c>
      <c r="E2" s="70">
        <v>2007</v>
      </c>
      <c r="F2" s="70">
        <v>2008</v>
      </c>
      <c r="G2" s="70">
        <v>2009</v>
      </c>
      <c r="H2" s="70">
        <v>2010</v>
      </c>
      <c r="I2" s="70">
        <v>2011</v>
      </c>
      <c r="J2" s="70">
        <v>2012</v>
      </c>
      <c r="K2" s="70">
        <v>2013</v>
      </c>
      <c r="L2" s="58"/>
      <c r="M2" s="58"/>
      <c r="N2" s="58"/>
      <c r="O2" s="58"/>
      <c r="P2" s="58"/>
      <c r="Q2" s="58"/>
    </row>
    <row r="3" spans="1:17" ht="30" customHeight="1">
      <c r="A3" s="61" t="s">
        <v>14</v>
      </c>
      <c r="B3" s="62" t="s">
        <v>15</v>
      </c>
      <c r="C3" s="67">
        <v>1202.8</v>
      </c>
      <c r="D3" s="67">
        <v>63</v>
      </c>
      <c r="E3" s="67">
        <v>59.8</v>
      </c>
      <c r="F3" s="67">
        <v>1018.1</v>
      </c>
      <c r="G3" s="67">
        <v>1414.8</v>
      </c>
      <c r="H3" s="67">
        <v>15258.2</v>
      </c>
      <c r="I3" s="67">
        <v>7358.6</v>
      </c>
      <c r="J3" s="67">
        <v>5714.6</v>
      </c>
      <c r="K3" s="67">
        <v>6600.8</v>
      </c>
      <c r="L3" s="63"/>
      <c r="M3" s="63"/>
      <c r="N3" s="63"/>
      <c r="O3" s="63"/>
      <c r="P3" s="63"/>
      <c r="Q3" s="63"/>
    </row>
    <row r="4" spans="1:17" ht="15" customHeight="1">
      <c r="A4" s="64" t="s">
        <v>16</v>
      </c>
      <c r="B4" s="65" t="s">
        <v>17</v>
      </c>
      <c r="C4" s="67"/>
      <c r="D4" s="67">
        <v>1093.5</v>
      </c>
      <c r="E4" s="67">
        <v>370.9</v>
      </c>
      <c r="F4" s="67">
        <v>385.4</v>
      </c>
      <c r="G4" s="67">
        <v>921.2</v>
      </c>
      <c r="H4" s="67">
        <v>780.3</v>
      </c>
      <c r="I4" s="67">
        <v>3373.9</v>
      </c>
      <c r="J4" s="67">
        <v>408.3</v>
      </c>
      <c r="K4" s="67">
        <v>1396.7</v>
      </c>
      <c r="L4" s="63"/>
      <c r="M4" s="63"/>
      <c r="N4" s="63"/>
      <c r="O4" s="63"/>
      <c r="P4" s="63"/>
      <c r="Q4" s="63"/>
    </row>
    <row r="5" spans="1:17" ht="30" customHeight="1">
      <c r="A5" s="71" t="s">
        <v>18</v>
      </c>
      <c r="B5" s="72" t="s">
        <v>19</v>
      </c>
      <c r="C5" s="73">
        <v>31.4</v>
      </c>
      <c r="D5" s="73">
        <v>7.2</v>
      </c>
      <c r="E5" s="73">
        <v>32.1</v>
      </c>
      <c r="F5" s="73">
        <v>12.9</v>
      </c>
      <c r="G5" s="73">
        <v>24.1</v>
      </c>
      <c r="H5" s="73">
        <v>37.5</v>
      </c>
      <c r="I5" s="73">
        <v>52</v>
      </c>
      <c r="J5" s="73">
        <v>115.9</v>
      </c>
      <c r="K5" s="73">
        <v>133.9</v>
      </c>
      <c r="L5" s="63"/>
      <c r="M5" s="63"/>
      <c r="N5" s="63"/>
      <c r="O5" s="63"/>
      <c r="P5" s="63"/>
      <c r="Q5" s="63"/>
    </row>
    <row r="6" spans="1:17" ht="15">
      <c r="A6" s="69"/>
      <c r="B6" s="74"/>
      <c r="C6" s="75">
        <v>2014</v>
      </c>
      <c r="D6" s="75">
        <v>2015</v>
      </c>
      <c r="E6" s="75">
        <v>2016</v>
      </c>
      <c r="F6" s="75">
        <v>2017</v>
      </c>
      <c r="G6" s="75">
        <v>2018</v>
      </c>
      <c r="H6" s="75">
        <v>2019</v>
      </c>
      <c r="I6" s="75">
        <v>2020</v>
      </c>
      <c r="J6" s="75">
        <v>2021</v>
      </c>
      <c r="K6" s="75">
        <v>2022</v>
      </c>
      <c r="L6" s="66"/>
      <c r="M6" s="66"/>
    </row>
    <row r="7" spans="1:17" ht="30" customHeight="1">
      <c r="A7" s="61" t="s">
        <v>14</v>
      </c>
      <c r="B7" s="62" t="s">
        <v>15</v>
      </c>
      <c r="C7" s="68">
        <v>11891.7</v>
      </c>
      <c r="D7" s="68">
        <v>34764.1</v>
      </c>
      <c r="E7" s="68">
        <v>15550.9</v>
      </c>
      <c r="F7" s="68">
        <v>17091.599999999999</v>
      </c>
      <c r="G7" s="68">
        <v>54528.3</v>
      </c>
      <c r="H7" s="68">
        <v>13870.3</v>
      </c>
      <c r="I7" s="68">
        <v>23473</v>
      </c>
      <c r="J7" s="68">
        <v>36506.199999999997</v>
      </c>
      <c r="K7" s="68"/>
    </row>
    <row r="8" spans="1:17" ht="15">
      <c r="A8" s="64" t="s">
        <v>16</v>
      </c>
      <c r="B8" t="s">
        <v>17</v>
      </c>
      <c r="C8" s="68">
        <v>370.9</v>
      </c>
      <c r="D8" s="68">
        <v>385.4</v>
      </c>
      <c r="E8" s="68">
        <v>2480</v>
      </c>
      <c r="F8" s="68">
        <v>1855</v>
      </c>
      <c r="G8" s="68">
        <v>2178.1</v>
      </c>
      <c r="H8" s="68">
        <v>6990.8</v>
      </c>
      <c r="I8" s="68">
        <v>17329.099999999999</v>
      </c>
      <c r="J8" s="68">
        <v>11660.9</v>
      </c>
      <c r="K8" s="68">
        <v>629.79999999999995</v>
      </c>
    </row>
    <row r="9" spans="1:17" ht="30" customHeight="1">
      <c r="A9" s="71" t="s">
        <v>18</v>
      </c>
      <c r="B9" s="72" t="s">
        <v>19</v>
      </c>
      <c r="C9" s="76">
        <v>306.3</v>
      </c>
      <c r="D9" s="76">
        <v>146.1</v>
      </c>
      <c r="E9" s="76">
        <v>240.6</v>
      </c>
      <c r="F9" s="76">
        <v>451.6</v>
      </c>
      <c r="G9" s="76">
        <v>1354.2</v>
      </c>
      <c r="H9" s="76">
        <v>1803.8</v>
      </c>
      <c r="I9" s="77">
        <v>681.3</v>
      </c>
      <c r="J9" s="77">
        <v>1065.5999999999999</v>
      </c>
      <c r="K9" s="77">
        <v>1308.4000000000001</v>
      </c>
    </row>
    <row r="10" spans="1:17" ht="15">
      <c r="A10" s="52" t="s">
        <v>20</v>
      </c>
      <c r="B10" s="10"/>
      <c r="C10" s="10"/>
      <c r="D10" s="10"/>
      <c r="E10" s="10"/>
      <c r="F10" s="10"/>
      <c r="G10" s="10"/>
      <c r="H10" s="10"/>
      <c r="K10" s="22"/>
      <c r="L10" s="22"/>
      <c r="M10" s="22"/>
    </row>
    <row r="11" spans="1:17">
      <c r="A11" t="s">
        <v>21</v>
      </c>
      <c r="K11" s="22"/>
      <c r="L11" s="22"/>
      <c r="M11" s="22"/>
    </row>
    <row r="12" spans="1:17">
      <c r="C12" s="21"/>
      <c r="D12" s="21"/>
      <c r="E12" s="21"/>
      <c r="F12" s="21"/>
      <c r="G12" s="21"/>
      <c r="H12" s="21"/>
    </row>
    <row r="13" spans="1:17">
      <c r="C13" s="22"/>
      <c r="D13" s="22"/>
      <c r="E13" s="22"/>
      <c r="F13" s="22"/>
      <c r="G13" s="22"/>
      <c r="H13" s="22"/>
      <c r="I13" s="22"/>
      <c r="J13" s="22"/>
    </row>
    <row r="14" spans="1:17">
      <c r="C14" s="22"/>
      <c r="D14" s="22"/>
      <c r="E14" s="22"/>
      <c r="F14" s="22"/>
      <c r="G14" s="22"/>
      <c r="H14" s="22"/>
      <c r="I14" s="22"/>
      <c r="J14" s="22"/>
    </row>
    <row r="15" spans="1:17">
      <c r="C15" s="22"/>
      <c r="D15" s="22"/>
      <c r="E15" s="22"/>
      <c r="F15" s="22"/>
      <c r="G15" s="22"/>
      <c r="H15" s="22"/>
      <c r="I15" s="22"/>
      <c r="J15" s="22"/>
    </row>
  </sheetData>
  <phoneticPr fontId="3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C41CD-4685-421A-BD76-613AA6CBC2B1}">
  <dimension ref="A1:H12"/>
  <sheetViews>
    <sheetView workbookViewId="0">
      <selection activeCell="A9" sqref="A9"/>
    </sheetView>
  </sheetViews>
  <sheetFormatPr defaultRowHeight="13.5"/>
  <cols>
    <col min="4" max="4" width="9.625" customWidth="1"/>
    <col min="5" max="6" width="12.625" customWidth="1"/>
  </cols>
  <sheetData>
    <row r="1" spans="1:8" ht="15.75" thickBot="1">
      <c r="A1" t="s">
        <v>54</v>
      </c>
    </row>
    <row r="2" spans="1:8" ht="30" customHeight="1">
      <c r="A2" s="205"/>
      <c r="B2" s="207" t="s">
        <v>51</v>
      </c>
      <c r="C2" s="210" t="s">
        <v>52</v>
      </c>
      <c r="D2" s="210" t="s">
        <v>92</v>
      </c>
      <c r="E2" s="209" t="s">
        <v>53</v>
      </c>
      <c r="F2" s="209"/>
      <c r="G2" s="207" t="s">
        <v>47</v>
      </c>
      <c r="H2" s="207" t="s">
        <v>46</v>
      </c>
    </row>
    <row r="3" spans="1:8" ht="15">
      <c r="A3" s="206"/>
      <c r="B3" s="208"/>
      <c r="C3" s="211"/>
      <c r="D3" s="211"/>
      <c r="E3" s="173" t="s">
        <v>93</v>
      </c>
      <c r="F3" s="173" t="s">
        <v>94</v>
      </c>
      <c r="G3" s="208"/>
      <c r="H3" s="208"/>
    </row>
    <row r="4" spans="1:8" ht="15">
      <c r="A4" s="84" t="s">
        <v>40</v>
      </c>
      <c r="B4" s="86">
        <v>0.36</v>
      </c>
      <c r="C4" s="86">
        <v>0.18</v>
      </c>
      <c r="D4" s="86">
        <v>0.25</v>
      </c>
      <c r="E4" s="86">
        <v>17</v>
      </c>
      <c r="F4" s="86">
        <v>17</v>
      </c>
      <c r="G4" s="86">
        <v>0.4</v>
      </c>
      <c r="H4" s="174" t="s">
        <v>96</v>
      </c>
    </row>
    <row r="5" spans="1:8" ht="15">
      <c r="A5" s="84" t="s">
        <v>41</v>
      </c>
      <c r="B5" s="86">
        <v>0.37</v>
      </c>
      <c r="C5" s="86">
        <v>0.18</v>
      </c>
      <c r="D5" s="86">
        <v>0.26</v>
      </c>
      <c r="E5" s="86">
        <v>39</v>
      </c>
      <c r="F5" s="86">
        <v>45</v>
      </c>
      <c r="G5" s="86">
        <v>0.4</v>
      </c>
      <c r="H5" s="174">
        <v>0.2</v>
      </c>
    </row>
    <row r="6" spans="1:8" ht="15">
      <c r="A6" s="84" t="s">
        <v>42</v>
      </c>
      <c r="B6" s="86">
        <v>0.49</v>
      </c>
      <c r="C6" s="86">
        <v>0.24</v>
      </c>
      <c r="D6" s="86">
        <v>0.34</v>
      </c>
      <c r="E6" s="86">
        <v>52</v>
      </c>
      <c r="F6" s="86">
        <v>81</v>
      </c>
      <c r="G6" s="86">
        <v>0.4</v>
      </c>
      <c r="H6" s="174" t="s">
        <v>97</v>
      </c>
    </row>
    <row r="7" spans="1:8" ht="15">
      <c r="A7" s="84" t="s">
        <v>43</v>
      </c>
      <c r="B7" s="174" t="s">
        <v>95</v>
      </c>
      <c r="C7" s="174" t="s">
        <v>98</v>
      </c>
      <c r="D7" s="86">
        <v>0.69</v>
      </c>
      <c r="E7" s="86">
        <v>70</v>
      </c>
      <c r="F7" s="86">
        <v>105</v>
      </c>
      <c r="G7" s="86">
        <v>0.4</v>
      </c>
      <c r="H7" s="174" t="s">
        <v>97</v>
      </c>
    </row>
    <row r="8" spans="1:8" ht="15">
      <c r="A8" s="84" t="s">
        <v>44</v>
      </c>
      <c r="B8" s="174" t="s">
        <v>95</v>
      </c>
      <c r="C8" s="174" t="s">
        <v>98</v>
      </c>
      <c r="D8" s="86">
        <v>0.69</v>
      </c>
      <c r="E8" s="86">
        <v>94</v>
      </c>
      <c r="F8" s="86">
        <v>121</v>
      </c>
      <c r="G8" s="86">
        <v>0.4</v>
      </c>
      <c r="H8" s="174" t="s">
        <v>97</v>
      </c>
    </row>
    <row r="9" spans="1:8" ht="15.75" thickBot="1">
      <c r="A9" s="85" t="s">
        <v>45</v>
      </c>
      <c r="B9" s="175" t="s">
        <v>95</v>
      </c>
      <c r="C9" s="175" t="s">
        <v>98</v>
      </c>
      <c r="D9" s="87">
        <v>0.69</v>
      </c>
      <c r="E9" s="87">
        <v>117</v>
      </c>
      <c r="F9" s="87">
        <v>138</v>
      </c>
      <c r="G9" s="87">
        <v>0.4</v>
      </c>
      <c r="H9" s="175" t="s">
        <v>97</v>
      </c>
    </row>
    <row r="10" spans="1:8">
      <c r="A10" t="s">
        <v>49</v>
      </c>
    </row>
    <row r="11" spans="1:8">
      <c r="A11" t="s">
        <v>50</v>
      </c>
    </row>
    <row r="12" spans="1:8">
      <c r="A12" t="s">
        <v>99</v>
      </c>
    </row>
  </sheetData>
  <mergeCells count="7">
    <mergeCell ref="A2:A3"/>
    <mergeCell ref="G2:G3"/>
    <mergeCell ref="H2:H3"/>
    <mergeCell ref="E2:F2"/>
    <mergeCell ref="B2:B3"/>
    <mergeCell ref="C2:C3"/>
    <mergeCell ref="D2:D3"/>
  </mergeCells>
  <phoneticPr fontId="3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B254F-FBBA-4206-A3C0-1A4230AE56E3}">
  <dimension ref="A1:L57"/>
  <sheetViews>
    <sheetView zoomScale="80" zoomScaleNormal="80" workbookViewId="0">
      <selection activeCell="H19" sqref="H19"/>
    </sheetView>
  </sheetViews>
  <sheetFormatPr defaultRowHeight="13.5"/>
  <sheetData>
    <row r="1" spans="1:12">
      <c r="A1" t="s">
        <v>102</v>
      </c>
    </row>
    <row r="2" spans="1:12" ht="15">
      <c r="A2" s="188" t="s">
        <v>103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</row>
    <row r="3" spans="1:12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5">
      <c r="A4" s="189" t="s">
        <v>104</v>
      </c>
      <c r="B4" s="1"/>
      <c r="C4" s="1"/>
      <c r="D4" s="1"/>
      <c r="E4" s="1"/>
      <c r="F4" s="1"/>
      <c r="G4" s="1"/>
      <c r="H4" s="1"/>
      <c r="I4" s="188"/>
      <c r="J4" s="189"/>
      <c r="K4" s="1"/>
      <c r="L4" s="1"/>
    </row>
    <row r="5" spans="1:12" ht="15">
      <c r="A5" s="27" t="s">
        <v>105</v>
      </c>
      <c r="B5" s="190">
        <v>2022</v>
      </c>
      <c r="C5" s="190">
        <v>2023</v>
      </c>
      <c r="D5" s="190">
        <v>2024</v>
      </c>
      <c r="E5" s="190">
        <v>2025</v>
      </c>
      <c r="F5" s="190">
        <v>2026</v>
      </c>
      <c r="G5" s="190">
        <v>2027</v>
      </c>
      <c r="H5" s="190">
        <v>2028</v>
      </c>
      <c r="I5" s="190">
        <v>2029</v>
      </c>
      <c r="J5" s="190">
        <v>2030</v>
      </c>
      <c r="K5" s="190">
        <v>2031</v>
      </c>
      <c r="L5" s="190">
        <v>2032</v>
      </c>
    </row>
    <row r="6" spans="1:12" ht="15">
      <c r="A6" s="3" t="s">
        <v>106</v>
      </c>
      <c r="B6" s="191">
        <v>0.25</v>
      </c>
      <c r="C6" s="191">
        <v>0.22</v>
      </c>
      <c r="D6" s="191">
        <v>0.15</v>
      </c>
      <c r="E6" s="191">
        <v>0.15</v>
      </c>
      <c r="F6" s="191">
        <v>0.15</v>
      </c>
      <c r="G6" s="191">
        <v>0.15</v>
      </c>
      <c r="H6" s="191">
        <v>0.15</v>
      </c>
      <c r="I6" s="191">
        <v>0.15</v>
      </c>
      <c r="J6" s="191">
        <v>0.15</v>
      </c>
      <c r="K6" s="191">
        <v>0.15</v>
      </c>
      <c r="L6" s="191">
        <v>0.15</v>
      </c>
    </row>
    <row r="7" spans="1:12" ht="15">
      <c r="A7" s="3" t="s">
        <v>107</v>
      </c>
      <c r="B7" s="191">
        <v>0.26</v>
      </c>
      <c r="C7" s="191">
        <v>0.22</v>
      </c>
      <c r="D7" s="191">
        <v>0.16</v>
      </c>
      <c r="E7" s="191">
        <v>0.16</v>
      </c>
      <c r="F7" s="191">
        <v>0.16</v>
      </c>
      <c r="G7" s="191">
        <v>0.16</v>
      </c>
      <c r="H7" s="191">
        <v>0.16</v>
      </c>
      <c r="I7" s="191">
        <v>0.16</v>
      </c>
      <c r="J7" s="191">
        <v>0.16</v>
      </c>
      <c r="K7" s="191">
        <v>0.16</v>
      </c>
      <c r="L7" s="191">
        <v>0.16</v>
      </c>
    </row>
    <row r="8" spans="1:12" ht="15">
      <c r="A8" s="3" t="s">
        <v>108</v>
      </c>
      <c r="B8" s="191">
        <v>0.34</v>
      </c>
      <c r="C8" s="191">
        <v>0.28999999999999998</v>
      </c>
      <c r="D8" s="191">
        <v>0.21</v>
      </c>
      <c r="E8" s="191">
        <v>0.21</v>
      </c>
      <c r="F8" s="191">
        <v>0.21</v>
      </c>
      <c r="G8" s="191">
        <v>0.21</v>
      </c>
      <c r="H8" s="191">
        <v>0.21</v>
      </c>
      <c r="I8" s="191">
        <v>0.21</v>
      </c>
      <c r="J8" s="191">
        <v>0.21</v>
      </c>
      <c r="K8" s="191">
        <v>0.21</v>
      </c>
      <c r="L8" s="191">
        <v>0.21</v>
      </c>
    </row>
    <row r="9" spans="1:12" ht="15">
      <c r="A9" s="3" t="s">
        <v>109</v>
      </c>
      <c r="B9" s="191">
        <v>0.69</v>
      </c>
      <c r="C9" s="191">
        <v>0.6</v>
      </c>
      <c r="D9" s="191">
        <v>0.42</v>
      </c>
      <c r="E9" s="191">
        <v>0.42</v>
      </c>
      <c r="F9" s="191">
        <v>0.42</v>
      </c>
      <c r="G9" s="191">
        <v>0.42</v>
      </c>
      <c r="H9" s="191">
        <v>0.42</v>
      </c>
      <c r="I9" s="191">
        <v>0.42</v>
      </c>
      <c r="J9" s="191">
        <v>0.42</v>
      </c>
      <c r="K9" s="191">
        <v>0.42</v>
      </c>
      <c r="L9" s="191">
        <v>0.42</v>
      </c>
    </row>
    <row r="10" spans="1:12" ht="15">
      <c r="A10" s="3" t="s">
        <v>110</v>
      </c>
      <c r="B10" s="191">
        <v>0.69</v>
      </c>
      <c r="C10" s="191">
        <v>0.6</v>
      </c>
      <c r="D10" s="191">
        <v>0.42</v>
      </c>
      <c r="E10" s="191">
        <v>0.42</v>
      </c>
      <c r="F10" s="191">
        <v>0.42</v>
      </c>
      <c r="G10" s="191">
        <v>0.42</v>
      </c>
      <c r="H10" s="191">
        <v>0.42</v>
      </c>
      <c r="I10" s="191">
        <v>0.42</v>
      </c>
      <c r="J10" s="191">
        <v>0.42</v>
      </c>
      <c r="K10" s="191">
        <v>0.42</v>
      </c>
      <c r="L10" s="191">
        <v>0.42</v>
      </c>
    </row>
    <row r="11" spans="1:12" ht="15">
      <c r="A11" s="3" t="s">
        <v>111</v>
      </c>
      <c r="B11" s="191">
        <v>0.69</v>
      </c>
      <c r="C11" s="191">
        <v>0.6</v>
      </c>
      <c r="D11" s="191">
        <v>0.42</v>
      </c>
      <c r="E11" s="191">
        <v>0.42</v>
      </c>
      <c r="F11" s="191">
        <v>0.42</v>
      </c>
      <c r="G11" s="191">
        <v>0.42</v>
      </c>
      <c r="H11" s="191">
        <v>0.42</v>
      </c>
      <c r="I11" s="191">
        <v>0.42</v>
      </c>
      <c r="J11" s="191">
        <v>0.42</v>
      </c>
      <c r="K11" s="191">
        <v>0.42</v>
      </c>
      <c r="L11" s="191">
        <v>0.42</v>
      </c>
    </row>
    <row r="12" spans="1:12" ht="15">
      <c r="A12" s="192" t="s">
        <v>112</v>
      </c>
      <c r="B12" s="193">
        <v>0.49</v>
      </c>
      <c r="C12" s="193">
        <v>0.42</v>
      </c>
      <c r="D12" s="193">
        <v>0.3</v>
      </c>
      <c r="E12" s="193">
        <v>0.3</v>
      </c>
      <c r="F12" s="193">
        <v>0.3</v>
      </c>
      <c r="G12" s="193">
        <v>0.3</v>
      </c>
      <c r="H12" s="193">
        <v>0.3</v>
      </c>
      <c r="I12" s="193">
        <v>0.3</v>
      </c>
      <c r="J12" s="193">
        <v>0.3</v>
      </c>
      <c r="K12" s="193">
        <v>0.3</v>
      </c>
      <c r="L12" s="193">
        <v>0.3</v>
      </c>
    </row>
    <row r="13" spans="1:12" ht="15">
      <c r="A13" s="188"/>
      <c r="B13" s="188"/>
      <c r="C13" s="188"/>
      <c r="D13" s="188"/>
      <c r="E13" s="188"/>
      <c r="F13" s="188"/>
      <c r="G13" s="188"/>
      <c r="H13" s="188"/>
      <c r="I13" s="188"/>
      <c r="J13" s="188"/>
      <c r="K13" s="188"/>
      <c r="L13" s="188"/>
    </row>
    <row r="14" spans="1:12" ht="17.25">
      <c r="A14" s="1" t="s">
        <v>113</v>
      </c>
      <c r="B14" s="1"/>
      <c r="C14" s="1"/>
      <c r="D14" s="1"/>
      <c r="E14" s="1"/>
      <c r="F14" s="1"/>
      <c r="G14" s="1"/>
      <c r="H14" s="1"/>
      <c r="I14" s="188"/>
      <c r="J14" s="1"/>
      <c r="K14" s="1"/>
      <c r="L14" s="1"/>
    </row>
    <row r="15" spans="1:12" ht="15">
      <c r="A15" s="27" t="s">
        <v>105</v>
      </c>
      <c r="B15" s="190">
        <v>2022</v>
      </c>
      <c r="C15" s="190">
        <v>2023</v>
      </c>
      <c r="D15" s="190">
        <v>2024</v>
      </c>
      <c r="E15" s="190">
        <v>2025</v>
      </c>
      <c r="F15" s="190">
        <v>2026</v>
      </c>
      <c r="G15" s="190">
        <v>2027</v>
      </c>
      <c r="H15" s="190">
        <v>2028</v>
      </c>
      <c r="I15" s="190">
        <v>2029</v>
      </c>
      <c r="J15" s="190">
        <v>2030</v>
      </c>
      <c r="K15" s="190">
        <v>2031</v>
      </c>
      <c r="L15" s="190">
        <v>2032</v>
      </c>
    </row>
    <row r="16" spans="1:12" ht="15">
      <c r="A16" s="3" t="s">
        <v>106</v>
      </c>
      <c r="B16" s="4">
        <v>44156</v>
      </c>
      <c r="C16" s="4">
        <v>44013</v>
      </c>
      <c r="D16" s="4">
        <v>44197</v>
      </c>
      <c r="E16" s="4">
        <v>43980</v>
      </c>
      <c r="F16" s="4">
        <v>44152</v>
      </c>
      <c r="G16" s="4">
        <v>30811</v>
      </c>
      <c r="H16" s="4">
        <v>30804</v>
      </c>
      <c r="I16" s="4">
        <v>30837</v>
      </c>
      <c r="J16" s="4">
        <v>30927</v>
      </c>
      <c r="K16" s="4">
        <v>30858</v>
      </c>
      <c r="L16" s="4">
        <v>30122</v>
      </c>
    </row>
    <row r="17" spans="1:12" ht="15">
      <c r="A17" s="3" t="s">
        <v>107</v>
      </c>
      <c r="B17" s="4">
        <v>39421</v>
      </c>
      <c r="C17" s="4">
        <v>23028</v>
      </c>
      <c r="D17" s="4">
        <v>23744</v>
      </c>
      <c r="E17" s="4">
        <v>25402</v>
      </c>
      <c r="F17" s="4">
        <v>25277</v>
      </c>
      <c r="G17" s="4">
        <v>25376</v>
      </c>
      <c r="H17" s="4">
        <v>17709</v>
      </c>
      <c r="I17" s="4">
        <v>17705</v>
      </c>
      <c r="J17" s="4">
        <v>17724</v>
      </c>
      <c r="K17" s="4">
        <v>17775</v>
      </c>
      <c r="L17" s="4">
        <v>17735</v>
      </c>
    </row>
    <row r="18" spans="1:12" ht="15">
      <c r="A18" s="3" t="s">
        <v>108</v>
      </c>
      <c r="B18" s="4">
        <v>24873</v>
      </c>
      <c r="C18" s="4">
        <v>20471</v>
      </c>
      <c r="D18" s="4">
        <v>12377</v>
      </c>
      <c r="E18" s="4">
        <v>13611</v>
      </c>
      <c r="F18" s="4">
        <v>14561</v>
      </c>
      <c r="G18" s="4">
        <v>14490</v>
      </c>
      <c r="H18" s="4">
        <v>14547</v>
      </c>
      <c r="I18" s="4">
        <v>10151</v>
      </c>
      <c r="J18" s="4">
        <v>10149</v>
      </c>
      <c r="K18" s="4">
        <v>10160</v>
      </c>
      <c r="L18" s="4">
        <v>10190</v>
      </c>
    </row>
    <row r="19" spans="1:12" ht="15">
      <c r="A19" s="3" t="s">
        <v>109</v>
      </c>
      <c r="B19" s="4">
        <v>5676</v>
      </c>
      <c r="C19" s="4">
        <v>11923</v>
      </c>
      <c r="D19" s="4">
        <v>10266</v>
      </c>
      <c r="E19" s="4">
        <v>6755</v>
      </c>
      <c r="F19" s="4">
        <v>7429</v>
      </c>
      <c r="G19" s="4">
        <v>7948</v>
      </c>
      <c r="H19" s="4">
        <v>7909</v>
      </c>
      <c r="I19" s="4">
        <v>7940</v>
      </c>
      <c r="J19" s="4">
        <v>5541</v>
      </c>
      <c r="K19" s="4">
        <v>5539</v>
      </c>
      <c r="L19" s="4">
        <v>5545</v>
      </c>
    </row>
    <row r="20" spans="1:12" ht="15">
      <c r="A20" s="3" t="s">
        <v>110</v>
      </c>
      <c r="B20" s="4">
        <v>3691</v>
      </c>
      <c r="C20" s="4">
        <v>1906</v>
      </c>
      <c r="D20" s="4">
        <v>4395</v>
      </c>
      <c r="E20" s="4">
        <v>4505</v>
      </c>
      <c r="F20" s="4">
        <v>2965</v>
      </c>
      <c r="G20" s="4">
        <v>3260</v>
      </c>
      <c r="H20" s="4">
        <v>3488</v>
      </c>
      <c r="I20" s="4">
        <v>3471</v>
      </c>
      <c r="J20" s="4">
        <v>3484</v>
      </c>
      <c r="K20" s="4">
        <v>2431</v>
      </c>
      <c r="L20" s="4">
        <v>2431</v>
      </c>
    </row>
    <row r="21" spans="1:12" ht="15">
      <c r="A21" s="3" t="s">
        <v>111</v>
      </c>
      <c r="B21" s="4">
        <v>716</v>
      </c>
      <c r="C21" s="4">
        <v>1483</v>
      </c>
      <c r="D21" s="4">
        <v>1252</v>
      </c>
      <c r="E21" s="4">
        <v>2481</v>
      </c>
      <c r="F21" s="4">
        <v>3071</v>
      </c>
      <c r="G21" s="4">
        <v>2652</v>
      </c>
      <c r="H21" s="4">
        <v>2598</v>
      </c>
      <c r="I21" s="4">
        <v>2675</v>
      </c>
      <c r="J21" s="4">
        <v>2701</v>
      </c>
      <c r="K21" s="4">
        <v>2718</v>
      </c>
      <c r="L21" s="4">
        <v>2263</v>
      </c>
    </row>
    <row r="22" spans="1:12" ht="15">
      <c r="A22" s="27" t="s">
        <v>114</v>
      </c>
      <c r="B22" s="194">
        <v>118533</v>
      </c>
      <c r="C22" s="194">
        <v>102824</v>
      </c>
      <c r="D22" s="194">
        <v>96231</v>
      </c>
      <c r="E22" s="194">
        <v>96734</v>
      </c>
      <c r="F22" s="194">
        <v>97455</v>
      </c>
      <c r="G22" s="194">
        <v>84537</v>
      </c>
      <c r="H22" s="194">
        <v>77055</v>
      </c>
      <c r="I22" s="194">
        <v>72779</v>
      </c>
      <c r="J22" s="194">
        <v>70526</v>
      </c>
      <c r="K22" s="194">
        <v>69481</v>
      </c>
      <c r="L22" s="194">
        <v>68286</v>
      </c>
    </row>
    <row r="23" spans="1:12" ht="15">
      <c r="A23" s="188"/>
      <c r="B23" s="15"/>
      <c r="C23" s="15"/>
      <c r="D23" s="15"/>
      <c r="E23" s="15"/>
      <c r="F23" s="15"/>
      <c r="G23" s="15"/>
      <c r="H23" s="15"/>
      <c r="I23" s="188"/>
      <c r="J23" s="188"/>
      <c r="K23" s="15"/>
      <c r="L23" s="15"/>
    </row>
    <row r="24" spans="1:12" ht="17.25">
      <c r="A24" s="1" t="s">
        <v>115</v>
      </c>
      <c r="B24" s="15"/>
      <c r="C24" s="15"/>
      <c r="D24" s="15"/>
      <c r="E24" s="15"/>
      <c r="F24" s="15"/>
      <c r="G24" s="15"/>
      <c r="H24" s="15"/>
      <c r="I24" s="188"/>
      <c r="J24" s="1"/>
      <c r="K24" s="15"/>
      <c r="L24" s="15"/>
    </row>
    <row r="25" spans="1:12" ht="15">
      <c r="A25" s="27" t="s">
        <v>105</v>
      </c>
      <c r="B25" s="190">
        <v>2022</v>
      </c>
      <c r="C25" s="190">
        <v>2023</v>
      </c>
      <c r="D25" s="190">
        <v>2024</v>
      </c>
      <c r="E25" s="190">
        <v>2025</v>
      </c>
      <c r="F25" s="190">
        <v>2026</v>
      </c>
      <c r="G25" s="190">
        <v>2027</v>
      </c>
      <c r="H25" s="190">
        <v>2028</v>
      </c>
      <c r="I25" s="190">
        <v>2029</v>
      </c>
      <c r="J25" s="190">
        <v>2030</v>
      </c>
      <c r="K25" s="190">
        <v>2031</v>
      </c>
      <c r="L25" s="190">
        <v>2032</v>
      </c>
    </row>
    <row r="26" spans="1:12" ht="15">
      <c r="A26" s="3" t="s">
        <v>106</v>
      </c>
      <c r="B26" s="4">
        <v>758</v>
      </c>
      <c r="C26" s="4">
        <v>755</v>
      </c>
      <c r="D26" s="4">
        <v>737</v>
      </c>
      <c r="E26" s="4">
        <v>734</v>
      </c>
      <c r="F26" s="4">
        <v>737</v>
      </c>
      <c r="G26" s="4">
        <v>514</v>
      </c>
      <c r="H26" s="4">
        <v>514</v>
      </c>
      <c r="I26" s="4">
        <v>515</v>
      </c>
      <c r="J26" s="4">
        <v>516</v>
      </c>
      <c r="K26" s="4">
        <v>515</v>
      </c>
      <c r="L26" s="4">
        <v>503</v>
      </c>
    </row>
    <row r="27" spans="1:12" ht="15">
      <c r="A27" s="3" t="s">
        <v>107</v>
      </c>
      <c r="B27" s="4">
        <v>1520</v>
      </c>
      <c r="C27" s="4">
        <v>888</v>
      </c>
      <c r="D27" s="4">
        <v>1067</v>
      </c>
      <c r="E27" s="4">
        <v>1141</v>
      </c>
      <c r="F27" s="4">
        <v>1136</v>
      </c>
      <c r="G27" s="4">
        <v>1140</v>
      </c>
      <c r="H27" s="4">
        <v>796</v>
      </c>
      <c r="I27" s="4">
        <v>795</v>
      </c>
      <c r="J27" s="4">
        <v>796</v>
      </c>
      <c r="K27" s="4">
        <v>799</v>
      </c>
      <c r="L27" s="4">
        <v>797</v>
      </c>
    </row>
    <row r="28" spans="1:12" ht="15">
      <c r="A28" s="3" t="s">
        <v>108</v>
      </c>
      <c r="B28" s="4">
        <v>1285</v>
      </c>
      <c r="C28" s="4">
        <v>1058</v>
      </c>
      <c r="D28" s="4">
        <v>1007</v>
      </c>
      <c r="E28" s="4">
        <v>1108</v>
      </c>
      <c r="F28" s="4">
        <v>1185</v>
      </c>
      <c r="G28" s="4">
        <v>1179</v>
      </c>
      <c r="H28" s="4">
        <v>1184</v>
      </c>
      <c r="I28" s="4">
        <v>826</v>
      </c>
      <c r="J28" s="4">
        <v>826</v>
      </c>
      <c r="K28" s="4">
        <v>827</v>
      </c>
      <c r="L28" s="4">
        <v>829</v>
      </c>
    </row>
    <row r="29" spans="1:12" ht="15">
      <c r="A29" s="3" t="s">
        <v>109</v>
      </c>
      <c r="B29" s="4">
        <v>400</v>
      </c>
      <c r="C29" s="4">
        <v>840</v>
      </c>
      <c r="D29" s="4">
        <v>1076</v>
      </c>
      <c r="E29" s="4">
        <v>708</v>
      </c>
      <c r="F29" s="4">
        <v>778</v>
      </c>
      <c r="G29" s="4">
        <v>833</v>
      </c>
      <c r="H29" s="4">
        <v>829</v>
      </c>
      <c r="I29" s="4">
        <v>832</v>
      </c>
      <c r="J29" s="4">
        <v>580</v>
      </c>
      <c r="K29" s="4">
        <v>580</v>
      </c>
      <c r="L29" s="4">
        <v>581</v>
      </c>
    </row>
    <row r="30" spans="1:12" ht="15">
      <c r="A30" s="3" t="s">
        <v>110</v>
      </c>
      <c r="B30" s="4">
        <v>349</v>
      </c>
      <c r="C30" s="4">
        <v>180</v>
      </c>
      <c r="D30" s="4">
        <v>530</v>
      </c>
      <c r="E30" s="4">
        <v>543</v>
      </c>
      <c r="F30" s="4">
        <v>357</v>
      </c>
      <c r="G30" s="4">
        <v>393</v>
      </c>
      <c r="H30" s="4">
        <v>420</v>
      </c>
      <c r="I30" s="4">
        <v>418</v>
      </c>
      <c r="J30" s="4">
        <v>420</v>
      </c>
      <c r="K30" s="4">
        <v>293</v>
      </c>
      <c r="L30" s="4">
        <v>293</v>
      </c>
    </row>
    <row r="31" spans="1:12" ht="15">
      <c r="A31" s="3" t="s">
        <v>111</v>
      </c>
      <c r="B31" s="4">
        <v>83</v>
      </c>
      <c r="C31" s="4">
        <v>173</v>
      </c>
      <c r="D31" s="4">
        <v>173</v>
      </c>
      <c r="E31" s="4">
        <v>343</v>
      </c>
      <c r="F31" s="4">
        <v>424</v>
      </c>
      <c r="G31" s="4">
        <v>366</v>
      </c>
      <c r="H31" s="4">
        <v>359</v>
      </c>
      <c r="I31" s="4">
        <v>369</v>
      </c>
      <c r="J31" s="4">
        <v>373</v>
      </c>
      <c r="K31" s="4">
        <v>375</v>
      </c>
      <c r="L31" s="4">
        <v>312</v>
      </c>
    </row>
    <row r="32" spans="1:12" ht="15">
      <c r="A32" s="27" t="s">
        <v>114</v>
      </c>
      <c r="B32" s="194">
        <v>4395</v>
      </c>
      <c r="C32" s="194">
        <v>3894</v>
      </c>
      <c r="D32" s="194">
        <v>4589</v>
      </c>
      <c r="E32" s="194">
        <v>4576</v>
      </c>
      <c r="F32" s="194">
        <v>4617</v>
      </c>
      <c r="G32" s="194">
        <v>4425</v>
      </c>
      <c r="H32" s="194">
        <v>4101</v>
      </c>
      <c r="I32" s="194">
        <v>3755</v>
      </c>
      <c r="J32" s="194">
        <v>3512</v>
      </c>
      <c r="K32" s="194">
        <v>3389</v>
      </c>
      <c r="L32" s="194">
        <v>3315</v>
      </c>
    </row>
    <row r="33" spans="1:12" ht="15">
      <c r="A33" s="27" t="s">
        <v>116</v>
      </c>
      <c r="B33" s="194">
        <v>2421</v>
      </c>
      <c r="C33" s="194">
        <v>2429</v>
      </c>
      <c r="D33" s="194">
        <v>2999</v>
      </c>
      <c r="E33" s="194">
        <v>2929</v>
      </c>
      <c r="F33" s="194">
        <v>2972</v>
      </c>
      <c r="G33" s="194">
        <v>2999</v>
      </c>
      <c r="H33" s="194">
        <v>2951</v>
      </c>
      <c r="I33" s="194">
        <v>2605</v>
      </c>
      <c r="J33" s="194">
        <v>2358</v>
      </c>
      <c r="K33" s="194">
        <v>2235</v>
      </c>
      <c r="L33" s="194">
        <v>2175</v>
      </c>
    </row>
    <row r="34" spans="1:12" ht="15">
      <c r="A34" s="15"/>
      <c r="B34" s="15"/>
      <c r="C34" s="15"/>
      <c r="D34" s="15"/>
      <c r="E34" s="15"/>
      <c r="F34" s="15"/>
      <c r="G34" s="15"/>
      <c r="H34" s="15"/>
      <c r="I34" s="188"/>
      <c r="J34" s="15"/>
      <c r="K34" s="15"/>
      <c r="L34" s="15"/>
    </row>
    <row r="35" spans="1:12" ht="17.25">
      <c r="A35" s="189" t="s">
        <v>117</v>
      </c>
      <c r="B35" s="15"/>
      <c r="C35" s="15"/>
      <c r="D35" s="15"/>
      <c r="E35" s="15"/>
      <c r="F35" s="15"/>
      <c r="G35" s="15"/>
      <c r="H35" s="15"/>
      <c r="I35" s="188"/>
      <c r="J35" s="189"/>
      <c r="K35" s="15"/>
      <c r="L35" s="15"/>
    </row>
    <row r="36" spans="1:12" ht="15">
      <c r="A36" s="27" t="s">
        <v>105</v>
      </c>
      <c r="B36" s="190">
        <v>2022</v>
      </c>
      <c r="C36" s="190">
        <v>2023</v>
      </c>
      <c r="D36" s="190">
        <v>2024</v>
      </c>
      <c r="E36" s="190">
        <v>2025</v>
      </c>
      <c r="F36" s="190">
        <v>2026</v>
      </c>
      <c r="G36" s="190">
        <v>2027</v>
      </c>
      <c r="H36" s="190">
        <v>2028</v>
      </c>
      <c r="I36" s="190">
        <v>2029</v>
      </c>
      <c r="J36" s="190">
        <v>2030</v>
      </c>
      <c r="K36" s="190">
        <v>2031</v>
      </c>
      <c r="L36" s="190">
        <v>2032</v>
      </c>
    </row>
    <row r="37" spans="1:12" ht="15">
      <c r="A37" s="3" t="s">
        <v>106</v>
      </c>
      <c r="B37" s="2">
        <v>8026</v>
      </c>
      <c r="C37" s="2">
        <v>7034</v>
      </c>
      <c r="D37" s="2">
        <v>5159</v>
      </c>
      <c r="E37" s="2">
        <v>5134</v>
      </c>
      <c r="F37" s="2">
        <v>5154</v>
      </c>
      <c r="G37" s="2">
        <v>3597</v>
      </c>
      <c r="H37" s="2">
        <v>3596</v>
      </c>
      <c r="I37" s="2">
        <v>3600</v>
      </c>
      <c r="J37" s="2">
        <v>3610</v>
      </c>
      <c r="K37" s="2">
        <v>3602</v>
      </c>
      <c r="L37" s="2">
        <v>3516</v>
      </c>
    </row>
    <row r="38" spans="1:12" ht="15">
      <c r="A38" s="3" t="s">
        <v>107</v>
      </c>
      <c r="B38" s="2">
        <v>7272</v>
      </c>
      <c r="C38" s="2">
        <v>3736</v>
      </c>
      <c r="D38" s="2">
        <v>2815</v>
      </c>
      <c r="E38" s="2">
        <v>3012</v>
      </c>
      <c r="F38" s="2">
        <v>2997</v>
      </c>
      <c r="G38" s="2">
        <v>3009</v>
      </c>
      <c r="H38" s="2">
        <v>2100</v>
      </c>
      <c r="I38" s="2">
        <v>2099</v>
      </c>
      <c r="J38" s="2">
        <v>2102</v>
      </c>
      <c r="K38" s="2">
        <v>2108</v>
      </c>
      <c r="L38" s="2">
        <v>2103</v>
      </c>
    </row>
    <row r="39" spans="1:12" ht="15">
      <c r="A39" s="3" t="s">
        <v>108</v>
      </c>
      <c r="B39" s="2">
        <v>5802</v>
      </c>
      <c r="C39" s="2">
        <v>4220</v>
      </c>
      <c r="D39" s="2">
        <v>1882</v>
      </c>
      <c r="E39" s="2">
        <v>2070</v>
      </c>
      <c r="F39" s="2">
        <v>2215</v>
      </c>
      <c r="G39" s="2">
        <v>2204</v>
      </c>
      <c r="H39" s="2">
        <v>2212</v>
      </c>
      <c r="I39" s="2">
        <v>1544</v>
      </c>
      <c r="J39" s="2">
        <v>1544</v>
      </c>
      <c r="K39" s="2">
        <v>1545</v>
      </c>
      <c r="L39" s="2">
        <v>1550</v>
      </c>
    </row>
    <row r="40" spans="1:12" ht="15">
      <c r="A40" s="3" t="s">
        <v>109</v>
      </c>
      <c r="B40" s="2">
        <v>2319</v>
      </c>
      <c r="C40" s="2">
        <v>4394</v>
      </c>
      <c r="D40" s="2">
        <v>2903</v>
      </c>
      <c r="E40" s="2">
        <v>1910</v>
      </c>
      <c r="F40" s="2">
        <v>2100</v>
      </c>
      <c r="G40" s="2">
        <v>2247</v>
      </c>
      <c r="H40" s="2">
        <v>2236</v>
      </c>
      <c r="I40" s="2">
        <v>2245</v>
      </c>
      <c r="J40" s="2">
        <v>1566</v>
      </c>
      <c r="K40" s="2">
        <v>1566</v>
      </c>
      <c r="L40" s="2">
        <v>1568</v>
      </c>
    </row>
    <row r="41" spans="1:12" ht="15">
      <c r="A41" s="3" t="s">
        <v>110</v>
      </c>
      <c r="B41" s="2">
        <v>1505</v>
      </c>
      <c r="C41" s="2">
        <v>701</v>
      </c>
      <c r="D41" s="2">
        <v>1239</v>
      </c>
      <c r="E41" s="2">
        <v>1270</v>
      </c>
      <c r="F41" s="2">
        <v>836</v>
      </c>
      <c r="G41" s="2">
        <v>919</v>
      </c>
      <c r="H41" s="2">
        <v>983</v>
      </c>
      <c r="I41" s="2">
        <v>979</v>
      </c>
      <c r="J41" s="2">
        <v>982</v>
      </c>
      <c r="K41" s="2">
        <v>686</v>
      </c>
      <c r="L41" s="2">
        <v>685</v>
      </c>
    </row>
    <row r="42" spans="1:12" ht="15">
      <c r="A42" s="3" t="s">
        <v>111</v>
      </c>
      <c r="B42" s="2">
        <v>292</v>
      </c>
      <c r="C42" s="2">
        <v>545</v>
      </c>
      <c r="D42" s="2">
        <v>353</v>
      </c>
      <c r="E42" s="2">
        <v>700</v>
      </c>
      <c r="F42" s="2">
        <v>866</v>
      </c>
      <c r="G42" s="2">
        <v>748</v>
      </c>
      <c r="H42" s="2">
        <v>733</v>
      </c>
      <c r="I42" s="2">
        <v>754</v>
      </c>
      <c r="J42" s="2">
        <v>761</v>
      </c>
      <c r="K42" s="2">
        <v>766</v>
      </c>
      <c r="L42" s="2">
        <v>638</v>
      </c>
    </row>
    <row r="43" spans="1:12" ht="15">
      <c r="A43" s="27" t="s">
        <v>114</v>
      </c>
      <c r="B43" s="194">
        <v>25216</v>
      </c>
      <c r="C43" s="194">
        <v>20631</v>
      </c>
      <c r="D43" s="194">
        <v>14352</v>
      </c>
      <c r="E43" s="194">
        <v>14096</v>
      </c>
      <c r="F43" s="194">
        <v>14168</v>
      </c>
      <c r="G43" s="194">
        <v>12723</v>
      </c>
      <c r="H43" s="194">
        <v>11860</v>
      </c>
      <c r="I43" s="194">
        <v>11220</v>
      </c>
      <c r="J43" s="194">
        <v>10566</v>
      </c>
      <c r="K43" s="194">
        <v>10273</v>
      </c>
      <c r="L43" s="194">
        <v>10060</v>
      </c>
    </row>
    <row r="44" spans="1:12" ht="15">
      <c r="A44" s="188"/>
      <c r="B44" s="188"/>
      <c r="C44" s="188"/>
      <c r="D44" s="188"/>
      <c r="E44" s="188"/>
      <c r="F44" s="188"/>
      <c r="G44" s="188"/>
      <c r="H44" s="188"/>
      <c r="I44" s="188"/>
      <c r="J44" s="188"/>
      <c r="K44" s="188"/>
      <c r="L44" s="188"/>
    </row>
    <row r="45" spans="1:12" ht="17.25">
      <c r="A45" s="1" t="s">
        <v>118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ht="15">
      <c r="A46" s="27" t="s">
        <v>105</v>
      </c>
      <c r="B46" s="190">
        <v>2022</v>
      </c>
      <c r="C46" s="190">
        <v>2023</v>
      </c>
      <c r="D46" s="190">
        <v>2024</v>
      </c>
      <c r="E46" s="190">
        <v>2025</v>
      </c>
      <c r="F46" s="190">
        <v>2026</v>
      </c>
      <c r="G46" s="190">
        <v>2027</v>
      </c>
      <c r="H46" s="190">
        <v>2028</v>
      </c>
      <c r="I46" s="190">
        <v>2029</v>
      </c>
      <c r="J46" s="190">
        <v>2030</v>
      </c>
      <c r="K46" s="190">
        <v>2031</v>
      </c>
      <c r="L46" s="190">
        <v>2032</v>
      </c>
    </row>
    <row r="47" spans="1:12" ht="15">
      <c r="A47" s="3" t="s">
        <v>106</v>
      </c>
      <c r="B47" s="2">
        <v>138</v>
      </c>
      <c r="C47" s="2">
        <v>121</v>
      </c>
      <c r="D47" s="2">
        <v>86</v>
      </c>
      <c r="E47" s="2">
        <v>86</v>
      </c>
      <c r="F47" s="2">
        <v>86</v>
      </c>
      <c r="G47" s="2">
        <v>60</v>
      </c>
      <c r="H47" s="2">
        <v>60</v>
      </c>
      <c r="I47" s="2">
        <v>60</v>
      </c>
      <c r="J47" s="2">
        <v>60</v>
      </c>
      <c r="K47" s="2">
        <v>60</v>
      </c>
      <c r="L47" s="2">
        <v>59</v>
      </c>
    </row>
    <row r="48" spans="1:12" ht="15">
      <c r="A48" s="3" t="s">
        <v>107</v>
      </c>
      <c r="B48" s="2">
        <v>280</v>
      </c>
      <c r="C48" s="2">
        <v>144</v>
      </c>
      <c r="D48" s="2">
        <v>126</v>
      </c>
      <c r="E48" s="2">
        <v>135</v>
      </c>
      <c r="F48" s="2">
        <v>135</v>
      </c>
      <c r="G48" s="2">
        <v>135</v>
      </c>
      <c r="H48" s="2">
        <v>94</v>
      </c>
      <c r="I48" s="2">
        <v>94</v>
      </c>
      <c r="J48" s="2">
        <v>94</v>
      </c>
      <c r="K48" s="2">
        <v>95</v>
      </c>
      <c r="L48" s="2">
        <v>94</v>
      </c>
    </row>
    <row r="49" spans="1:12" ht="15">
      <c r="A49" s="3" t="s">
        <v>108</v>
      </c>
      <c r="B49" s="2">
        <v>300</v>
      </c>
      <c r="C49" s="2">
        <v>218</v>
      </c>
      <c r="D49" s="2">
        <v>153</v>
      </c>
      <c r="E49" s="2">
        <v>168</v>
      </c>
      <c r="F49" s="2">
        <v>180</v>
      </c>
      <c r="G49" s="2">
        <v>179</v>
      </c>
      <c r="H49" s="2">
        <v>180</v>
      </c>
      <c r="I49" s="2">
        <v>126</v>
      </c>
      <c r="J49" s="2">
        <v>126</v>
      </c>
      <c r="K49" s="2">
        <v>126</v>
      </c>
      <c r="L49" s="2">
        <v>126</v>
      </c>
    </row>
    <row r="50" spans="1:12" ht="15">
      <c r="A50" s="3" t="s">
        <v>109</v>
      </c>
      <c r="B50" s="2">
        <v>163</v>
      </c>
      <c r="C50" s="2">
        <v>310</v>
      </c>
      <c r="D50" s="2">
        <v>304</v>
      </c>
      <c r="E50" s="2">
        <v>200</v>
      </c>
      <c r="F50" s="2">
        <v>220</v>
      </c>
      <c r="G50" s="2">
        <v>235</v>
      </c>
      <c r="H50" s="2">
        <v>234</v>
      </c>
      <c r="I50" s="2">
        <v>235</v>
      </c>
      <c r="J50" s="2">
        <v>164</v>
      </c>
      <c r="K50" s="2">
        <v>164</v>
      </c>
      <c r="L50" s="2">
        <v>164</v>
      </c>
    </row>
    <row r="51" spans="1:12" ht="15">
      <c r="A51" s="3" t="s">
        <v>110</v>
      </c>
      <c r="B51" s="2">
        <v>142</v>
      </c>
      <c r="C51" s="2">
        <v>66</v>
      </c>
      <c r="D51" s="2">
        <v>149</v>
      </c>
      <c r="E51" s="2">
        <v>153</v>
      </c>
      <c r="F51" s="2">
        <v>101</v>
      </c>
      <c r="G51" s="2">
        <v>111</v>
      </c>
      <c r="H51" s="2">
        <v>119</v>
      </c>
      <c r="I51" s="2">
        <v>118</v>
      </c>
      <c r="J51" s="2">
        <v>118</v>
      </c>
      <c r="K51" s="2">
        <v>83</v>
      </c>
      <c r="L51" s="2">
        <v>83</v>
      </c>
    </row>
    <row r="52" spans="1:12" ht="15">
      <c r="A52" s="3" t="s">
        <v>111</v>
      </c>
      <c r="B52" s="2">
        <v>34</v>
      </c>
      <c r="C52" s="2">
        <v>64</v>
      </c>
      <c r="D52" s="2">
        <v>49</v>
      </c>
      <c r="E52" s="2">
        <v>97</v>
      </c>
      <c r="F52" s="2">
        <v>120</v>
      </c>
      <c r="G52" s="2">
        <v>103</v>
      </c>
      <c r="H52" s="2">
        <v>101</v>
      </c>
      <c r="I52" s="2">
        <v>104</v>
      </c>
      <c r="J52" s="2">
        <v>105</v>
      </c>
      <c r="K52" s="2">
        <v>106</v>
      </c>
      <c r="L52" s="2">
        <v>88</v>
      </c>
    </row>
    <row r="53" spans="1:12" ht="15">
      <c r="A53" s="26" t="s">
        <v>114</v>
      </c>
      <c r="B53" s="194">
        <v>1058</v>
      </c>
      <c r="C53" s="194">
        <v>922</v>
      </c>
      <c r="D53" s="194">
        <v>868</v>
      </c>
      <c r="E53" s="194">
        <v>839</v>
      </c>
      <c r="F53" s="194">
        <v>841</v>
      </c>
      <c r="G53" s="194">
        <v>824</v>
      </c>
      <c r="H53" s="194">
        <v>788</v>
      </c>
      <c r="I53" s="194">
        <v>737</v>
      </c>
      <c r="J53" s="194">
        <v>668</v>
      </c>
      <c r="K53" s="194">
        <v>633</v>
      </c>
      <c r="L53" s="194">
        <v>614</v>
      </c>
    </row>
    <row r="54" spans="1:12" ht="15">
      <c r="A54" s="195" t="s">
        <v>119</v>
      </c>
      <c r="B54" s="196">
        <v>0.24</v>
      </c>
      <c r="C54" s="196">
        <v>0.24</v>
      </c>
      <c r="D54" s="196">
        <v>0.19</v>
      </c>
      <c r="E54" s="196">
        <v>0.18</v>
      </c>
      <c r="F54" s="196">
        <v>0.18</v>
      </c>
      <c r="G54" s="196">
        <v>0.19</v>
      </c>
      <c r="H54" s="196">
        <v>0.19</v>
      </c>
      <c r="I54" s="196">
        <v>0.2</v>
      </c>
      <c r="J54" s="196">
        <v>0.19</v>
      </c>
      <c r="K54" s="196">
        <v>0.19</v>
      </c>
      <c r="L54" s="196">
        <v>0.19</v>
      </c>
    </row>
    <row r="55" spans="1:12" ht="15">
      <c r="A55" s="188"/>
      <c r="B55" s="188"/>
      <c r="C55" s="188"/>
      <c r="D55" s="188"/>
      <c r="E55" s="188"/>
      <c r="F55" s="188"/>
      <c r="G55" s="188"/>
      <c r="H55" s="188"/>
      <c r="I55" s="188"/>
      <c r="J55" s="188"/>
      <c r="K55" s="188"/>
      <c r="L55" s="188"/>
    </row>
    <row r="56" spans="1:12" ht="15">
      <c r="A56" s="188"/>
      <c r="B56" s="188"/>
      <c r="C56" s="188"/>
      <c r="D56" s="188"/>
      <c r="E56" s="188"/>
      <c r="F56" s="188"/>
      <c r="G56" s="188"/>
      <c r="H56" s="188"/>
      <c r="I56" s="188"/>
      <c r="J56" s="188"/>
      <c r="K56" s="188"/>
      <c r="L56" s="188"/>
    </row>
    <row r="57" spans="1:12" ht="15">
      <c r="A57" s="188" t="s">
        <v>120</v>
      </c>
      <c r="B57" s="188"/>
      <c r="C57" s="188"/>
      <c r="D57" s="188"/>
      <c r="E57" s="188"/>
      <c r="F57" s="188"/>
      <c r="G57" s="188"/>
      <c r="H57" s="188"/>
      <c r="I57" s="188"/>
      <c r="J57" s="188"/>
      <c r="K57" s="188"/>
      <c r="L57" s="188"/>
    </row>
  </sheetData>
  <phoneticPr fontId="3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E7214-46E0-4433-9940-27D119F03AB7}">
  <dimension ref="A1:L58"/>
  <sheetViews>
    <sheetView workbookViewId="0">
      <selection activeCell="L47" sqref="L47"/>
    </sheetView>
  </sheetViews>
  <sheetFormatPr defaultRowHeight="13.5"/>
  <sheetData>
    <row r="1" spans="1:12">
      <c r="A1" t="s">
        <v>101</v>
      </c>
    </row>
    <row r="2" spans="1:12" ht="15">
      <c r="A2" s="101" t="s">
        <v>121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</row>
    <row r="3" spans="1:12" ht="15">
      <c r="A3" s="176"/>
      <c r="B3" s="176"/>
      <c r="C3" s="176"/>
      <c r="D3" s="176"/>
      <c r="E3" s="176"/>
      <c r="F3" s="176"/>
      <c r="G3" s="176"/>
      <c r="H3" s="176"/>
      <c r="I3" s="176"/>
      <c r="J3" s="176"/>
      <c r="K3" s="176"/>
      <c r="L3" s="176"/>
    </row>
    <row r="4" spans="1:12" ht="15">
      <c r="A4" s="177" t="s">
        <v>104</v>
      </c>
      <c r="B4" s="176"/>
      <c r="C4" s="176"/>
      <c r="D4" s="176"/>
      <c r="E4" s="176"/>
      <c r="F4" s="176"/>
      <c r="G4" s="176"/>
      <c r="H4" s="176"/>
      <c r="I4" s="101"/>
      <c r="J4" s="177"/>
      <c r="K4" s="176"/>
      <c r="L4" s="176"/>
    </row>
    <row r="5" spans="1:12" ht="15">
      <c r="A5" s="178" t="s">
        <v>105</v>
      </c>
      <c r="B5" s="179">
        <v>2022</v>
      </c>
      <c r="C5" s="179">
        <v>2023</v>
      </c>
      <c r="D5" s="179">
        <v>2024</v>
      </c>
      <c r="E5" s="179">
        <v>2025</v>
      </c>
      <c r="F5" s="179">
        <v>2026</v>
      </c>
      <c r="G5" s="179">
        <v>2027</v>
      </c>
      <c r="H5" s="179">
        <v>2028</v>
      </c>
      <c r="I5" s="179">
        <v>2029</v>
      </c>
      <c r="J5" s="179">
        <v>2030</v>
      </c>
      <c r="K5" s="179">
        <v>2031</v>
      </c>
      <c r="L5" s="179">
        <v>2032</v>
      </c>
    </row>
    <row r="6" spans="1:12" ht="15">
      <c r="A6" s="103" t="s">
        <v>106</v>
      </c>
      <c r="B6" s="180">
        <v>0.25</v>
      </c>
      <c r="C6" s="180">
        <v>0.25</v>
      </c>
      <c r="D6" s="180">
        <v>0.25</v>
      </c>
      <c r="E6" s="180">
        <v>0.25</v>
      </c>
      <c r="F6" s="180">
        <v>0.25</v>
      </c>
      <c r="G6" s="180">
        <v>0.25</v>
      </c>
      <c r="H6" s="180">
        <v>0.25</v>
      </c>
      <c r="I6" s="180">
        <v>0.25</v>
      </c>
      <c r="J6" s="180">
        <v>0.25</v>
      </c>
      <c r="K6" s="180">
        <v>0.25</v>
      </c>
      <c r="L6" s="180">
        <v>0.25</v>
      </c>
    </row>
    <row r="7" spans="1:12" ht="15">
      <c r="A7" s="103" t="s">
        <v>107</v>
      </c>
      <c r="B7" s="180">
        <v>0.26</v>
      </c>
      <c r="C7" s="180">
        <v>0.26</v>
      </c>
      <c r="D7" s="180">
        <v>0.26</v>
      </c>
      <c r="E7" s="180">
        <v>0.26</v>
      </c>
      <c r="F7" s="180">
        <v>0.26</v>
      </c>
      <c r="G7" s="180">
        <v>0.26</v>
      </c>
      <c r="H7" s="180">
        <v>0.26</v>
      </c>
      <c r="I7" s="180">
        <v>0.26</v>
      </c>
      <c r="J7" s="180">
        <v>0.26</v>
      </c>
      <c r="K7" s="180">
        <v>0.26</v>
      </c>
      <c r="L7" s="180">
        <v>0.26</v>
      </c>
    </row>
    <row r="8" spans="1:12" ht="15">
      <c r="A8" s="103" t="s">
        <v>108</v>
      </c>
      <c r="B8" s="180">
        <v>0.34</v>
      </c>
      <c r="C8" s="180">
        <v>0.34</v>
      </c>
      <c r="D8" s="180">
        <v>0.34</v>
      </c>
      <c r="E8" s="180">
        <v>0.34</v>
      </c>
      <c r="F8" s="180">
        <v>0.34</v>
      </c>
      <c r="G8" s="180">
        <v>0.34</v>
      </c>
      <c r="H8" s="180">
        <v>0.34</v>
      </c>
      <c r="I8" s="180">
        <v>0.34</v>
      </c>
      <c r="J8" s="180">
        <v>0.34</v>
      </c>
      <c r="K8" s="180">
        <v>0.34</v>
      </c>
      <c r="L8" s="180">
        <v>0.34</v>
      </c>
    </row>
    <row r="9" spans="1:12" ht="15">
      <c r="A9" s="103" t="s">
        <v>109</v>
      </c>
      <c r="B9" s="180">
        <v>0.69</v>
      </c>
      <c r="C9" s="180">
        <v>0.69</v>
      </c>
      <c r="D9" s="180">
        <v>0.69</v>
      </c>
      <c r="E9" s="180">
        <v>0.69</v>
      </c>
      <c r="F9" s="180">
        <v>0.69</v>
      </c>
      <c r="G9" s="180">
        <v>0.69</v>
      </c>
      <c r="H9" s="180">
        <v>0.69</v>
      </c>
      <c r="I9" s="180">
        <v>0.69</v>
      </c>
      <c r="J9" s="180">
        <v>0.69</v>
      </c>
      <c r="K9" s="180">
        <v>0.69</v>
      </c>
      <c r="L9" s="180">
        <v>0.69</v>
      </c>
    </row>
    <row r="10" spans="1:12" ht="15">
      <c r="A10" s="103" t="s">
        <v>110</v>
      </c>
      <c r="B10" s="180">
        <v>0.69</v>
      </c>
      <c r="C10" s="180">
        <v>0.69</v>
      </c>
      <c r="D10" s="180">
        <v>0.69</v>
      </c>
      <c r="E10" s="180">
        <v>0.69</v>
      </c>
      <c r="F10" s="180">
        <v>0.69</v>
      </c>
      <c r="G10" s="180">
        <v>0.69</v>
      </c>
      <c r="H10" s="180">
        <v>0.69</v>
      </c>
      <c r="I10" s="180">
        <v>0.69</v>
      </c>
      <c r="J10" s="180">
        <v>0.69</v>
      </c>
      <c r="K10" s="180">
        <v>0.69</v>
      </c>
      <c r="L10" s="180">
        <v>0.69</v>
      </c>
    </row>
    <row r="11" spans="1:12" ht="15">
      <c r="A11" s="103" t="s">
        <v>111</v>
      </c>
      <c r="B11" s="180">
        <v>0.69</v>
      </c>
      <c r="C11" s="180">
        <v>0.69</v>
      </c>
      <c r="D11" s="180">
        <v>0.69</v>
      </c>
      <c r="E11" s="180">
        <v>0.69</v>
      </c>
      <c r="F11" s="180">
        <v>0.69</v>
      </c>
      <c r="G11" s="180">
        <v>0.69</v>
      </c>
      <c r="H11" s="180">
        <v>0.69</v>
      </c>
      <c r="I11" s="180">
        <v>0.69</v>
      </c>
      <c r="J11" s="180">
        <v>0.69</v>
      </c>
      <c r="K11" s="180">
        <v>0.69</v>
      </c>
      <c r="L11" s="180">
        <v>0.69</v>
      </c>
    </row>
    <row r="12" spans="1:12" ht="15">
      <c r="A12" s="181" t="s">
        <v>112</v>
      </c>
      <c r="B12" s="182">
        <v>0.49</v>
      </c>
      <c r="C12" s="182">
        <v>0.49</v>
      </c>
      <c r="D12" s="182">
        <v>0.49</v>
      </c>
      <c r="E12" s="182">
        <v>0.49</v>
      </c>
      <c r="F12" s="182">
        <v>0.49</v>
      </c>
      <c r="G12" s="182">
        <v>0.49</v>
      </c>
      <c r="H12" s="182">
        <v>0.49</v>
      </c>
      <c r="I12" s="182">
        <v>0.49</v>
      </c>
      <c r="J12" s="182">
        <v>0.49</v>
      </c>
      <c r="K12" s="182">
        <v>0.49</v>
      </c>
      <c r="L12" s="182">
        <v>0.49</v>
      </c>
    </row>
    <row r="13" spans="1:12" ht="15">
      <c r="A13" s="101"/>
      <c r="B13" s="101"/>
      <c r="C13" s="101"/>
      <c r="D13" s="101"/>
      <c r="E13" s="101"/>
      <c r="F13" s="101"/>
      <c r="G13" s="101"/>
      <c r="H13" s="101"/>
      <c r="I13" s="101"/>
      <c r="J13" s="101"/>
      <c r="K13" s="101"/>
      <c r="L13" s="101"/>
    </row>
    <row r="14" spans="1:12" ht="17.25">
      <c r="A14" s="176" t="s">
        <v>113</v>
      </c>
      <c r="B14" s="176"/>
      <c r="C14" s="176"/>
      <c r="D14" s="176"/>
      <c r="E14" s="176"/>
      <c r="F14" s="176"/>
      <c r="G14" s="176"/>
      <c r="H14" s="176"/>
      <c r="I14" s="101"/>
      <c r="J14" s="176"/>
      <c r="K14" s="176"/>
      <c r="L14" s="176"/>
    </row>
    <row r="15" spans="1:12" ht="15">
      <c r="A15" s="178" t="s">
        <v>105</v>
      </c>
      <c r="B15" s="179">
        <v>2022</v>
      </c>
      <c r="C15" s="179">
        <v>2023</v>
      </c>
      <c r="D15" s="179">
        <v>2024</v>
      </c>
      <c r="E15" s="179">
        <v>2025</v>
      </c>
      <c r="F15" s="179">
        <v>2026</v>
      </c>
      <c r="G15" s="179">
        <v>2027</v>
      </c>
      <c r="H15" s="179">
        <v>2028</v>
      </c>
      <c r="I15" s="179">
        <v>2029</v>
      </c>
      <c r="J15" s="179">
        <v>2030</v>
      </c>
      <c r="K15" s="179">
        <v>2031</v>
      </c>
      <c r="L15" s="179">
        <v>2032</v>
      </c>
    </row>
    <row r="16" spans="1:12" ht="15">
      <c r="A16" s="103" t="s">
        <v>106</v>
      </c>
      <c r="B16" s="106">
        <v>44156</v>
      </c>
      <c r="C16" s="106">
        <v>44013</v>
      </c>
      <c r="D16" s="106">
        <v>44197</v>
      </c>
      <c r="E16" s="106">
        <v>43980</v>
      </c>
      <c r="F16" s="106">
        <v>44152</v>
      </c>
      <c r="G16" s="106">
        <v>30811</v>
      </c>
      <c r="H16" s="106">
        <v>30804</v>
      </c>
      <c r="I16" s="106">
        <v>30837</v>
      </c>
      <c r="J16" s="106">
        <v>30927</v>
      </c>
      <c r="K16" s="106">
        <v>30803</v>
      </c>
      <c r="L16" s="106">
        <v>29871</v>
      </c>
    </row>
    <row r="17" spans="1:12" ht="15">
      <c r="A17" s="103" t="s">
        <v>107</v>
      </c>
      <c r="B17" s="106">
        <v>39421</v>
      </c>
      <c r="C17" s="106">
        <v>23028</v>
      </c>
      <c r="D17" s="106">
        <v>22953</v>
      </c>
      <c r="E17" s="106">
        <v>23049</v>
      </c>
      <c r="F17" s="106">
        <v>22936</v>
      </c>
      <c r="G17" s="106">
        <v>23026</v>
      </c>
      <c r="H17" s="106">
        <v>16068</v>
      </c>
      <c r="I17" s="106">
        <v>16065</v>
      </c>
      <c r="J17" s="106">
        <v>16082</v>
      </c>
      <c r="K17" s="106">
        <v>16129</v>
      </c>
      <c r="L17" s="106">
        <v>16064</v>
      </c>
    </row>
    <row r="18" spans="1:12" ht="15">
      <c r="A18" s="103" t="s">
        <v>108</v>
      </c>
      <c r="B18" s="106">
        <v>24873</v>
      </c>
      <c r="C18" s="106">
        <v>20471</v>
      </c>
      <c r="D18" s="106">
        <v>11958</v>
      </c>
      <c r="E18" s="106">
        <v>11919</v>
      </c>
      <c r="F18" s="106">
        <v>11969</v>
      </c>
      <c r="G18" s="106">
        <v>11910</v>
      </c>
      <c r="H18" s="106">
        <v>11957</v>
      </c>
      <c r="I18" s="106">
        <v>8344</v>
      </c>
      <c r="J18" s="106">
        <v>8342</v>
      </c>
      <c r="K18" s="106">
        <v>8351</v>
      </c>
      <c r="L18" s="106">
        <v>8375</v>
      </c>
    </row>
    <row r="19" spans="1:12" ht="15">
      <c r="A19" s="103" t="s">
        <v>109</v>
      </c>
      <c r="B19" s="106">
        <v>5676</v>
      </c>
      <c r="C19" s="106">
        <v>11923</v>
      </c>
      <c r="D19" s="106">
        <v>9812</v>
      </c>
      <c r="E19" s="106">
        <v>5732</v>
      </c>
      <c r="F19" s="106">
        <v>5713</v>
      </c>
      <c r="G19" s="106">
        <v>5737</v>
      </c>
      <c r="H19" s="106">
        <v>5709</v>
      </c>
      <c r="I19" s="106">
        <v>5731</v>
      </c>
      <c r="J19" s="106">
        <v>4000</v>
      </c>
      <c r="K19" s="106">
        <v>3999</v>
      </c>
      <c r="L19" s="106">
        <v>4003</v>
      </c>
    </row>
    <row r="20" spans="1:12" ht="15">
      <c r="A20" s="103" t="s">
        <v>110</v>
      </c>
      <c r="B20" s="106">
        <v>3691</v>
      </c>
      <c r="C20" s="106">
        <v>1906</v>
      </c>
      <c r="D20" s="106">
        <v>4003</v>
      </c>
      <c r="E20" s="106">
        <v>3295</v>
      </c>
      <c r="F20" s="106">
        <v>1925</v>
      </c>
      <c r="G20" s="106">
        <v>1918</v>
      </c>
      <c r="H20" s="106">
        <v>1926</v>
      </c>
      <c r="I20" s="106">
        <v>1917</v>
      </c>
      <c r="J20" s="106">
        <v>1925</v>
      </c>
      <c r="K20" s="106">
        <v>1343</v>
      </c>
      <c r="L20" s="106">
        <v>1343</v>
      </c>
    </row>
    <row r="21" spans="1:12" ht="15">
      <c r="A21" s="103" t="s">
        <v>111</v>
      </c>
      <c r="B21" s="106">
        <v>716</v>
      </c>
      <c r="C21" s="106">
        <v>1483</v>
      </c>
      <c r="D21" s="106">
        <v>1141</v>
      </c>
      <c r="E21" s="106">
        <v>1731</v>
      </c>
      <c r="F21" s="106">
        <v>1692</v>
      </c>
      <c r="G21" s="106">
        <v>1217</v>
      </c>
      <c r="H21" s="106">
        <v>1055</v>
      </c>
      <c r="I21" s="106">
        <v>1004</v>
      </c>
      <c r="J21" s="106">
        <v>983</v>
      </c>
      <c r="K21" s="106">
        <v>979</v>
      </c>
      <c r="L21" s="106">
        <v>781</v>
      </c>
    </row>
    <row r="22" spans="1:12" ht="15">
      <c r="A22" s="178" t="s">
        <v>114</v>
      </c>
      <c r="B22" s="183">
        <v>118533</v>
      </c>
      <c r="C22" s="183">
        <v>102824</v>
      </c>
      <c r="D22" s="183">
        <v>94064</v>
      </c>
      <c r="E22" s="183">
        <v>89706</v>
      </c>
      <c r="F22" s="183">
        <v>88387</v>
      </c>
      <c r="G22" s="183">
        <v>74619</v>
      </c>
      <c r="H22" s="183">
        <v>67519</v>
      </c>
      <c r="I22" s="183">
        <v>63898</v>
      </c>
      <c r="J22" s="183">
        <v>62259</v>
      </c>
      <c r="K22" s="183">
        <v>61604</v>
      </c>
      <c r="L22" s="183">
        <v>60437</v>
      </c>
    </row>
    <row r="23" spans="1:12" ht="15">
      <c r="A23" s="101"/>
      <c r="B23" s="184"/>
      <c r="C23" s="184"/>
      <c r="D23" s="184"/>
      <c r="E23" s="184"/>
      <c r="F23" s="184"/>
      <c r="G23" s="184"/>
      <c r="H23" s="184"/>
      <c r="I23" s="101"/>
      <c r="J23" s="101"/>
      <c r="K23" s="184"/>
      <c r="L23" s="184"/>
    </row>
    <row r="24" spans="1:12" ht="17.25">
      <c r="A24" s="176" t="s">
        <v>122</v>
      </c>
      <c r="B24" s="184"/>
      <c r="C24" s="184"/>
      <c r="D24" s="184"/>
      <c r="E24" s="184"/>
      <c r="F24" s="184"/>
      <c r="G24" s="184"/>
      <c r="H24" s="184"/>
      <c r="I24" s="101"/>
      <c r="J24" s="176"/>
      <c r="K24" s="184"/>
      <c r="L24" s="184"/>
    </row>
    <row r="25" spans="1:12" ht="15">
      <c r="A25" s="178" t="s">
        <v>105</v>
      </c>
      <c r="B25" s="179">
        <v>2022</v>
      </c>
      <c r="C25" s="179">
        <v>2023</v>
      </c>
      <c r="D25" s="179">
        <v>2024</v>
      </c>
      <c r="E25" s="179">
        <v>2025</v>
      </c>
      <c r="F25" s="179">
        <v>2026</v>
      </c>
      <c r="G25" s="179">
        <v>2027</v>
      </c>
      <c r="H25" s="179">
        <v>2028</v>
      </c>
      <c r="I25" s="179">
        <v>2029</v>
      </c>
      <c r="J25" s="179">
        <v>2030</v>
      </c>
      <c r="K25" s="179">
        <v>2031</v>
      </c>
      <c r="L25" s="179">
        <v>2032</v>
      </c>
    </row>
    <row r="26" spans="1:12" ht="15">
      <c r="A26" s="103" t="s">
        <v>106</v>
      </c>
      <c r="B26" s="106">
        <v>758</v>
      </c>
      <c r="C26" s="106">
        <v>755</v>
      </c>
      <c r="D26" s="106">
        <v>737</v>
      </c>
      <c r="E26" s="106">
        <v>734</v>
      </c>
      <c r="F26" s="106">
        <v>737</v>
      </c>
      <c r="G26" s="106">
        <v>514</v>
      </c>
      <c r="H26" s="106">
        <v>514</v>
      </c>
      <c r="I26" s="106">
        <v>515</v>
      </c>
      <c r="J26" s="106">
        <v>516</v>
      </c>
      <c r="K26" s="106">
        <v>514</v>
      </c>
      <c r="L26" s="106">
        <v>498</v>
      </c>
    </row>
    <row r="27" spans="1:12" ht="15">
      <c r="A27" s="103" t="s">
        <v>107</v>
      </c>
      <c r="B27" s="106">
        <v>1520</v>
      </c>
      <c r="C27" s="106">
        <v>888</v>
      </c>
      <c r="D27" s="106">
        <v>1031</v>
      </c>
      <c r="E27" s="106">
        <v>1035</v>
      </c>
      <c r="F27" s="106">
        <v>1030</v>
      </c>
      <c r="G27" s="106">
        <v>1034</v>
      </c>
      <c r="H27" s="106">
        <v>722</v>
      </c>
      <c r="I27" s="106">
        <v>722</v>
      </c>
      <c r="J27" s="106">
        <v>722</v>
      </c>
      <c r="K27" s="106">
        <v>725</v>
      </c>
      <c r="L27" s="106">
        <v>722</v>
      </c>
    </row>
    <row r="28" spans="1:12" ht="15">
      <c r="A28" s="103" t="s">
        <v>108</v>
      </c>
      <c r="B28" s="106">
        <v>1285</v>
      </c>
      <c r="C28" s="106">
        <v>1058</v>
      </c>
      <c r="D28" s="106">
        <v>973</v>
      </c>
      <c r="E28" s="106">
        <v>970</v>
      </c>
      <c r="F28" s="106">
        <v>974</v>
      </c>
      <c r="G28" s="106">
        <v>969</v>
      </c>
      <c r="H28" s="106">
        <v>973</v>
      </c>
      <c r="I28" s="106">
        <v>679</v>
      </c>
      <c r="J28" s="106">
        <v>679</v>
      </c>
      <c r="K28" s="106">
        <v>680</v>
      </c>
      <c r="L28" s="106">
        <v>682</v>
      </c>
    </row>
    <row r="29" spans="1:12" ht="15">
      <c r="A29" s="103" t="s">
        <v>109</v>
      </c>
      <c r="B29" s="106">
        <v>400</v>
      </c>
      <c r="C29" s="106">
        <v>840</v>
      </c>
      <c r="D29" s="106">
        <v>1028</v>
      </c>
      <c r="E29" s="106">
        <v>601</v>
      </c>
      <c r="F29" s="106">
        <v>599</v>
      </c>
      <c r="G29" s="106">
        <v>601</v>
      </c>
      <c r="H29" s="106">
        <v>598</v>
      </c>
      <c r="I29" s="106">
        <v>600</v>
      </c>
      <c r="J29" s="106">
        <v>419</v>
      </c>
      <c r="K29" s="106">
        <v>419</v>
      </c>
      <c r="L29" s="106">
        <v>419</v>
      </c>
    </row>
    <row r="30" spans="1:12" ht="15">
      <c r="A30" s="103" t="s">
        <v>110</v>
      </c>
      <c r="B30" s="106">
        <v>349</v>
      </c>
      <c r="C30" s="106">
        <v>180</v>
      </c>
      <c r="D30" s="106">
        <v>483</v>
      </c>
      <c r="E30" s="106">
        <v>397</v>
      </c>
      <c r="F30" s="106">
        <v>232</v>
      </c>
      <c r="G30" s="106">
        <v>231</v>
      </c>
      <c r="H30" s="106">
        <v>232</v>
      </c>
      <c r="I30" s="106">
        <v>231</v>
      </c>
      <c r="J30" s="106">
        <v>232</v>
      </c>
      <c r="K30" s="106">
        <v>162</v>
      </c>
      <c r="L30" s="106">
        <v>162</v>
      </c>
    </row>
    <row r="31" spans="1:12" ht="15">
      <c r="A31" s="103" t="s">
        <v>111</v>
      </c>
      <c r="B31" s="106">
        <v>83</v>
      </c>
      <c r="C31" s="106">
        <v>173</v>
      </c>
      <c r="D31" s="106">
        <v>157</v>
      </c>
      <c r="E31" s="106">
        <v>239</v>
      </c>
      <c r="F31" s="106">
        <v>234</v>
      </c>
      <c r="G31" s="106">
        <v>168</v>
      </c>
      <c r="H31" s="106">
        <v>146</v>
      </c>
      <c r="I31" s="106">
        <v>139</v>
      </c>
      <c r="J31" s="106">
        <v>136</v>
      </c>
      <c r="K31" s="106">
        <v>135</v>
      </c>
      <c r="L31" s="106">
        <v>108</v>
      </c>
    </row>
    <row r="32" spans="1:12" ht="15">
      <c r="A32" s="178" t="s">
        <v>114</v>
      </c>
      <c r="B32" s="183">
        <v>4395</v>
      </c>
      <c r="C32" s="183">
        <v>3894</v>
      </c>
      <c r="D32" s="183">
        <v>4410</v>
      </c>
      <c r="E32" s="183">
        <v>3976</v>
      </c>
      <c r="F32" s="183">
        <v>3805</v>
      </c>
      <c r="G32" s="183">
        <v>3518</v>
      </c>
      <c r="H32" s="183">
        <v>3185</v>
      </c>
      <c r="I32" s="183">
        <v>2885</v>
      </c>
      <c r="J32" s="183">
        <v>2704</v>
      </c>
      <c r="K32" s="183">
        <v>2634</v>
      </c>
      <c r="L32" s="183">
        <v>2591</v>
      </c>
    </row>
    <row r="33" spans="1:12" ht="15">
      <c r="A33" s="178" t="s">
        <v>116</v>
      </c>
      <c r="B33" s="183">
        <v>2421</v>
      </c>
      <c r="C33" s="183">
        <v>2429</v>
      </c>
      <c r="D33" s="183">
        <v>2847</v>
      </c>
      <c r="E33" s="183">
        <v>2414</v>
      </c>
      <c r="F33" s="183">
        <v>2244</v>
      </c>
      <c r="G33" s="183">
        <v>2177</v>
      </c>
      <c r="H33" s="183">
        <v>2093</v>
      </c>
      <c r="I33" s="183">
        <v>1793</v>
      </c>
      <c r="J33" s="183">
        <v>1610</v>
      </c>
      <c r="K33" s="183">
        <v>1540</v>
      </c>
      <c r="L33" s="183">
        <v>1515</v>
      </c>
    </row>
    <row r="34" spans="1:12" ht="15">
      <c r="A34" s="184"/>
      <c r="B34" s="184"/>
      <c r="C34" s="184"/>
      <c r="D34" s="184"/>
      <c r="E34" s="184"/>
      <c r="F34" s="184"/>
      <c r="G34" s="184"/>
      <c r="H34" s="184"/>
      <c r="I34" s="101"/>
      <c r="J34" s="184"/>
      <c r="K34" s="184"/>
      <c r="L34" s="184"/>
    </row>
    <row r="35" spans="1:12" ht="17.25">
      <c r="A35" s="177" t="s">
        <v>117</v>
      </c>
      <c r="B35" s="184"/>
      <c r="C35" s="184"/>
      <c r="D35" s="184"/>
      <c r="E35" s="184"/>
      <c r="F35" s="184"/>
      <c r="G35" s="184"/>
      <c r="H35" s="184"/>
      <c r="I35" s="101"/>
      <c r="J35" s="177"/>
      <c r="K35" s="184"/>
      <c r="L35" s="184"/>
    </row>
    <row r="36" spans="1:12" ht="15">
      <c r="A36" s="178" t="s">
        <v>105</v>
      </c>
      <c r="B36" s="179">
        <v>2022</v>
      </c>
      <c r="C36" s="179">
        <v>2023</v>
      </c>
      <c r="D36" s="179">
        <v>2024</v>
      </c>
      <c r="E36" s="179">
        <v>2025</v>
      </c>
      <c r="F36" s="179">
        <v>2026</v>
      </c>
      <c r="G36" s="179">
        <v>2027</v>
      </c>
      <c r="H36" s="179">
        <v>2028</v>
      </c>
      <c r="I36" s="179">
        <v>2029</v>
      </c>
      <c r="J36" s="179">
        <v>2030</v>
      </c>
      <c r="K36" s="179">
        <v>2031</v>
      </c>
      <c r="L36" s="179">
        <v>2032</v>
      </c>
    </row>
    <row r="37" spans="1:12" ht="15">
      <c r="A37" s="103" t="s">
        <v>106</v>
      </c>
      <c r="B37" s="104">
        <v>8026</v>
      </c>
      <c r="C37" s="104">
        <v>8000</v>
      </c>
      <c r="D37" s="104">
        <v>8033</v>
      </c>
      <c r="E37" s="104">
        <v>7994</v>
      </c>
      <c r="F37" s="104">
        <v>8025</v>
      </c>
      <c r="G37" s="104">
        <v>5600</v>
      </c>
      <c r="H37" s="104">
        <v>5599</v>
      </c>
      <c r="I37" s="104">
        <v>5605</v>
      </c>
      <c r="J37" s="104">
        <v>5621</v>
      </c>
      <c r="K37" s="104">
        <v>5599</v>
      </c>
      <c r="L37" s="104">
        <v>5429</v>
      </c>
    </row>
    <row r="38" spans="1:12" ht="15">
      <c r="A38" s="103" t="s">
        <v>107</v>
      </c>
      <c r="B38" s="104">
        <v>7272</v>
      </c>
      <c r="C38" s="104">
        <v>4248</v>
      </c>
      <c r="D38" s="104">
        <v>4234</v>
      </c>
      <c r="E38" s="104">
        <v>4252</v>
      </c>
      <c r="F38" s="104">
        <v>4231</v>
      </c>
      <c r="G38" s="104">
        <v>4248</v>
      </c>
      <c r="H38" s="104">
        <v>2964</v>
      </c>
      <c r="I38" s="104">
        <v>2964</v>
      </c>
      <c r="J38" s="104">
        <v>2967</v>
      </c>
      <c r="K38" s="104">
        <v>2975</v>
      </c>
      <c r="L38" s="104">
        <v>2963</v>
      </c>
    </row>
    <row r="39" spans="1:12" ht="15">
      <c r="A39" s="103" t="s">
        <v>108</v>
      </c>
      <c r="B39" s="104">
        <v>5802</v>
      </c>
      <c r="C39" s="104">
        <v>4775</v>
      </c>
      <c r="D39" s="104">
        <v>2789</v>
      </c>
      <c r="E39" s="104">
        <v>2780</v>
      </c>
      <c r="F39" s="104">
        <v>2792</v>
      </c>
      <c r="G39" s="104">
        <v>2778</v>
      </c>
      <c r="H39" s="104">
        <v>2789</v>
      </c>
      <c r="I39" s="104">
        <v>1946</v>
      </c>
      <c r="J39" s="104">
        <v>1946</v>
      </c>
      <c r="K39" s="104">
        <v>1948</v>
      </c>
      <c r="L39" s="104">
        <v>1954</v>
      </c>
    </row>
    <row r="40" spans="1:12" ht="15">
      <c r="A40" s="103" t="s">
        <v>109</v>
      </c>
      <c r="B40" s="104">
        <v>2319</v>
      </c>
      <c r="C40" s="104">
        <v>4872</v>
      </c>
      <c r="D40" s="104">
        <v>4009</v>
      </c>
      <c r="E40" s="104">
        <v>2342</v>
      </c>
      <c r="F40" s="104">
        <v>2334</v>
      </c>
      <c r="G40" s="104">
        <v>2344</v>
      </c>
      <c r="H40" s="104">
        <v>2333</v>
      </c>
      <c r="I40" s="104">
        <v>2342</v>
      </c>
      <c r="J40" s="104">
        <v>1634</v>
      </c>
      <c r="K40" s="104">
        <v>1634</v>
      </c>
      <c r="L40" s="104">
        <v>1636</v>
      </c>
    </row>
    <row r="41" spans="1:12" ht="15">
      <c r="A41" s="103" t="s">
        <v>110</v>
      </c>
      <c r="B41" s="104">
        <v>1505</v>
      </c>
      <c r="C41" s="104">
        <v>777</v>
      </c>
      <c r="D41" s="104">
        <v>1632</v>
      </c>
      <c r="E41" s="104">
        <v>1343</v>
      </c>
      <c r="F41" s="104">
        <v>785</v>
      </c>
      <c r="G41" s="104">
        <v>782</v>
      </c>
      <c r="H41" s="104">
        <v>785</v>
      </c>
      <c r="I41" s="104">
        <v>781</v>
      </c>
      <c r="J41" s="104">
        <v>785</v>
      </c>
      <c r="K41" s="104">
        <v>547</v>
      </c>
      <c r="L41" s="104">
        <v>547</v>
      </c>
    </row>
    <row r="42" spans="1:12" ht="15">
      <c r="A42" s="103" t="s">
        <v>111</v>
      </c>
      <c r="B42" s="104">
        <v>292</v>
      </c>
      <c r="C42" s="104">
        <v>605</v>
      </c>
      <c r="D42" s="104">
        <v>465</v>
      </c>
      <c r="E42" s="104">
        <v>706</v>
      </c>
      <c r="F42" s="104">
        <v>690</v>
      </c>
      <c r="G42" s="104">
        <v>496</v>
      </c>
      <c r="H42" s="104">
        <v>430</v>
      </c>
      <c r="I42" s="104">
        <v>409</v>
      </c>
      <c r="J42" s="104">
        <v>401</v>
      </c>
      <c r="K42" s="104">
        <v>399</v>
      </c>
      <c r="L42" s="104">
        <v>319</v>
      </c>
    </row>
    <row r="43" spans="1:12" ht="15">
      <c r="A43" s="178" t="s">
        <v>114</v>
      </c>
      <c r="B43" s="183">
        <v>25216</v>
      </c>
      <c r="C43" s="183">
        <v>23276</v>
      </c>
      <c r="D43" s="183">
        <v>21163</v>
      </c>
      <c r="E43" s="183">
        <v>19417</v>
      </c>
      <c r="F43" s="183">
        <v>18857</v>
      </c>
      <c r="G43" s="183">
        <v>16249</v>
      </c>
      <c r="H43" s="183">
        <v>14901</v>
      </c>
      <c r="I43" s="183">
        <v>14047</v>
      </c>
      <c r="J43" s="183">
        <v>13353</v>
      </c>
      <c r="K43" s="183">
        <v>13102</v>
      </c>
      <c r="L43" s="183">
        <v>12848</v>
      </c>
    </row>
    <row r="44" spans="1:12" ht="15">
      <c r="A44" s="101"/>
      <c r="B44" s="101"/>
      <c r="C44" s="101"/>
      <c r="D44" s="101"/>
      <c r="E44" s="101"/>
      <c r="F44" s="101"/>
      <c r="G44" s="101"/>
      <c r="H44" s="101"/>
      <c r="I44" s="101"/>
      <c r="J44" s="101"/>
      <c r="K44" s="101"/>
      <c r="L44" s="101"/>
    </row>
    <row r="45" spans="1:12" ht="17.25">
      <c r="A45" s="176" t="s">
        <v>123</v>
      </c>
      <c r="B45" s="176"/>
      <c r="C45" s="176"/>
      <c r="D45" s="176"/>
      <c r="E45" s="176"/>
      <c r="F45" s="176"/>
      <c r="G45" s="176"/>
      <c r="H45" s="176"/>
      <c r="I45" s="176"/>
      <c r="J45" s="176"/>
      <c r="K45" s="176"/>
      <c r="L45" s="176"/>
    </row>
    <row r="46" spans="1:12" ht="15">
      <c r="A46" s="178" t="s">
        <v>105</v>
      </c>
      <c r="B46" s="179">
        <v>2022</v>
      </c>
      <c r="C46" s="179">
        <v>2023</v>
      </c>
      <c r="D46" s="179">
        <v>2024</v>
      </c>
      <c r="E46" s="179">
        <v>2025</v>
      </c>
      <c r="F46" s="179">
        <v>2026</v>
      </c>
      <c r="G46" s="179">
        <v>2027</v>
      </c>
      <c r="H46" s="179">
        <v>2028</v>
      </c>
      <c r="I46" s="179">
        <v>2029</v>
      </c>
      <c r="J46" s="179">
        <v>2030</v>
      </c>
      <c r="K46" s="179">
        <v>2031</v>
      </c>
      <c r="L46" s="179">
        <v>2032</v>
      </c>
    </row>
    <row r="47" spans="1:12" ht="15">
      <c r="A47" s="103" t="s">
        <v>106</v>
      </c>
      <c r="B47" s="104">
        <v>138</v>
      </c>
      <c r="C47" s="104">
        <v>137</v>
      </c>
      <c r="D47" s="104">
        <v>134</v>
      </c>
      <c r="E47" s="104">
        <v>133</v>
      </c>
      <c r="F47" s="104">
        <v>134</v>
      </c>
      <c r="G47" s="104">
        <v>93</v>
      </c>
      <c r="H47" s="104">
        <v>93</v>
      </c>
      <c r="I47" s="104">
        <v>94</v>
      </c>
      <c r="J47" s="104">
        <v>94</v>
      </c>
      <c r="K47" s="104">
        <v>93</v>
      </c>
      <c r="L47" s="104">
        <v>91</v>
      </c>
    </row>
    <row r="48" spans="1:12" ht="15">
      <c r="A48" s="103" t="s">
        <v>107</v>
      </c>
      <c r="B48" s="104">
        <v>280</v>
      </c>
      <c r="C48" s="104">
        <v>164</v>
      </c>
      <c r="D48" s="104">
        <v>190</v>
      </c>
      <c r="E48" s="104">
        <v>191</v>
      </c>
      <c r="F48" s="104">
        <v>190</v>
      </c>
      <c r="G48" s="104">
        <v>191</v>
      </c>
      <c r="H48" s="104">
        <v>133</v>
      </c>
      <c r="I48" s="104">
        <v>133</v>
      </c>
      <c r="J48" s="104">
        <v>133</v>
      </c>
      <c r="K48" s="104">
        <v>134</v>
      </c>
      <c r="L48" s="104">
        <v>133</v>
      </c>
    </row>
    <row r="49" spans="1:12" ht="15">
      <c r="A49" s="103" t="s">
        <v>108</v>
      </c>
      <c r="B49" s="104">
        <v>300</v>
      </c>
      <c r="C49" s="104">
        <v>247</v>
      </c>
      <c r="D49" s="104">
        <v>227</v>
      </c>
      <c r="E49" s="104">
        <v>226</v>
      </c>
      <c r="F49" s="104">
        <v>227</v>
      </c>
      <c r="G49" s="104">
        <v>226</v>
      </c>
      <c r="H49" s="104">
        <v>227</v>
      </c>
      <c r="I49" s="104">
        <v>158</v>
      </c>
      <c r="J49" s="104">
        <v>158</v>
      </c>
      <c r="K49" s="104">
        <v>159</v>
      </c>
      <c r="L49" s="104">
        <v>159</v>
      </c>
    </row>
    <row r="50" spans="1:12" ht="15">
      <c r="A50" s="103" t="s">
        <v>109</v>
      </c>
      <c r="B50" s="104">
        <v>163</v>
      </c>
      <c r="C50" s="104">
        <v>343</v>
      </c>
      <c r="D50" s="104">
        <v>420</v>
      </c>
      <c r="E50" s="104">
        <v>245</v>
      </c>
      <c r="F50" s="104">
        <v>245</v>
      </c>
      <c r="G50" s="104">
        <v>246</v>
      </c>
      <c r="H50" s="104">
        <v>244</v>
      </c>
      <c r="I50" s="104">
        <v>245</v>
      </c>
      <c r="J50" s="104">
        <v>171</v>
      </c>
      <c r="K50" s="104">
        <v>171</v>
      </c>
      <c r="L50" s="104">
        <v>171</v>
      </c>
    </row>
    <row r="51" spans="1:12" ht="15">
      <c r="A51" s="103" t="s">
        <v>110</v>
      </c>
      <c r="B51" s="104">
        <v>142</v>
      </c>
      <c r="C51" s="104">
        <v>73</v>
      </c>
      <c r="D51" s="104">
        <v>197</v>
      </c>
      <c r="E51" s="104">
        <v>162</v>
      </c>
      <c r="F51" s="104">
        <v>95</v>
      </c>
      <c r="G51" s="104">
        <v>94</v>
      </c>
      <c r="H51" s="104">
        <v>95</v>
      </c>
      <c r="I51" s="104">
        <v>94</v>
      </c>
      <c r="J51" s="104">
        <v>95</v>
      </c>
      <c r="K51" s="104">
        <v>66</v>
      </c>
      <c r="L51" s="104">
        <v>66</v>
      </c>
    </row>
    <row r="52" spans="1:12" ht="15">
      <c r="A52" s="103" t="s">
        <v>111</v>
      </c>
      <c r="B52" s="104">
        <v>34</v>
      </c>
      <c r="C52" s="104">
        <v>70</v>
      </c>
      <c r="D52" s="104">
        <v>64</v>
      </c>
      <c r="E52" s="104">
        <v>97</v>
      </c>
      <c r="F52" s="104">
        <v>95</v>
      </c>
      <c r="G52" s="104">
        <v>69</v>
      </c>
      <c r="H52" s="104">
        <v>59</v>
      </c>
      <c r="I52" s="104">
        <v>56</v>
      </c>
      <c r="J52" s="104">
        <v>55</v>
      </c>
      <c r="K52" s="104">
        <v>55</v>
      </c>
      <c r="L52" s="104">
        <v>44</v>
      </c>
    </row>
    <row r="53" spans="1:12" ht="15">
      <c r="A53" s="185" t="s">
        <v>114</v>
      </c>
      <c r="B53" s="183">
        <v>1058</v>
      </c>
      <c r="C53" s="183">
        <v>1035</v>
      </c>
      <c r="D53" s="183">
        <v>1232</v>
      </c>
      <c r="E53" s="183">
        <v>1055</v>
      </c>
      <c r="F53" s="183">
        <v>986</v>
      </c>
      <c r="G53" s="183">
        <v>919</v>
      </c>
      <c r="H53" s="183">
        <v>852</v>
      </c>
      <c r="I53" s="183">
        <v>781</v>
      </c>
      <c r="J53" s="183">
        <v>707</v>
      </c>
      <c r="K53" s="183">
        <v>678</v>
      </c>
      <c r="L53" s="183">
        <v>664</v>
      </c>
    </row>
    <row r="54" spans="1:12" ht="15">
      <c r="A54" s="186" t="s">
        <v>119</v>
      </c>
      <c r="B54" s="187">
        <v>0.24</v>
      </c>
      <c r="C54" s="187">
        <v>0.27</v>
      </c>
      <c r="D54" s="187">
        <v>0.28000000000000003</v>
      </c>
      <c r="E54" s="187">
        <v>0.27</v>
      </c>
      <c r="F54" s="187">
        <v>0.26</v>
      </c>
      <c r="G54" s="187">
        <v>0.26</v>
      </c>
      <c r="H54" s="187">
        <v>0.27</v>
      </c>
      <c r="I54" s="187">
        <v>0.27</v>
      </c>
      <c r="J54" s="187">
        <v>0.26</v>
      </c>
      <c r="K54" s="187">
        <v>0.26</v>
      </c>
      <c r="L54" s="187">
        <v>0.26</v>
      </c>
    </row>
    <row r="55" spans="1:12" ht="15">
      <c r="A55" s="101"/>
      <c r="B55" s="101"/>
      <c r="C55" s="101"/>
      <c r="D55" s="101"/>
      <c r="E55" s="101"/>
      <c r="F55" s="101"/>
      <c r="G55" s="101"/>
      <c r="H55" s="101"/>
      <c r="I55" s="101"/>
      <c r="J55" s="101"/>
      <c r="K55" s="101"/>
      <c r="L55" s="101"/>
    </row>
    <row r="56" spans="1:12" ht="15">
      <c r="A56" s="188"/>
      <c r="B56" s="188"/>
      <c r="C56" s="188"/>
      <c r="D56" s="188"/>
      <c r="E56" s="188"/>
      <c r="F56" s="188"/>
      <c r="G56" s="188"/>
      <c r="H56" s="188"/>
      <c r="I56" s="188"/>
      <c r="J56" s="188"/>
      <c r="K56" s="188"/>
      <c r="L56" s="188"/>
    </row>
    <row r="57" spans="1:12" ht="15">
      <c r="A57" s="188"/>
      <c r="B57" s="188"/>
      <c r="C57" s="188"/>
      <c r="D57" s="188"/>
      <c r="E57" s="188"/>
      <c r="F57" s="188"/>
      <c r="G57" s="188"/>
      <c r="H57" s="188"/>
      <c r="I57" s="188"/>
      <c r="J57" s="188"/>
      <c r="K57" s="188"/>
      <c r="L57" s="188"/>
    </row>
    <row r="58" spans="1:12" ht="15">
      <c r="A58" s="188" t="s">
        <v>120</v>
      </c>
      <c r="B58" s="188"/>
      <c r="C58" s="188"/>
      <c r="D58" s="188"/>
      <c r="E58" s="188"/>
      <c r="F58" s="188"/>
      <c r="G58" s="188"/>
      <c r="H58" s="188"/>
      <c r="I58" s="188"/>
      <c r="J58" s="188"/>
      <c r="K58" s="188"/>
      <c r="L58" s="188"/>
    </row>
  </sheetData>
  <phoneticPr fontId="3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4BF69-2228-47C1-AEAB-4DD7F558AFA6}">
  <dimension ref="A1:J51"/>
  <sheetViews>
    <sheetView zoomScaleNormal="100" workbookViewId="0">
      <selection activeCell="C4" sqref="C4"/>
    </sheetView>
  </sheetViews>
  <sheetFormatPr defaultRowHeight="13.5"/>
  <cols>
    <col min="1" max="1" width="6.5" customWidth="1"/>
    <col min="2" max="4" width="10.125" customWidth="1"/>
    <col min="5" max="6" width="10.625" customWidth="1"/>
    <col min="7" max="8" width="9.375" customWidth="1"/>
    <col min="9" max="9" width="10.125" customWidth="1"/>
  </cols>
  <sheetData>
    <row r="1" spans="1:9" ht="14.25">
      <c r="A1" s="35"/>
      <c r="B1" s="35"/>
      <c r="C1" s="35"/>
      <c r="D1" s="35"/>
      <c r="E1" s="35"/>
      <c r="F1" s="35"/>
      <c r="G1" s="35"/>
      <c r="H1" s="35"/>
      <c r="I1" s="35"/>
    </row>
    <row r="2" spans="1:9" ht="15">
      <c r="A2" s="57" t="s">
        <v>124</v>
      </c>
      <c r="B2" s="35"/>
      <c r="C2" s="35"/>
      <c r="D2" s="35"/>
      <c r="E2" s="35"/>
      <c r="F2" s="35"/>
      <c r="G2" s="35"/>
      <c r="H2" s="35"/>
      <c r="I2" s="35"/>
    </row>
    <row r="3" spans="1:9" ht="13.5" customHeight="1">
      <c r="A3" s="197" t="s">
        <v>0</v>
      </c>
      <c r="B3" s="199" t="s">
        <v>34</v>
      </c>
      <c r="C3" s="200"/>
      <c r="D3" s="201"/>
      <c r="E3" s="197" t="s">
        <v>35</v>
      </c>
      <c r="F3" s="197" t="s">
        <v>36</v>
      </c>
      <c r="G3" s="197" t="s">
        <v>37</v>
      </c>
      <c r="H3" s="197" t="s">
        <v>38</v>
      </c>
      <c r="I3" s="197" t="s">
        <v>39</v>
      </c>
    </row>
    <row r="4" spans="1:9" ht="25.5" customHeight="1">
      <c r="A4" s="198"/>
      <c r="B4" s="36" t="s">
        <v>64</v>
      </c>
      <c r="C4" s="78" t="s">
        <v>66</v>
      </c>
      <c r="D4" s="78" t="s">
        <v>67</v>
      </c>
      <c r="E4" s="198"/>
      <c r="F4" s="198"/>
      <c r="G4" s="198"/>
      <c r="H4" s="198"/>
      <c r="I4" s="198"/>
    </row>
    <row r="5" spans="1:9" ht="15">
      <c r="A5" s="37">
        <v>1975</v>
      </c>
      <c r="B5" s="93">
        <v>43</v>
      </c>
      <c r="C5" s="93">
        <v>40</v>
      </c>
      <c r="D5" s="93">
        <v>3</v>
      </c>
      <c r="E5" s="94"/>
      <c r="F5" s="95"/>
      <c r="G5" s="38"/>
      <c r="H5" s="38"/>
      <c r="I5" s="39"/>
    </row>
    <row r="6" spans="1:9" ht="15">
      <c r="A6" s="40">
        <v>1976</v>
      </c>
      <c r="B6" s="42">
        <v>75.599999999999994</v>
      </c>
      <c r="C6" s="42">
        <v>67.7</v>
      </c>
      <c r="D6" s="42">
        <v>7.9</v>
      </c>
      <c r="E6" s="96">
        <v>386.2</v>
      </c>
      <c r="F6" s="42">
        <v>85.2</v>
      </c>
      <c r="G6" s="41">
        <v>559</v>
      </c>
      <c r="H6" s="42">
        <v>19.600000000000001</v>
      </c>
      <c r="I6" s="42">
        <v>65.599999999999994</v>
      </c>
    </row>
    <row r="7" spans="1:9" ht="15" customHeight="1">
      <c r="A7" s="40">
        <v>1977</v>
      </c>
      <c r="B7" s="42">
        <v>99.1</v>
      </c>
      <c r="C7" s="42">
        <v>93.4</v>
      </c>
      <c r="D7" s="42">
        <v>5.6</v>
      </c>
      <c r="E7" s="96">
        <v>555.29999999999995</v>
      </c>
      <c r="F7" s="42">
        <v>177.4</v>
      </c>
      <c r="G7" s="41">
        <v>923</v>
      </c>
      <c r="H7" s="42">
        <v>17.8</v>
      </c>
      <c r="I7" s="42">
        <v>52</v>
      </c>
    </row>
    <row r="8" spans="1:9" ht="15" customHeight="1">
      <c r="A8" s="40">
        <v>1978</v>
      </c>
      <c r="B8" s="42">
        <v>114.9</v>
      </c>
      <c r="C8" s="42">
        <v>97.5</v>
      </c>
      <c r="D8" s="42">
        <v>17.399999999999999</v>
      </c>
      <c r="E8" s="96">
        <v>744</v>
      </c>
      <c r="F8" s="42">
        <v>262</v>
      </c>
      <c r="G8" s="41">
        <v>942</v>
      </c>
      <c r="H8" s="42">
        <v>15.5</v>
      </c>
      <c r="I8" s="42">
        <v>36</v>
      </c>
    </row>
    <row r="9" spans="1:9" ht="15" customHeight="1">
      <c r="A9" s="40">
        <v>1979</v>
      </c>
      <c r="B9" s="42">
        <v>108.9</v>
      </c>
      <c r="C9" s="42">
        <v>93.3</v>
      </c>
      <c r="D9" s="42">
        <v>15.6</v>
      </c>
      <c r="E9" s="96">
        <v>864.7</v>
      </c>
      <c r="F9" s="42">
        <v>421.9</v>
      </c>
      <c r="G9" s="41">
        <v>419</v>
      </c>
      <c r="H9" s="42">
        <v>12.6</v>
      </c>
      <c r="I9" s="42">
        <v>9.9</v>
      </c>
    </row>
    <row r="10" spans="1:9" ht="15" customHeight="1">
      <c r="A10" s="40">
        <v>1980</v>
      </c>
      <c r="B10" s="42">
        <v>144.5</v>
      </c>
      <c r="C10" s="42">
        <v>128.6</v>
      </c>
      <c r="D10" s="42">
        <v>15.9</v>
      </c>
      <c r="E10" s="96">
        <v>1336.6</v>
      </c>
      <c r="F10" s="42">
        <v>561.29999999999995</v>
      </c>
      <c r="G10" s="41">
        <v>2930</v>
      </c>
      <c r="H10" s="42">
        <v>10.8</v>
      </c>
      <c r="I10" s="42">
        <v>52.2</v>
      </c>
    </row>
    <row r="11" spans="1:9" ht="15" customHeight="1">
      <c r="A11" s="40">
        <v>1981</v>
      </c>
      <c r="B11" s="42">
        <v>229.6</v>
      </c>
      <c r="C11" s="42">
        <v>212.9</v>
      </c>
      <c r="D11" s="42">
        <v>16.7</v>
      </c>
      <c r="E11" s="96">
        <v>1541.5</v>
      </c>
      <c r="F11" s="42">
        <v>532.5</v>
      </c>
      <c r="G11" s="41">
        <v>1978</v>
      </c>
      <c r="H11" s="42">
        <v>14.9</v>
      </c>
      <c r="I11" s="42">
        <v>37.1</v>
      </c>
    </row>
    <row r="12" spans="1:9" ht="15" customHeight="1">
      <c r="A12" s="40">
        <v>1982</v>
      </c>
      <c r="B12" s="42">
        <v>241.9</v>
      </c>
      <c r="C12" s="42">
        <v>215.8</v>
      </c>
      <c r="D12" s="42">
        <v>26.1</v>
      </c>
      <c r="E12" s="96">
        <v>1583</v>
      </c>
      <c r="F12" s="42">
        <v>815.8</v>
      </c>
      <c r="G12" s="41">
        <v>1562</v>
      </c>
      <c r="H12" s="42">
        <v>15.3</v>
      </c>
      <c r="I12" s="42">
        <v>19.2</v>
      </c>
    </row>
    <row r="13" spans="1:9" ht="15">
      <c r="A13" s="40">
        <v>1983</v>
      </c>
      <c r="B13" s="42">
        <v>272.5</v>
      </c>
      <c r="C13" s="42">
        <v>253.9</v>
      </c>
      <c r="D13" s="42">
        <v>18.600000000000001</v>
      </c>
      <c r="E13" s="96">
        <v>1515.1</v>
      </c>
      <c r="F13" s="42">
        <v>914</v>
      </c>
      <c r="G13" s="41">
        <v>1802</v>
      </c>
      <c r="H13" s="42">
        <v>18</v>
      </c>
      <c r="I13" s="42">
        <v>19.7</v>
      </c>
    </row>
    <row r="14" spans="1:9" ht="15">
      <c r="A14" s="40">
        <v>1984</v>
      </c>
      <c r="B14" s="42">
        <v>287</v>
      </c>
      <c r="C14" s="42">
        <v>258.89999999999998</v>
      </c>
      <c r="D14" s="42">
        <v>28.1</v>
      </c>
      <c r="E14" s="96">
        <v>1441.9</v>
      </c>
      <c r="F14" s="42">
        <v>836.8</v>
      </c>
      <c r="G14" s="41">
        <v>2128</v>
      </c>
      <c r="H14" s="42">
        <v>19.899999999999999</v>
      </c>
      <c r="I14" s="42">
        <v>25.4</v>
      </c>
    </row>
    <row r="15" spans="1:9" ht="15">
      <c r="A15" s="40">
        <v>1985</v>
      </c>
      <c r="B15" s="42">
        <v>264.39999999999998</v>
      </c>
      <c r="C15" s="42">
        <v>239.7</v>
      </c>
      <c r="D15" s="42">
        <v>24.7</v>
      </c>
      <c r="E15" s="96">
        <v>1739.2</v>
      </c>
      <c r="F15" s="42">
        <v>807.9</v>
      </c>
      <c r="G15" s="41">
        <v>2479</v>
      </c>
      <c r="H15" s="42">
        <v>15.2</v>
      </c>
      <c r="I15" s="42">
        <v>30.7</v>
      </c>
    </row>
    <row r="16" spans="1:9" ht="15">
      <c r="A16" s="40">
        <v>1986</v>
      </c>
      <c r="B16" s="42">
        <v>268.5</v>
      </c>
      <c r="C16" s="42">
        <v>247.1</v>
      </c>
      <c r="D16" s="42">
        <v>21.4</v>
      </c>
      <c r="E16" s="96">
        <v>1888.1</v>
      </c>
      <c r="F16" s="42">
        <v>1049.9000000000001</v>
      </c>
      <c r="G16" s="41">
        <v>2600</v>
      </c>
      <c r="H16" s="42">
        <v>14.2</v>
      </c>
      <c r="I16" s="42">
        <v>24.8</v>
      </c>
    </row>
    <row r="17" spans="1:9" ht="15">
      <c r="A17" s="40">
        <v>1987</v>
      </c>
      <c r="B17" s="42">
        <v>291.60000000000002</v>
      </c>
      <c r="C17" s="42">
        <v>269.60000000000002</v>
      </c>
      <c r="D17" s="42">
        <v>22</v>
      </c>
      <c r="E17" s="96">
        <v>1954.2</v>
      </c>
      <c r="F17" s="42">
        <v>1132.2</v>
      </c>
      <c r="G17" s="41">
        <v>1565</v>
      </c>
      <c r="H17" s="42">
        <v>14.9</v>
      </c>
      <c r="I17" s="42">
        <v>13.8</v>
      </c>
    </row>
    <row r="18" spans="1:9" ht="15">
      <c r="A18" s="40">
        <v>1988</v>
      </c>
      <c r="B18" s="42">
        <v>283.8</v>
      </c>
      <c r="C18" s="42">
        <v>259.3</v>
      </c>
      <c r="D18" s="42">
        <v>24.4</v>
      </c>
      <c r="E18" s="96">
        <v>1777.4</v>
      </c>
      <c r="F18" s="42">
        <v>1335.5</v>
      </c>
      <c r="G18" s="41">
        <v>228</v>
      </c>
      <c r="H18" s="42">
        <v>16</v>
      </c>
      <c r="I18" s="42">
        <v>1.7</v>
      </c>
    </row>
    <row r="19" spans="1:9" ht="15">
      <c r="A19" s="40">
        <v>1989</v>
      </c>
      <c r="B19" s="42">
        <v>252.4</v>
      </c>
      <c r="C19" s="42">
        <v>228</v>
      </c>
      <c r="D19" s="42">
        <v>24.3</v>
      </c>
      <c r="E19" s="96">
        <v>1250.7</v>
      </c>
      <c r="F19" s="42">
        <v>1175.4000000000001</v>
      </c>
      <c r="G19" s="41">
        <v>194</v>
      </c>
      <c r="H19" s="42">
        <v>20.2</v>
      </c>
      <c r="I19" s="42">
        <v>1.7</v>
      </c>
    </row>
    <row r="20" spans="1:9" ht="15">
      <c r="A20" s="40">
        <v>1990</v>
      </c>
      <c r="B20" s="42">
        <v>216.2</v>
      </c>
      <c r="C20" s="42">
        <v>191.6</v>
      </c>
      <c r="D20" s="42">
        <v>24.6</v>
      </c>
      <c r="E20" s="96">
        <v>798.1</v>
      </c>
      <c r="F20" s="42">
        <v>760.9</v>
      </c>
      <c r="G20" s="41">
        <v>69</v>
      </c>
      <c r="H20" s="42">
        <v>27.1</v>
      </c>
      <c r="I20" s="42">
        <v>0.9</v>
      </c>
    </row>
    <row r="21" spans="1:9" ht="15">
      <c r="A21" s="40">
        <v>1991</v>
      </c>
      <c r="B21" s="42">
        <v>172.4</v>
      </c>
      <c r="C21" s="42">
        <v>154.4</v>
      </c>
      <c r="D21" s="42">
        <v>18</v>
      </c>
      <c r="E21" s="96">
        <v>454.6</v>
      </c>
      <c r="F21" s="42">
        <v>444</v>
      </c>
      <c r="G21" s="41">
        <v>53</v>
      </c>
      <c r="H21" s="42">
        <v>37.9</v>
      </c>
      <c r="I21" s="42">
        <v>1.2</v>
      </c>
    </row>
    <row r="22" spans="1:9" ht="15">
      <c r="A22" s="40">
        <v>1992</v>
      </c>
      <c r="B22" s="42">
        <v>124</v>
      </c>
      <c r="C22" s="42">
        <v>108.9</v>
      </c>
      <c r="D22" s="42">
        <v>15.2</v>
      </c>
      <c r="E22" s="96">
        <v>246.5</v>
      </c>
      <c r="F22" s="42">
        <v>181.9</v>
      </c>
      <c r="G22" s="41">
        <v>273</v>
      </c>
      <c r="H22" s="42">
        <v>50.3</v>
      </c>
      <c r="I22" s="42">
        <v>15</v>
      </c>
    </row>
    <row r="23" spans="1:9" ht="15">
      <c r="A23" s="40">
        <v>1993</v>
      </c>
      <c r="B23" s="42">
        <v>79.099999999999994</v>
      </c>
      <c r="C23" s="42">
        <v>67.5</v>
      </c>
      <c r="D23" s="42">
        <v>11.6</v>
      </c>
      <c r="E23" s="96">
        <v>146.69999999999999</v>
      </c>
      <c r="F23" s="42">
        <v>56.9</v>
      </c>
      <c r="G23" s="41">
        <v>121</v>
      </c>
      <c r="H23" s="42">
        <v>53.9</v>
      </c>
      <c r="I23" s="42">
        <v>21.3</v>
      </c>
    </row>
    <row r="24" spans="1:9" ht="15">
      <c r="A24" s="40">
        <v>1994</v>
      </c>
      <c r="B24" s="42">
        <v>42.5</v>
      </c>
      <c r="C24" s="42">
        <v>35.700000000000003</v>
      </c>
      <c r="D24" s="42">
        <v>6.8</v>
      </c>
      <c r="E24" s="96">
        <v>87.9</v>
      </c>
      <c r="F24" s="42">
        <v>48.7</v>
      </c>
      <c r="G24" s="41">
        <v>119</v>
      </c>
      <c r="H24" s="42">
        <v>48.3</v>
      </c>
      <c r="I24" s="42">
        <v>24.4</v>
      </c>
    </row>
    <row r="25" spans="1:9" ht="15">
      <c r="A25" s="40">
        <v>1995</v>
      </c>
      <c r="B25" s="42">
        <v>33.200000000000003</v>
      </c>
      <c r="C25" s="42">
        <v>27.7</v>
      </c>
      <c r="D25" s="42">
        <v>5.5</v>
      </c>
      <c r="E25" s="96">
        <v>75.599999999999994</v>
      </c>
      <c r="F25" s="42">
        <v>31</v>
      </c>
      <c r="G25" s="41">
        <v>73</v>
      </c>
      <c r="H25" s="42">
        <v>43.9</v>
      </c>
      <c r="I25" s="42">
        <v>23.6</v>
      </c>
    </row>
    <row r="26" spans="1:9" ht="15">
      <c r="A26" s="40">
        <v>1996</v>
      </c>
      <c r="B26" s="42">
        <v>18.100000000000001</v>
      </c>
      <c r="C26" s="42">
        <v>15</v>
      </c>
      <c r="D26" s="42">
        <v>3.1</v>
      </c>
      <c r="E26" s="96">
        <v>80.5</v>
      </c>
      <c r="F26" s="42">
        <v>22.1</v>
      </c>
      <c r="G26" s="41">
        <v>134</v>
      </c>
      <c r="H26" s="42">
        <v>22.5</v>
      </c>
      <c r="I26" s="42">
        <v>60.7</v>
      </c>
    </row>
    <row r="27" spans="1:9" ht="15">
      <c r="A27" s="40">
        <v>1997</v>
      </c>
      <c r="B27" s="42">
        <v>25.5</v>
      </c>
      <c r="C27" s="42">
        <v>22.8</v>
      </c>
      <c r="D27" s="42">
        <v>2.7</v>
      </c>
      <c r="E27" s="96">
        <v>91.6</v>
      </c>
      <c r="F27" s="42">
        <v>36</v>
      </c>
      <c r="G27" s="41">
        <v>78</v>
      </c>
      <c r="H27" s="42">
        <v>27.9</v>
      </c>
      <c r="I27" s="42">
        <v>21.6</v>
      </c>
    </row>
    <row r="28" spans="1:9" ht="15">
      <c r="A28" s="40">
        <v>1998</v>
      </c>
      <c r="B28" s="42">
        <v>14.2</v>
      </c>
      <c r="C28" s="42">
        <v>12.4</v>
      </c>
      <c r="D28" s="42">
        <v>1.8</v>
      </c>
      <c r="E28" s="96">
        <v>72.7</v>
      </c>
      <c r="F28" s="42">
        <v>42.9</v>
      </c>
      <c r="G28" s="41">
        <v>74</v>
      </c>
      <c r="H28" s="42">
        <v>19.5</v>
      </c>
      <c r="I28" s="42">
        <v>17.2</v>
      </c>
    </row>
    <row r="29" spans="1:9" ht="15">
      <c r="A29" s="40">
        <v>1999</v>
      </c>
      <c r="B29" s="42">
        <v>30.8</v>
      </c>
      <c r="C29" s="42">
        <v>28.1</v>
      </c>
      <c r="D29" s="42">
        <v>2.7</v>
      </c>
      <c r="E29" s="96">
        <v>70.099999999999994</v>
      </c>
      <c r="F29" s="42">
        <v>47.3</v>
      </c>
      <c r="G29" s="41">
        <v>26</v>
      </c>
      <c r="H29" s="42">
        <v>43.9</v>
      </c>
      <c r="I29" s="42">
        <v>5.4</v>
      </c>
    </row>
    <row r="30" spans="1:9" ht="15">
      <c r="A30" s="40">
        <v>2000</v>
      </c>
      <c r="B30" s="42">
        <v>13.9</v>
      </c>
      <c r="C30" s="42">
        <v>12.2</v>
      </c>
      <c r="D30" s="42">
        <v>1.7</v>
      </c>
      <c r="E30" s="96">
        <v>41.1</v>
      </c>
      <c r="F30" s="42">
        <v>23.1</v>
      </c>
      <c r="G30" s="41">
        <v>48</v>
      </c>
      <c r="H30" s="42">
        <v>33.799999999999997</v>
      </c>
      <c r="I30" s="42">
        <v>21</v>
      </c>
    </row>
    <row r="31" spans="1:9" ht="15">
      <c r="A31" s="40">
        <v>2001</v>
      </c>
      <c r="B31" s="42">
        <v>17.7</v>
      </c>
      <c r="C31" s="42">
        <v>16.2</v>
      </c>
      <c r="D31" s="42">
        <v>1.5</v>
      </c>
      <c r="E31" s="96">
        <v>30.5</v>
      </c>
      <c r="F31" s="42">
        <v>19.899999999999999</v>
      </c>
      <c r="G31" s="41">
        <v>25</v>
      </c>
      <c r="H31" s="42">
        <v>57.9</v>
      </c>
      <c r="I31" s="42">
        <v>12.4</v>
      </c>
    </row>
    <row r="32" spans="1:9" ht="15">
      <c r="A32" s="40">
        <v>2002</v>
      </c>
      <c r="B32" s="42">
        <v>4.9000000000000004</v>
      </c>
      <c r="C32" s="42">
        <v>4.3</v>
      </c>
      <c r="D32" s="42">
        <v>0.6</v>
      </c>
      <c r="E32" s="96">
        <v>15.7</v>
      </c>
      <c r="F32" s="42">
        <v>8.6999999999999993</v>
      </c>
      <c r="G32" s="41">
        <v>12</v>
      </c>
      <c r="H32" s="42">
        <v>31.1</v>
      </c>
      <c r="I32" s="42">
        <v>14.1</v>
      </c>
    </row>
    <row r="33" spans="1:10" ht="15">
      <c r="A33" s="40">
        <v>2003</v>
      </c>
      <c r="B33" s="42">
        <v>5.0999999999999996</v>
      </c>
      <c r="C33" s="42">
        <v>4.5999999999999996</v>
      </c>
      <c r="D33" s="42">
        <v>0.5</v>
      </c>
      <c r="E33" s="96">
        <v>12.1</v>
      </c>
      <c r="F33" s="42">
        <v>7.5</v>
      </c>
      <c r="G33" s="41">
        <v>11</v>
      </c>
      <c r="H33" s="42">
        <v>42</v>
      </c>
      <c r="I33" s="42">
        <v>15</v>
      </c>
    </row>
    <row r="34" spans="1:10" ht="15">
      <c r="A34" s="40">
        <v>2004</v>
      </c>
      <c r="B34" s="42">
        <v>4.8</v>
      </c>
      <c r="C34" s="42">
        <v>4.0999999999999996</v>
      </c>
      <c r="D34" s="42">
        <v>0.7</v>
      </c>
      <c r="E34" s="96">
        <v>10.9</v>
      </c>
      <c r="F34" s="42">
        <v>6.3</v>
      </c>
      <c r="G34" s="41">
        <v>9</v>
      </c>
      <c r="H34" s="42">
        <v>44.1</v>
      </c>
      <c r="I34" s="42">
        <v>14.3</v>
      </c>
    </row>
    <row r="35" spans="1:10" ht="15">
      <c r="A35" s="40">
        <v>2005</v>
      </c>
      <c r="B35" s="42">
        <v>2.5</v>
      </c>
      <c r="C35" s="42">
        <v>1.6</v>
      </c>
      <c r="D35" s="42">
        <v>0.9</v>
      </c>
      <c r="E35" s="96">
        <v>8.6999999999999993</v>
      </c>
      <c r="F35" s="42">
        <v>3.5</v>
      </c>
      <c r="G35" s="41">
        <v>19</v>
      </c>
      <c r="H35" s="42">
        <v>28.7</v>
      </c>
      <c r="I35" s="42">
        <v>55.4</v>
      </c>
    </row>
    <row r="36" spans="1:10" ht="15">
      <c r="A36" s="40">
        <v>2006</v>
      </c>
      <c r="B36" s="42">
        <v>4.9000000000000004</v>
      </c>
      <c r="C36" s="42">
        <v>4</v>
      </c>
      <c r="D36" s="42">
        <v>1</v>
      </c>
      <c r="E36" s="96">
        <v>13.1</v>
      </c>
      <c r="F36" s="42">
        <v>6.2</v>
      </c>
      <c r="G36" s="41">
        <v>12</v>
      </c>
      <c r="H36" s="42">
        <v>37.4</v>
      </c>
      <c r="I36" s="42">
        <v>20.100000000000001</v>
      </c>
    </row>
    <row r="37" spans="1:10" ht="15">
      <c r="A37" s="40">
        <v>2007</v>
      </c>
      <c r="B37" s="42">
        <v>6.5</v>
      </c>
      <c r="C37" s="42">
        <v>4.2</v>
      </c>
      <c r="D37" s="42">
        <v>2.2999999999999998</v>
      </c>
      <c r="E37" s="96">
        <v>11.2</v>
      </c>
      <c r="F37" s="42">
        <v>5.6</v>
      </c>
      <c r="G37" s="41">
        <v>14</v>
      </c>
      <c r="H37" s="42">
        <v>57.9</v>
      </c>
      <c r="I37" s="42">
        <v>25.4</v>
      </c>
    </row>
    <row r="38" spans="1:10" ht="15">
      <c r="A38" s="40">
        <v>2008</v>
      </c>
      <c r="B38" s="42">
        <v>2.7</v>
      </c>
      <c r="C38" s="42">
        <v>1.8</v>
      </c>
      <c r="D38" s="42">
        <v>0.9</v>
      </c>
      <c r="E38" s="96">
        <v>9.9</v>
      </c>
      <c r="F38" s="42">
        <v>2.8</v>
      </c>
      <c r="G38" s="41">
        <v>24</v>
      </c>
      <c r="H38" s="42">
        <v>27.2</v>
      </c>
      <c r="I38" s="42">
        <v>87.4</v>
      </c>
    </row>
    <row r="39" spans="1:10" ht="15">
      <c r="A39" s="40">
        <v>2009</v>
      </c>
      <c r="B39" s="42">
        <v>4.9000000000000004</v>
      </c>
      <c r="C39" s="42">
        <v>4.5999999999999996</v>
      </c>
      <c r="D39" s="42">
        <v>0.3</v>
      </c>
      <c r="E39" s="96">
        <v>12.9</v>
      </c>
      <c r="F39" s="42">
        <v>5.9</v>
      </c>
      <c r="G39" s="41">
        <v>13</v>
      </c>
      <c r="H39" s="42">
        <v>38.299999999999997</v>
      </c>
      <c r="I39" s="42">
        <v>22.2</v>
      </c>
    </row>
    <row r="40" spans="1:10" ht="15">
      <c r="A40" s="40">
        <v>2010</v>
      </c>
      <c r="B40" s="42">
        <v>6.5</v>
      </c>
      <c r="C40" s="42">
        <v>6.2</v>
      </c>
      <c r="D40" s="42">
        <v>0.3</v>
      </c>
      <c r="E40" s="96">
        <v>33.200000000000003</v>
      </c>
      <c r="F40" s="42">
        <v>7.5</v>
      </c>
      <c r="G40" s="41">
        <v>77</v>
      </c>
      <c r="H40" s="42">
        <v>19.399999999999999</v>
      </c>
      <c r="I40" s="42">
        <v>101.4</v>
      </c>
    </row>
    <row r="41" spans="1:10" ht="15">
      <c r="A41" s="40">
        <v>2011</v>
      </c>
      <c r="B41" s="42">
        <v>13.2</v>
      </c>
      <c r="C41" s="42">
        <v>12.2</v>
      </c>
      <c r="D41" s="42">
        <v>1</v>
      </c>
      <c r="E41" s="96">
        <v>46.1</v>
      </c>
      <c r="F41" s="42">
        <v>16.5</v>
      </c>
      <c r="G41" s="41">
        <v>53</v>
      </c>
      <c r="H41" s="42">
        <v>28.6</v>
      </c>
      <c r="I41" s="42">
        <v>31.8</v>
      </c>
    </row>
    <row r="42" spans="1:10" ht="15">
      <c r="A42" s="40">
        <v>2012</v>
      </c>
      <c r="B42" s="42">
        <v>10.199999999999999</v>
      </c>
      <c r="C42" s="42">
        <v>9.1999999999999993</v>
      </c>
      <c r="D42" s="42">
        <v>0.9</v>
      </c>
      <c r="E42" s="96">
        <v>50.6</v>
      </c>
      <c r="F42" s="42">
        <v>25.7</v>
      </c>
      <c r="G42" s="41">
        <v>64</v>
      </c>
      <c r="H42" s="42">
        <v>20.100000000000001</v>
      </c>
      <c r="I42" s="42">
        <v>24.8</v>
      </c>
    </row>
    <row r="43" spans="1:10" ht="15">
      <c r="A43" s="40">
        <v>2013</v>
      </c>
      <c r="B43" s="42">
        <v>13</v>
      </c>
      <c r="C43" s="42">
        <v>12.4</v>
      </c>
      <c r="D43" s="42">
        <v>0.6</v>
      </c>
      <c r="E43" s="96">
        <v>59.5</v>
      </c>
      <c r="F43" s="42">
        <v>32.9</v>
      </c>
      <c r="G43" s="41">
        <v>71</v>
      </c>
      <c r="H43" s="42">
        <v>21.8</v>
      </c>
      <c r="I43" s="42">
        <v>21.7</v>
      </c>
    </row>
    <row r="44" spans="1:10" ht="15">
      <c r="A44" s="40">
        <v>2014</v>
      </c>
      <c r="B44" s="42">
        <v>18.600000000000001</v>
      </c>
      <c r="C44" s="42">
        <v>17.2</v>
      </c>
      <c r="D44" s="42">
        <v>1.4</v>
      </c>
      <c r="E44" s="96">
        <v>101.9</v>
      </c>
      <c r="F44" s="42">
        <v>41.6</v>
      </c>
      <c r="G44" s="41">
        <v>198</v>
      </c>
      <c r="H44" s="42">
        <v>18.3</v>
      </c>
      <c r="I44" s="42">
        <v>47.5</v>
      </c>
      <c r="J44" s="43"/>
    </row>
    <row r="45" spans="1:10" ht="15">
      <c r="A45" s="40">
        <v>2015</v>
      </c>
      <c r="B45" s="42">
        <v>27</v>
      </c>
      <c r="C45" s="42">
        <v>17.5</v>
      </c>
      <c r="D45" s="42">
        <v>9.5</v>
      </c>
      <c r="E45" s="42">
        <v>121.6</v>
      </c>
      <c r="F45" s="42">
        <v>57.4</v>
      </c>
      <c r="G45" s="41">
        <v>212</v>
      </c>
      <c r="H45" s="42">
        <v>22.2</v>
      </c>
      <c r="I45" s="42">
        <v>37</v>
      </c>
    </row>
    <row r="46" spans="1:10" ht="15">
      <c r="A46" s="44">
        <v>2016</v>
      </c>
      <c r="B46" s="42">
        <v>31.6</v>
      </c>
      <c r="C46" s="42">
        <v>27.8</v>
      </c>
      <c r="D46" s="42">
        <v>3.8</v>
      </c>
      <c r="E46" s="42">
        <v>150.69999999999999</v>
      </c>
      <c r="F46" s="42">
        <v>72.3</v>
      </c>
      <c r="G46" s="41">
        <v>226</v>
      </c>
      <c r="H46" s="42">
        <v>20.9</v>
      </c>
      <c r="I46" s="42">
        <v>31.3</v>
      </c>
    </row>
    <row r="47" spans="1:10" ht="15">
      <c r="A47" s="44">
        <v>2017</v>
      </c>
      <c r="B47" s="42">
        <v>44.6</v>
      </c>
      <c r="C47" s="42">
        <v>42.3</v>
      </c>
      <c r="D47" s="42">
        <v>2.2999999999999998</v>
      </c>
      <c r="E47" s="42">
        <v>204.8</v>
      </c>
      <c r="F47" s="42">
        <v>100.7</v>
      </c>
      <c r="G47" s="41">
        <v>408</v>
      </c>
      <c r="H47" s="42">
        <v>21.8</v>
      </c>
      <c r="I47" s="42">
        <v>40.6</v>
      </c>
    </row>
    <row r="48" spans="1:10" ht="15">
      <c r="A48" s="40">
        <v>2018</v>
      </c>
      <c r="B48" s="42">
        <v>45.2</v>
      </c>
      <c r="C48" s="42">
        <v>43</v>
      </c>
      <c r="D48" s="42">
        <v>2.2000000000000002</v>
      </c>
      <c r="E48" s="42">
        <v>304.7</v>
      </c>
      <c r="F48" s="42">
        <v>104.2</v>
      </c>
      <c r="G48" s="41">
        <v>715</v>
      </c>
      <c r="H48" s="42">
        <v>14.8</v>
      </c>
      <c r="I48" s="42">
        <v>68.599999999999994</v>
      </c>
    </row>
    <row r="49" spans="1:9" ht="15">
      <c r="A49" s="40">
        <v>2019</v>
      </c>
      <c r="B49" s="42">
        <v>54.2</v>
      </c>
      <c r="C49" s="42">
        <v>51.6</v>
      </c>
      <c r="D49" s="42">
        <v>2.6</v>
      </c>
      <c r="E49" s="96">
        <v>363.5</v>
      </c>
      <c r="F49" s="42">
        <v>152.30000000000001</v>
      </c>
      <c r="G49" s="41">
        <v>443</v>
      </c>
      <c r="H49" s="42">
        <v>14.9</v>
      </c>
      <c r="I49" s="42">
        <v>29.1</v>
      </c>
    </row>
    <row r="50" spans="1:9" ht="15">
      <c r="A50" s="40">
        <v>2020</v>
      </c>
      <c r="B50" s="42">
        <v>62.6</v>
      </c>
      <c r="C50" s="42">
        <v>55.4</v>
      </c>
      <c r="D50" s="42">
        <v>7.1</v>
      </c>
      <c r="E50" s="96">
        <v>405.4</v>
      </c>
      <c r="F50" s="42">
        <v>211.4</v>
      </c>
      <c r="G50" s="41">
        <v>572</v>
      </c>
      <c r="H50" s="42">
        <v>15.4</v>
      </c>
      <c r="I50" s="42">
        <v>27</v>
      </c>
    </row>
    <row r="51" spans="1:9" ht="15">
      <c r="A51" s="45">
        <v>2021</v>
      </c>
      <c r="B51" s="47">
        <v>62.7</v>
      </c>
      <c r="C51" s="47">
        <v>58.4</v>
      </c>
      <c r="D51" s="47">
        <v>4.3</v>
      </c>
      <c r="E51" s="97">
        <v>384.5</v>
      </c>
      <c r="F51" s="47">
        <v>209</v>
      </c>
      <c r="G51" s="46">
        <v>513</v>
      </c>
      <c r="H51" s="47">
        <v>16.3</v>
      </c>
      <c r="I51" s="47">
        <v>24.6</v>
      </c>
    </row>
  </sheetData>
  <mergeCells count="7">
    <mergeCell ref="I3:I4"/>
    <mergeCell ref="A3:A4"/>
    <mergeCell ref="B3:D3"/>
    <mergeCell ref="E3:E4"/>
    <mergeCell ref="F3:F4"/>
    <mergeCell ref="G3:G4"/>
    <mergeCell ref="H3:H4"/>
  </mergeCells>
  <phoneticPr fontId="3"/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2454D-5A3E-47A2-B7C1-4AD47A65624C}">
  <dimension ref="A1:N38"/>
  <sheetViews>
    <sheetView zoomScale="80" zoomScaleNormal="80" workbookViewId="0">
      <selection activeCell="D20" sqref="D20"/>
    </sheetView>
  </sheetViews>
  <sheetFormatPr defaultRowHeight="13.5"/>
  <sheetData>
    <row r="1" spans="1:14" ht="15">
      <c r="A1" t="s">
        <v>125</v>
      </c>
    </row>
    <row r="3" spans="1:14" ht="15">
      <c r="A3" s="91" t="s">
        <v>58</v>
      </c>
    </row>
    <row r="4" spans="1:14" ht="15">
      <c r="A4" s="88" t="s">
        <v>56</v>
      </c>
      <c r="B4" s="88">
        <v>2022</v>
      </c>
      <c r="C4" s="88">
        <v>2023</v>
      </c>
      <c r="D4" s="88">
        <v>2024</v>
      </c>
      <c r="E4" s="88">
        <v>2025</v>
      </c>
      <c r="F4" s="88">
        <v>2026</v>
      </c>
      <c r="G4" s="88">
        <v>2027</v>
      </c>
      <c r="H4" s="88">
        <v>2028</v>
      </c>
      <c r="I4" s="88">
        <v>2029</v>
      </c>
      <c r="J4" s="88">
        <v>2030</v>
      </c>
      <c r="K4" s="88">
        <v>2031</v>
      </c>
      <c r="L4" s="88">
        <v>2032</v>
      </c>
      <c r="M4" s="88">
        <v>2041</v>
      </c>
      <c r="N4" s="88">
        <v>2051</v>
      </c>
    </row>
    <row r="5" spans="1:14" ht="15">
      <c r="A5" s="89">
        <v>1</v>
      </c>
      <c r="B5" s="88">
        <v>100</v>
      </c>
      <c r="C5" s="88">
        <v>100</v>
      </c>
      <c r="D5" s="88">
        <v>100</v>
      </c>
      <c r="E5" s="88">
        <v>100</v>
      </c>
      <c r="F5" s="88">
        <v>100</v>
      </c>
      <c r="G5" s="88">
        <v>100</v>
      </c>
      <c r="H5" s="88">
        <v>100</v>
      </c>
      <c r="I5" s="88">
        <v>100</v>
      </c>
      <c r="J5" s="88">
        <v>96</v>
      </c>
      <c r="K5" s="88">
        <v>81</v>
      </c>
      <c r="L5" s="88">
        <v>72</v>
      </c>
      <c r="M5" s="88">
        <v>64</v>
      </c>
      <c r="N5" s="88">
        <v>37</v>
      </c>
    </row>
    <row r="6" spans="1:14" ht="15">
      <c r="A6" s="89">
        <v>0.9</v>
      </c>
      <c r="B6" s="88">
        <v>100</v>
      </c>
      <c r="C6" s="88">
        <v>100</v>
      </c>
      <c r="D6" s="88">
        <v>100</v>
      </c>
      <c r="E6" s="88">
        <v>100</v>
      </c>
      <c r="F6" s="88">
        <v>100</v>
      </c>
      <c r="G6" s="88">
        <v>100</v>
      </c>
      <c r="H6" s="88">
        <v>100</v>
      </c>
      <c r="I6" s="88">
        <v>100</v>
      </c>
      <c r="J6" s="88">
        <v>100</v>
      </c>
      <c r="K6" s="88">
        <v>91</v>
      </c>
      <c r="L6" s="88">
        <v>83</v>
      </c>
      <c r="M6" s="88">
        <v>71</v>
      </c>
      <c r="N6" s="88">
        <v>43</v>
      </c>
    </row>
    <row r="7" spans="1:14" ht="15">
      <c r="A7" s="90">
        <v>0.85</v>
      </c>
      <c r="B7" s="88">
        <v>100</v>
      </c>
      <c r="C7" s="88">
        <v>100</v>
      </c>
      <c r="D7" s="88">
        <v>100</v>
      </c>
      <c r="E7" s="88">
        <v>100</v>
      </c>
      <c r="F7" s="88">
        <v>100</v>
      </c>
      <c r="G7" s="88">
        <v>100</v>
      </c>
      <c r="H7" s="88">
        <v>100</v>
      </c>
      <c r="I7" s="88">
        <v>100</v>
      </c>
      <c r="J7" s="88">
        <v>100</v>
      </c>
      <c r="K7" s="88">
        <v>95</v>
      </c>
      <c r="L7" s="88">
        <v>88</v>
      </c>
      <c r="M7" s="88">
        <v>75</v>
      </c>
      <c r="N7" s="88">
        <v>47</v>
      </c>
    </row>
    <row r="8" spans="1:14" ht="15">
      <c r="A8" s="89">
        <v>0.8</v>
      </c>
      <c r="B8" s="88">
        <v>100</v>
      </c>
      <c r="C8" s="88">
        <v>100</v>
      </c>
      <c r="D8" s="88">
        <v>100</v>
      </c>
      <c r="E8" s="88">
        <v>100</v>
      </c>
      <c r="F8" s="88">
        <v>100</v>
      </c>
      <c r="G8" s="88">
        <v>100</v>
      </c>
      <c r="H8" s="88">
        <v>100</v>
      </c>
      <c r="I8" s="88">
        <v>100</v>
      </c>
      <c r="J8" s="88">
        <v>100</v>
      </c>
      <c r="K8" s="88">
        <v>98</v>
      </c>
      <c r="L8" s="88">
        <v>92</v>
      </c>
      <c r="M8" s="88">
        <v>78</v>
      </c>
      <c r="N8" s="88">
        <v>50</v>
      </c>
    </row>
    <row r="9" spans="1:14" ht="15">
      <c r="A9" s="89">
        <v>0.7</v>
      </c>
      <c r="B9" s="88">
        <v>100</v>
      </c>
      <c r="C9" s="88">
        <v>100</v>
      </c>
      <c r="D9" s="88">
        <v>100</v>
      </c>
      <c r="E9" s="88">
        <v>100</v>
      </c>
      <c r="F9" s="88">
        <v>100</v>
      </c>
      <c r="G9" s="88">
        <v>100</v>
      </c>
      <c r="H9" s="88">
        <v>100</v>
      </c>
      <c r="I9" s="88">
        <v>100</v>
      </c>
      <c r="J9" s="88">
        <v>100</v>
      </c>
      <c r="K9" s="88">
        <v>100</v>
      </c>
      <c r="L9" s="88">
        <v>98</v>
      </c>
      <c r="M9" s="88">
        <v>84</v>
      </c>
      <c r="N9" s="88">
        <v>58</v>
      </c>
    </row>
    <row r="10" spans="1:14" ht="15">
      <c r="A10" s="89">
        <v>0.6</v>
      </c>
      <c r="B10" s="88">
        <v>100</v>
      </c>
      <c r="C10" s="88">
        <v>100</v>
      </c>
      <c r="D10" s="88">
        <v>100</v>
      </c>
      <c r="E10" s="88">
        <v>100</v>
      </c>
      <c r="F10" s="88">
        <v>100</v>
      </c>
      <c r="G10" s="88">
        <v>100</v>
      </c>
      <c r="H10" s="88">
        <v>100</v>
      </c>
      <c r="I10" s="88">
        <v>100</v>
      </c>
      <c r="J10" s="88">
        <v>100</v>
      </c>
      <c r="K10" s="88">
        <v>100</v>
      </c>
      <c r="L10" s="88">
        <v>100</v>
      </c>
      <c r="M10" s="88">
        <v>89</v>
      </c>
      <c r="N10" s="88">
        <v>67</v>
      </c>
    </row>
    <row r="11" spans="1:14" ht="15">
      <c r="A11" s="89">
        <v>0.5</v>
      </c>
      <c r="B11" s="88">
        <v>100</v>
      </c>
      <c r="C11" s="88">
        <v>100</v>
      </c>
      <c r="D11" s="88">
        <v>100</v>
      </c>
      <c r="E11" s="88">
        <v>100</v>
      </c>
      <c r="F11" s="88">
        <v>100</v>
      </c>
      <c r="G11" s="88">
        <v>100</v>
      </c>
      <c r="H11" s="88">
        <v>100</v>
      </c>
      <c r="I11" s="88">
        <v>100</v>
      </c>
      <c r="J11" s="88">
        <v>100</v>
      </c>
      <c r="K11" s="88">
        <v>100</v>
      </c>
      <c r="L11" s="88">
        <v>100</v>
      </c>
      <c r="M11" s="88">
        <v>94</v>
      </c>
      <c r="N11" s="88">
        <v>76</v>
      </c>
    </row>
    <row r="12" spans="1:14" ht="15">
      <c r="A12" s="89">
        <v>0.4</v>
      </c>
      <c r="B12" s="88">
        <v>100</v>
      </c>
      <c r="C12" s="88">
        <v>100</v>
      </c>
      <c r="D12" s="88">
        <v>100</v>
      </c>
      <c r="E12" s="88">
        <v>100</v>
      </c>
      <c r="F12" s="88">
        <v>100</v>
      </c>
      <c r="G12" s="88">
        <v>100</v>
      </c>
      <c r="H12" s="88">
        <v>100</v>
      </c>
      <c r="I12" s="88">
        <v>100</v>
      </c>
      <c r="J12" s="88">
        <v>100</v>
      </c>
      <c r="K12" s="88">
        <v>100</v>
      </c>
      <c r="L12" s="88">
        <v>100</v>
      </c>
      <c r="M12" s="88">
        <v>96</v>
      </c>
      <c r="N12" s="88">
        <v>82</v>
      </c>
    </row>
    <row r="13" spans="1:14" ht="15">
      <c r="A13" s="89">
        <v>0.3</v>
      </c>
      <c r="B13" s="88">
        <v>100</v>
      </c>
      <c r="C13" s="88">
        <v>100</v>
      </c>
      <c r="D13" s="88">
        <v>100</v>
      </c>
      <c r="E13" s="88">
        <v>100</v>
      </c>
      <c r="F13" s="88">
        <v>100</v>
      </c>
      <c r="G13" s="88">
        <v>100</v>
      </c>
      <c r="H13" s="88">
        <v>100</v>
      </c>
      <c r="I13" s="88">
        <v>100</v>
      </c>
      <c r="J13" s="88">
        <v>100</v>
      </c>
      <c r="K13" s="88">
        <v>100</v>
      </c>
      <c r="L13" s="88">
        <v>100</v>
      </c>
      <c r="M13" s="88">
        <v>99</v>
      </c>
      <c r="N13" s="88">
        <v>88</v>
      </c>
    </row>
    <row r="14" spans="1:14" ht="15">
      <c r="A14" s="89">
        <v>0.2</v>
      </c>
      <c r="B14" s="88">
        <v>100</v>
      </c>
      <c r="C14" s="88">
        <v>100</v>
      </c>
      <c r="D14" s="88">
        <v>100</v>
      </c>
      <c r="E14" s="88">
        <v>100</v>
      </c>
      <c r="F14" s="88">
        <v>100</v>
      </c>
      <c r="G14" s="88">
        <v>100</v>
      </c>
      <c r="H14" s="88">
        <v>100</v>
      </c>
      <c r="I14" s="88">
        <v>100</v>
      </c>
      <c r="J14" s="88">
        <v>100</v>
      </c>
      <c r="K14" s="88">
        <v>100</v>
      </c>
      <c r="L14" s="88">
        <v>100</v>
      </c>
      <c r="M14" s="88">
        <v>100</v>
      </c>
      <c r="N14" s="88">
        <v>93</v>
      </c>
    </row>
    <row r="15" spans="1:14" ht="15">
      <c r="A15" s="89">
        <v>0.1</v>
      </c>
      <c r="B15" s="88">
        <v>100</v>
      </c>
      <c r="C15" s="88">
        <v>100</v>
      </c>
      <c r="D15" s="88">
        <v>100</v>
      </c>
      <c r="E15" s="88">
        <v>100</v>
      </c>
      <c r="F15" s="88">
        <v>100</v>
      </c>
      <c r="G15" s="88">
        <v>100</v>
      </c>
      <c r="H15" s="88">
        <v>100</v>
      </c>
      <c r="I15" s="88">
        <v>100</v>
      </c>
      <c r="J15" s="88">
        <v>100</v>
      </c>
      <c r="K15" s="88">
        <v>100</v>
      </c>
      <c r="L15" s="88">
        <v>100</v>
      </c>
      <c r="M15" s="88">
        <v>100</v>
      </c>
      <c r="N15" s="88">
        <v>98</v>
      </c>
    </row>
    <row r="16" spans="1:14" ht="15">
      <c r="A16" s="89">
        <v>0</v>
      </c>
      <c r="B16" s="88">
        <v>100</v>
      </c>
      <c r="C16" s="88">
        <v>100</v>
      </c>
      <c r="D16" s="88">
        <v>100</v>
      </c>
      <c r="E16" s="88">
        <v>100</v>
      </c>
      <c r="F16" s="88">
        <v>100</v>
      </c>
      <c r="G16" s="88">
        <v>100</v>
      </c>
      <c r="H16" s="88">
        <v>100</v>
      </c>
      <c r="I16" s="88">
        <v>100</v>
      </c>
      <c r="J16" s="88">
        <v>100</v>
      </c>
      <c r="K16" s="88">
        <v>100</v>
      </c>
      <c r="L16" s="88">
        <v>100</v>
      </c>
      <c r="M16" s="88">
        <v>100</v>
      </c>
      <c r="N16" s="88">
        <v>99</v>
      </c>
    </row>
    <row r="17" spans="1:14" ht="15">
      <c r="A17" s="89" t="s">
        <v>48</v>
      </c>
      <c r="B17" s="88">
        <v>100</v>
      </c>
      <c r="C17" s="88">
        <v>100</v>
      </c>
      <c r="D17" s="88">
        <v>100</v>
      </c>
      <c r="E17" s="88">
        <v>100</v>
      </c>
      <c r="F17" s="88">
        <v>100</v>
      </c>
      <c r="G17" s="88">
        <v>100</v>
      </c>
      <c r="H17" s="88">
        <v>100</v>
      </c>
      <c r="I17" s="88">
        <v>100</v>
      </c>
      <c r="J17" s="88">
        <v>100</v>
      </c>
      <c r="K17" s="88">
        <v>92</v>
      </c>
      <c r="L17" s="88">
        <v>84</v>
      </c>
      <c r="M17" s="88">
        <v>72</v>
      </c>
      <c r="N17" s="88">
        <v>44</v>
      </c>
    </row>
    <row r="20" spans="1:14" ht="15">
      <c r="A20" s="91" t="s">
        <v>59</v>
      </c>
    </row>
    <row r="21" spans="1:14" ht="15">
      <c r="A21" s="88" t="s">
        <v>56</v>
      </c>
      <c r="B21" s="88">
        <v>2022</v>
      </c>
      <c r="C21" s="88">
        <v>2023</v>
      </c>
      <c r="D21" s="88">
        <v>2024</v>
      </c>
      <c r="E21" s="88">
        <v>2025</v>
      </c>
      <c r="F21" s="88">
        <v>2026</v>
      </c>
      <c r="G21" s="88">
        <v>2027</v>
      </c>
      <c r="H21" s="88">
        <v>2028</v>
      </c>
      <c r="I21" s="88">
        <v>2029</v>
      </c>
      <c r="J21" s="88">
        <v>2030</v>
      </c>
      <c r="K21" s="88">
        <v>2031</v>
      </c>
      <c r="L21" s="88">
        <v>2032</v>
      </c>
      <c r="M21" s="88">
        <v>2041</v>
      </c>
      <c r="N21" s="88">
        <v>2051</v>
      </c>
    </row>
    <row r="22" spans="1:14" ht="15">
      <c r="A22" s="89">
        <v>1</v>
      </c>
      <c r="B22" s="88">
        <v>100</v>
      </c>
      <c r="C22" s="88">
        <v>100</v>
      </c>
      <c r="D22" s="88">
        <v>100</v>
      </c>
      <c r="E22" s="88">
        <v>100</v>
      </c>
      <c r="F22" s="88">
        <v>100</v>
      </c>
      <c r="G22" s="88">
        <v>100</v>
      </c>
      <c r="H22" s="88">
        <v>100</v>
      </c>
      <c r="I22" s="88">
        <v>100</v>
      </c>
      <c r="J22" s="88">
        <v>100</v>
      </c>
      <c r="K22" s="88">
        <v>100</v>
      </c>
      <c r="L22" s="88">
        <v>100</v>
      </c>
      <c r="M22" s="88">
        <v>100</v>
      </c>
      <c r="N22" s="88">
        <v>89</v>
      </c>
    </row>
    <row r="23" spans="1:14" ht="15">
      <c r="A23" s="89">
        <v>0.9</v>
      </c>
      <c r="B23" s="88">
        <v>100</v>
      </c>
      <c r="C23" s="88">
        <v>100</v>
      </c>
      <c r="D23" s="88">
        <v>100</v>
      </c>
      <c r="E23" s="88">
        <v>100</v>
      </c>
      <c r="F23" s="88">
        <v>100</v>
      </c>
      <c r="G23" s="88">
        <v>100</v>
      </c>
      <c r="H23" s="88">
        <v>100</v>
      </c>
      <c r="I23" s="88">
        <v>100</v>
      </c>
      <c r="J23" s="88">
        <v>100</v>
      </c>
      <c r="K23" s="88">
        <v>100</v>
      </c>
      <c r="L23" s="88">
        <v>100</v>
      </c>
      <c r="M23" s="88">
        <v>100</v>
      </c>
      <c r="N23" s="88">
        <v>93</v>
      </c>
    </row>
    <row r="24" spans="1:14" ht="15">
      <c r="A24" s="90">
        <v>0.85</v>
      </c>
      <c r="B24" s="88">
        <v>100</v>
      </c>
      <c r="C24" s="88">
        <v>100</v>
      </c>
      <c r="D24" s="88">
        <v>100</v>
      </c>
      <c r="E24" s="88">
        <v>100</v>
      </c>
      <c r="F24" s="88">
        <v>100</v>
      </c>
      <c r="G24" s="88">
        <v>100</v>
      </c>
      <c r="H24" s="88">
        <v>100</v>
      </c>
      <c r="I24" s="88">
        <v>100</v>
      </c>
      <c r="J24" s="88">
        <v>100</v>
      </c>
      <c r="K24" s="88">
        <v>100</v>
      </c>
      <c r="L24" s="88">
        <v>100</v>
      </c>
      <c r="M24" s="88">
        <v>100</v>
      </c>
      <c r="N24" s="88">
        <v>94</v>
      </c>
    </row>
    <row r="25" spans="1:14" ht="15">
      <c r="A25" s="89">
        <v>0.8</v>
      </c>
      <c r="B25" s="88">
        <v>100</v>
      </c>
      <c r="C25" s="88">
        <v>100</v>
      </c>
      <c r="D25" s="88">
        <v>100</v>
      </c>
      <c r="E25" s="88">
        <v>100</v>
      </c>
      <c r="F25" s="88">
        <v>100</v>
      </c>
      <c r="G25" s="88">
        <v>100</v>
      </c>
      <c r="H25" s="88">
        <v>100</v>
      </c>
      <c r="I25" s="88">
        <v>100</v>
      </c>
      <c r="J25" s="88">
        <v>100</v>
      </c>
      <c r="K25" s="88">
        <v>100</v>
      </c>
      <c r="L25" s="88">
        <v>100</v>
      </c>
      <c r="M25" s="88">
        <v>100</v>
      </c>
      <c r="N25" s="88">
        <v>96</v>
      </c>
    </row>
    <row r="26" spans="1:14" ht="15">
      <c r="A26" s="89">
        <v>0.7</v>
      </c>
      <c r="B26" s="88">
        <v>100</v>
      </c>
      <c r="C26" s="88">
        <v>100</v>
      </c>
      <c r="D26" s="88">
        <v>100</v>
      </c>
      <c r="E26" s="88">
        <v>100</v>
      </c>
      <c r="F26" s="88">
        <v>100</v>
      </c>
      <c r="G26" s="88">
        <v>100</v>
      </c>
      <c r="H26" s="88">
        <v>100</v>
      </c>
      <c r="I26" s="88">
        <v>100</v>
      </c>
      <c r="J26" s="88">
        <v>100</v>
      </c>
      <c r="K26" s="88">
        <v>100</v>
      </c>
      <c r="L26" s="88">
        <v>100</v>
      </c>
      <c r="M26" s="88">
        <v>100</v>
      </c>
      <c r="N26" s="88">
        <v>98</v>
      </c>
    </row>
    <row r="27" spans="1:14" ht="15">
      <c r="A27" s="89">
        <v>0.6</v>
      </c>
      <c r="B27" s="88">
        <v>100</v>
      </c>
      <c r="C27" s="88">
        <v>100</v>
      </c>
      <c r="D27" s="88">
        <v>100</v>
      </c>
      <c r="E27" s="88">
        <v>100</v>
      </c>
      <c r="F27" s="88">
        <v>100</v>
      </c>
      <c r="G27" s="88">
        <v>100</v>
      </c>
      <c r="H27" s="88">
        <v>100</v>
      </c>
      <c r="I27" s="88">
        <v>100</v>
      </c>
      <c r="J27" s="88">
        <v>100</v>
      </c>
      <c r="K27" s="88">
        <v>100</v>
      </c>
      <c r="L27" s="88">
        <v>100</v>
      </c>
      <c r="M27" s="88">
        <v>100</v>
      </c>
      <c r="N27" s="88">
        <v>99</v>
      </c>
    </row>
    <row r="28" spans="1:14" ht="15">
      <c r="A28" s="89">
        <v>0.5</v>
      </c>
      <c r="B28" s="88">
        <v>100</v>
      </c>
      <c r="C28" s="88">
        <v>100</v>
      </c>
      <c r="D28" s="88">
        <v>100</v>
      </c>
      <c r="E28" s="88">
        <v>100</v>
      </c>
      <c r="F28" s="88">
        <v>100</v>
      </c>
      <c r="G28" s="88">
        <v>100</v>
      </c>
      <c r="H28" s="88">
        <v>100</v>
      </c>
      <c r="I28" s="88">
        <v>100</v>
      </c>
      <c r="J28" s="88">
        <v>100</v>
      </c>
      <c r="K28" s="88">
        <v>100</v>
      </c>
      <c r="L28" s="88">
        <v>100</v>
      </c>
      <c r="M28" s="88">
        <v>100</v>
      </c>
      <c r="N28" s="88">
        <v>100</v>
      </c>
    </row>
    <row r="29" spans="1:14" ht="15">
      <c r="A29" s="89">
        <v>0.4</v>
      </c>
      <c r="B29" s="88">
        <v>100</v>
      </c>
      <c r="C29" s="88">
        <v>100</v>
      </c>
      <c r="D29" s="88">
        <v>100</v>
      </c>
      <c r="E29" s="88">
        <v>100</v>
      </c>
      <c r="F29" s="88">
        <v>100</v>
      </c>
      <c r="G29" s="88">
        <v>100</v>
      </c>
      <c r="H29" s="88">
        <v>100</v>
      </c>
      <c r="I29" s="88">
        <v>100</v>
      </c>
      <c r="J29" s="88">
        <v>100</v>
      </c>
      <c r="K29" s="88">
        <v>100</v>
      </c>
      <c r="L29" s="88">
        <v>100</v>
      </c>
      <c r="M29" s="88">
        <v>100</v>
      </c>
      <c r="N29" s="88">
        <v>100</v>
      </c>
    </row>
    <row r="30" spans="1:14" ht="15">
      <c r="A30" s="89">
        <v>0.3</v>
      </c>
      <c r="B30" s="88">
        <v>100</v>
      </c>
      <c r="C30" s="88">
        <v>100</v>
      </c>
      <c r="D30" s="88">
        <v>100</v>
      </c>
      <c r="E30" s="88">
        <v>100</v>
      </c>
      <c r="F30" s="88">
        <v>100</v>
      </c>
      <c r="G30" s="88">
        <v>100</v>
      </c>
      <c r="H30" s="88">
        <v>100</v>
      </c>
      <c r="I30" s="88">
        <v>100</v>
      </c>
      <c r="J30" s="88">
        <v>100</v>
      </c>
      <c r="K30" s="88">
        <v>100</v>
      </c>
      <c r="L30" s="88">
        <v>100</v>
      </c>
      <c r="M30" s="88">
        <v>100</v>
      </c>
      <c r="N30" s="88">
        <v>100</v>
      </c>
    </row>
    <row r="31" spans="1:14" ht="15">
      <c r="A31" s="89">
        <v>0.2</v>
      </c>
      <c r="B31" s="88">
        <v>100</v>
      </c>
      <c r="C31" s="88">
        <v>100</v>
      </c>
      <c r="D31" s="88">
        <v>100</v>
      </c>
      <c r="E31" s="88">
        <v>100</v>
      </c>
      <c r="F31" s="88">
        <v>100</v>
      </c>
      <c r="G31" s="88">
        <v>100</v>
      </c>
      <c r="H31" s="88">
        <v>100</v>
      </c>
      <c r="I31" s="88">
        <v>100</v>
      </c>
      <c r="J31" s="88">
        <v>100</v>
      </c>
      <c r="K31" s="88">
        <v>100</v>
      </c>
      <c r="L31" s="88">
        <v>100</v>
      </c>
      <c r="M31" s="88">
        <v>100</v>
      </c>
      <c r="N31" s="88">
        <v>100</v>
      </c>
    </row>
    <row r="32" spans="1:14" ht="15">
      <c r="A32" s="89">
        <v>0.1</v>
      </c>
      <c r="B32" s="88">
        <v>100</v>
      </c>
      <c r="C32" s="88">
        <v>100</v>
      </c>
      <c r="D32" s="88">
        <v>100</v>
      </c>
      <c r="E32" s="88">
        <v>100</v>
      </c>
      <c r="F32" s="88">
        <v>100</v>
      </c>
      <c r="G32" s="88">
        <v>100</v>
      </c>
      <c r="H32" s="88">
        <v>100</v>
      </c>
      <c r="I32" s="88">
        <v>100</v>
      </c>
      <c r="J32" s="88">
        <v>100</v>
      </c>
      <c r="K32" s="88">
        <v>100</v>
      </c>
      <c r="L32" s="88">
        <v>100</v>
      </c>
      <c r="M32" s="88">
        <v>100</v>
      </c>
      <c r="N32" s="88">
        <v>100</v>
      </c>
    </row>
    <row r="33" spans="1:14" ht="15">
      <c r="A33" s="89">
        <v>0</v>
      </c>
      <c r="B33" s="88">
        <v>100</v>
      </c>
      <c r="C33" s="88">
        <v>100</v>
      </c>
      <c r="D33" s="88">
        <v>100</v>
      </c>
      <c r="E33" s="88">
        <v>100</v>
      </c>
      <c r="F33" s="88">
        <v>100</v>
      </c>
      <c r="G33" s="88">
        <v>100</v>
      </c>
      <c r="H33" s="88">
        <v>100</v>
      </c>
      <c r="I33" s="88">
        <v>100</v>
      </c>
      <c r="J33" s="88">
        <v>100</v>
      </c>
      <c r="K33" s="88">
        <v>100</v>
      </c>
      <c r="L33" s="88">
        <v>100</v>
      </c>
      <c r="M33" s="88">
        <v>100</v>
      </c>
      <c r="N33" s="88">
        <v>100</v>
      </c>
    </row>
    <row r="34" spans="1:14" ht="15">
      <c r="A34" s="89" t="s">
        <v>48</v>
      </c>
      <c r="B34" s="88">
        <v>100</v>
      </c>
      <c r="C34" s="88">
        <v>100</v>
      </c>
      <c r="D34" s="88">
        <v>100</v>
      </c>
      <c r="E34" s="88">
        <v>100</v>
      </c>
      <c r="F34" s="88">
        <v>100</v>
      </c>
      <c r="G34" s="88">
        <v>100</v>
      </c>
      <c r="H34" s="88">
        <v>100</v>
      </c>
      <c r="I34" s="88">
        <v>100</v>
      </c>
      <c r="J34" s="88">
        <v>100</v>
      </c>
      <c r="K34" s="88">
        <v>100</v>
      </c>
      <c r="L34" s="88">
        <v>100</v>
      </c>
      <c r="M34" s="88">
        <v>100</v>
      </c>
      <c r="N34" s="88">
        <v>92</v>
      </c>
    </row>
    <row r="36" spans="1:14">
      <c r="A36" t="s">
        <v>62</v>
      </c>
    </row>
    <row r="37" spans="1:14">
      <c r="A37" t="s">
        <v>100</v>
      </c>
    </row>
    <row r="38" spans="1:14">
      <c r="A38" t="s">
        <v>90</v>
      </c>
    </row>
  </sheetData>
  <phoneticPr fontId="3"/>
  <conditionalFormatting sqref="B5:N17">
    <cfRule type="colorScale" priority="2">
      <colorScale>
        <cfvo type="num" val="0"/>
        <cfvo type="num" val="100"/>
        <color theme="0"/>
        <color rgb="FFFFC000"/>
      </colorScale>
    </cfRule>
  </conditionalFormatting>
  <conditionalFormatting sqref="B22:N34">
    <cfRule type="colorScale" priority="1">
      <colorScale>
        <cfvo type="num" val="0"/>
        <cfvo type="num" val="100"/>
        <color theme="0"/>
        <color rgb="FFFFC000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90335-87D0-4391-9C9D-BDA1687B5391}">
  <dimension ref="A1:N38"/>
  <sheetViews>
    <sheetView zoomScale="80" zoomScaleNormal="80" workbookViewId="0">
      <selection activeCell="G15" sqref="G15"/>
    </sheetView>
  </sheetViews>
  <sheetFormatPr defaultRowHeight="13.5"/>
  <sheetData>
    <row r="1" spans="1:14" ht="15">
      <c r="A1" t="s">
        <v>126</v>
      </c>
    </row>
    <row r="3" spans="1:14" ht="15">
      <c r="A3" s="91" t="s">
        <v>60</v>
      </c>
    </row>
    <row r="4" spans="1:14" ht="15">
      <c r="A4" s="88" t="s">
        <v>55</v>
      </c>
      <c r="B4" s="88">
        <v>2022</v>
      </c>
      <c r="C4" s="88">
        <v>2023</v>
      </c>
      <c r="D4" s="88">
        <v>2024</v>
      </c>
      <c r="E4" s="88">
        <v>2025</v>
      </c>
      <c r="F4" s="88">
        <v>2026</v>
      </c>
      <c r="G4" s="88">
        <v>2027</v>
      </c>
      <c r="H4" s="88">
        <v>2028</v>
      </c>
      <c r="I4" s="88">
        <v>2029</v>
      </c>
      <c r="J4" s="88">
        <v>2030</v>
      </c>
      <c r="K4" s="88">
        <v>2031</v>
      </c>
      <c r="L4" s="88">
        <v>2032</v>
      </c>
      <c r="M4" s="88">
        <v>2041</v>
      </c>
      <c r="N4" s="88">
        <v>2051</v>
      </c>
    </row>
    <row r="5" spans="1:14" ht="15">
      <c r="A5" s="89">
        <v>1</v>
      </c>
      <c r="B5" s="92">
        <v>263.2</v>
      </c>
      <c r="C5" s="92">
        <v>263.5</v>
      </c>
      <c r="D5" s="92">
        <v>296.3</v>
      </c>
      <c r="E5" s="92">
        <v>262.60000000000002</v>
      </c>
      <c r="F5" s="92">
        <v>249.6</v>
      </c>
      <c r="G5" s="92">
        <v>244.1</v>
      </c>
      <c r="H5" s="92">
        <v>236.9</v>
      </c>
      <c r="I5" s="92">
        <v>209.8</v>
      </c>
      <c r="J5" s="92">
        <v>191.6</v>
      </c>
      <c r="K5" s="92">
        <v>183.2</v>
      </c>
      <c r="L5" s="92">
        <v>179.4</v>
      </c>
      <c r="M5" s="92">
        <v>159.19999999999999</v>
      </c>
      <c r="N5" s="92">
        <v>117</v>
      </c>
    </row>
    <row r="6" spans="1:14" ht="15">
      <c r="A6" s="90">
        <v>0.9</v>
      </c>
      <c r="B6" s="92">
        <v>263.2</v>
      </c>
      <c r="C6" s="92">
        <v>263.5</v>
      </c>
      <c r="D6" s="92">
        <v>296.3</v>
      </c>
      <c r="E6" s="92">
        <v>270.5</v>
      </c>
      <c r="F6" s="92">
        <v>262.60000000000002</v>
      </c>
      <c r="G6" s="92">
        <v>259.5</v>
      </c>
      <c r="H6" s="92">
        <v>253.2</v>
      </c>
      <c r="I6" s="92">
        <v>225.6</v>
      </c>
      <c r="J6" s="92">
        <v>206.5</v>
      </c>
      <c r="K6" s="92">
        <v>197.2</v>
      </c>
      <c r="L6" s="92">
        <v>192.8</v>
      </c>
      <c r="M6" s="92">
        <v>170.9</v>
      </c>
      <c r="N6" s="92">
        <v>127.7</v>
      </c>
    </row>
    <row r="7" spans="1:14" ht="15">
      <c r="A7" s="90">
        <v>0.85</v>
      </c>
      <c r="B7" s="92">
        <v>263.2</v>
      </c>
      <c r="C7" s="92">
        <v>263.5</v>
      </c>
      <c r="D7" s="92">
        <v>296.3</v>
      </c>
      <c r="E7" s="92">
        <v>274.60000000000002</v>
      </c>
      <c r="F7" s="92">
        <v>269.39999999999998</v>
      </c>
      <c r="G7" s="92">
        <v>267.60000000000002</v>
      </c>
      <c r="H7" s="92">
        <v>262</v>
      </c>
      <c r="I7" s="92">
        <v>234.2</v>
      </c>
      <c r="J7" s="92">
        <v>214.6</v>
      </c>
      <c r="K7" s="92">
        <v>204.8</v>
      </c>
      <c r="L7" s="92">
        <v>200.1</v>
      </c>
      <c r="M7" s="92">
        <v>177.4</v>
      </c>
      <c r="N7" s="92">
        <v>133.5</v>
      </c>
    </row>
    <row r="8" spans="1:14" ht="15">
      <c r="A8" s="90">
        <v>0.8</v>
      </c>
      <c r="B8" s="92">
        <v>263.2</v>
      </c>
      <c r="C8" s="92">
        <v>263.5</v>
      </c>
      <c r="D8" s="92">
        <v>296.3</v>
      </c>
      <c r="E8" s="92">
        <v>278.8</v>
      </c>
      <c r="F8" s="92">
        <v>276.39999999999998</v>
      </c>
      <c r="G8" s="92">
        <v>276.2</v>
      </c>
      <c r="H8" s="92">
        <v>271.2</v>
      </c>
      <c r="I8" s="92">
        <v>243.3</v>
      </c>
      <c r="J8" s="92">
        <v>223.2</v>
      </c>
      <c r="K8" s="92">
        <v>213</v>
      </c>
      <c r="L8" s="92">
        <v>207.9</v>
      </c>
      <c r="M8" s="92">
        <v>184.2</v>
      </c>
      <c r="N8" s="92">
        <v>139.5</v>
      </c>
    </row>
    <row r="9" spans="1:14" ht="15">
      <c r="A9" s="90">
        <v>0.7</v>
      </c>
      <c r="B9" s="92">
        <v>263.2</v>
      </c>
      <c r="C9" s="92">
        <v>263.5</v>
      </c>
      <c r="D9" s="92">
        <v>296.3</v>
      </c>
      <c r="E9" s="92">
        <v>287.3</v>
      </c>
      <c r="F9" s="92">
        <v>291.2</v>
      </c>
      <c r="G9" s="92">
        <v>294.3</v>
      </c>
      <c r="H9" s="92">
        <v>291.10000000000002</v>
      </c>
      <c r="I9" s="92">
        <v>263.10000000000002</v>
      </c>
      <c r="J9" s="92">
        <v>242.2</v>
      </c>
      <c r="K9" s="92">
        <v>231</v>
      </c>
      <c r="L9" s="92">
        <v>225</v>
      </c>
      <c r="M9" s="92">
        <v>199.2</v>
      </c>
      <c r="N9" s="92">
        <v>152.5</v>
      </c>
    </row>
    <row r="10" spans="1:14" ht="15">
      <c r="A10" s="90">
        <v>0.6</v>
      </c>
      <c r="B10" s="92">
        <v>263.2</v>
      </c>
      <c r="C10" s="92">
        <v>263.5</v>
      </c>
      <c r="D10" s="92">
        <v>296.3</v>
      </c>
      <c r="E10" s="92">
        <v>296.2</v>
      </c>
      <c r="F10" s="92">
        <v>306.89999999999998</v>
      </c>
      <c r="G10" s="92">
        <v>314.10000000000002</v>
      </c>
      <c r="H10" s="92">
        <v>313.2</v>
      </c>
      <c r="I10" s="92">
        <v>285.39999999999998</v>
      </c>
      <c r="J10" s="92">
        <v>263.89999999999998</v>
      </c>
      <c r="K10" s="92">
        <v>251.6</v>
      </c>
      <c r="L10" s="92">
        <v>244.8</v>
      </c>
      <c r="M10" s="92">
        <v>216.4</v>
      </c>
      <c r="N10" s="92">
        <v>166.8</v>
      </c>
    </row>
    <row r="11" spans="1:14" ht="15">
      <c r="A11" s="90">
        <v>0.5</v>
      </c>
      <c r="B11" s="92">
        <v>263.2</v>
      </c>
      <c r="C11" s="92">
        <v>263.5</v>
      </c>
      <c r="D11" s="92">
        <v>296.3</v>
      </c>
      <c r="E11" s="92">
        <v>305.39999999999998</v>
      </c>
      <c r="F11" s="92">
        <v>323.7</v>
      </c>
      <c r="G11" s="92">
        <v>335.7</v>
      </c>
      <c r="H11" s="92">
        <v>337.7</v>
      </c>
      <c r="I11" s="92">
        <v>310.5</v>
      </c>
      <c r="J11" s="92">
        <v>288.60000000000002</v>
      </c>
      <c r="K11" s="92">
        <v>275.39999999999998</v>
      </c>
      <c r="L11" s="92">
        <v>267.60000000000002</v>
      </c>
      <c r="M11" s="92">
        <v>236.4</v>
      </c>
      <c r="N11" s="92">
        <v>182.8</v>
      </c>
    </row>
    <row r="12" spans="1:14" ht="15">
      <c r="A12" s="90">
        <v>0.4</v>
      </c>
      <c r="B12" s="92">
        <v>263.2</v>
      </c>
      <c r="C12" s="92">
        <v>263.5</v>
      </c>
      <c r="D12" s="92">
        <v>296.3</v>
      </c>
      <c r="E12" s="92">
        <v>314.89999999999998</v>
      </c>
      <c r="F12" s="92">
        <v>341.6</v>
      </c>
      <c r="G12" s="92">
        <v>359.4</v>
      </c>
      <c r="H12" s="92">
        <v>365</v>
      </c>
      <c r="I12" s="92">
        <v>339.1</v>
      </c>
      <c r="J12" s="92">
        <v>317.10000000000002</v>
      </c>
      <c r="K12" s="92">
        <v>303.10000000000002</v>
      </c>
      <c r="L12" s="92">
        <v>294.3</v>
      </c>
      <c r="M12" s="92">
        <v>259.8</v>
      </c>
      <c r="N12" s="92">
        <v>201.2</v>
      </c>
    </row>
    <row r="13" spans="1:14" ht="15">
      <c r="A13" s="90">
        <v>0.3</v>
      </c>
      <c r="B13" s="92">
        <v>263.2</v>
      </c>
      <c r="C13" s="92">
        <v>263.5</v>
      </c>
      <c r="D13" s="92">
        <v>296.3</v>
      </c>
      <c r="E13" s="92">
        <v>324.8</v>
      </c>
      <c r="F13" s="92">
        <v>360.8</v>
      </c>
      <c r="G13" s="92">
        <v>385.2</v>
      </c>
      <c r="H13" s="92">
        <v>395.5</v>
      </c>
      <c r="I13" s="92">
        <v>371.7</v>
      </c>
      <c r="J13" s="92">
        <v>350.2</v>
      </c>
      <c r="K13" s="92">
        <v>335.6</v>
      </c>
      <c r="L13" s="92">
        <v>325.8</v>
      </c>
      <c r="M13" s="92">
        <v>287.60000000000002</v>
      </c>
      <c r="N13" s="92">
        <v>222.7</v>
      </c>
    </row>
    <row r="14" spans="1:14" ht="15">
      <c r="A14" s="90">
        <v>0.2</v>
      </c>
      <c r="B14" s="92">
        <v>263.2</v>
      </c>
      <c r="C14" s="92">
        <v>263.5</v>
      </c>
      <c r="D14" s="92">
        <v>296.3</v>
      </c>
      <c r="E14" s="92">
        <v>335.1</v>
      </c>
      <c r="F14" s="92">
        <v>381.3</v>
      </c>
      <c r="G14" s="92">
        <v>413.6</v>
      </c>
      <c r="H14" s="92">
        <v>429.7</v>
      </c>
      <c r="I14" s="92">
        <v>409</v>
      </c>
      <c r="J14" s="92">
        <v>388.8</v>
      </c>
      <c r="K14" s="92">
        <v>374</v>
      </c>
      <c r="L14" s="92">
        <v>363.4</v>
      </c>
      <c r="M14" s="92">
        <v>321.10000000000002</v>
      </c>
      <c r="N14" s="92">
        <v>248.6</v>
      </c>
    </row>
    <row r="15" spans="1:14" ht="15">
      <c r="A15" s="90">
        <v>0.1</v>
      </c>
      <c r="B15" s="92">
        <v>263.2</v>
      </c>
      <c r="C15" s="92">
        <v>263.5</v>
      </c>
      <c r="D15" s="92">
        <v>296.3</v>
      </c>
      <c r="E15" s="92">
        <v>345.7</v>
      </c>
      <c r="F15" s="92">
        <v>403.2</v>
      </c>
      <c r="G15" s="92">
        <v>444.7</v>
      </c>
      <c r="H15" s="92">
        <v>468.3</v>
      </c>
      <c r="I15" s="92">
        <v>452</v>
      </c>
      <c r="J15" s="92">
        <v>434</v>
      </c>
      <c r="K15" s="92">
        <v>419.7</v>
      </c>
      <c r="L15" s="92">
        <v>408.8</v>
      </c>
      <c r="M15" s="92">
        <v>362.3</v>
      </c>
      <c r="N15" s="92">
        <v>280.60000000000002</v>
      </c>
    </row>
    <row r="16" spans="1:14" ht="15">
      <c r="A16" s="89">
        <v>0</v>
      </c>
      <c r="B16" s="92">
        <v>263.2</v>
      </c>
      <c r="C16" s="92">
        <v>263.5</v>
      </c>
      <c r="D16" s="92">
        <v>296.3</v>
      </c>
      <c r="E16" s="92">
        <v>356.8</v>
      </c>
      <c r="F16" s="92">
        <v>426.8</v>
      </c>
      <c r="G16" s="92">
        <v>479.1</v>
      </c>
      <c r="H16" s="92">
        <v>511.7</v>
      </c>
      <c r="I16" s="92">
        <v>501.6</v>
      </c>
      <c r="J16" s="92">
        <v>487.4</v>
      </c>
      <c r="K16" s="92">
        <v>474.8</v>
      </c>
      <c r="L16" s="92">
        <v>464.1</v>
      </c>
      <c r="M16" s="92">
        <v>414.1</v>
      </c>
      <c r="N16" s="92">
        <v>321.10000000000002</v>
      </c>
    </row>
    <row r="17" spans="1:14" ht="15">
      <c r="A17" s="89" t="s">
        <v>48</v>
      </c>
      <c r="B17" s="92">
        <v>263.2</v>
      </c>
      <c r="C17" s="92">
        <v>263.5</v>
      </c>
      <c r="D17" s="92">
        <v>324.10000000000002</v>
      </c>
      <c r="E17" s="92">
        <v>290.60000000000002</v>
      </c>
      <c r="F17" s="92">
        <v>273.8</v>
      </c>
      <c r="G17" s="92">
        <v>265.3</v>
      </c>
      <c r="H17" s="92">
        <v>256.5</v>
      </c>
      <c r="I17" s="92">
        <v>227.6</v>
      </c>
      <c r="J17" s="92">
        <v>207.8</v>
      </c>
      <c r="K17" s="92">
        <v>198.2</v>
      </c>
      <c r="L17" s="92">
        <v>193.7</v>
      </c>
      <c r="M17" s="92">
        <v>171.7</v>
      </c>
      <c r="N17" s="92">
        <v>127.8</v>
      </c>
    </row>
    <row r="20" spans="1:14" ht="15">
      <c r="A20" s="91" t="s">
        <v>61</v>
      </c>
    </row>
    <row r="21" spans="1:14" ht="15">
      <c r="A21" s="88" t="s">
        <v>55</v>
      </c>
      <c r="B21" s="88">
        <v>2022</v>
      </c>
      <c r="C21" s="88">
        <v>2023</v>
      </c>
      <c r="D21" s="88">
        <v>2024</v>
      </c>
      <c r="E21" s="88">
        <v>2025</v>
      </c>
      <c r="F21" s="88">
        <v>2026</v>
      </c>
      <c r="G21" s="88">
        <v>2027</v>
      </c>
      <c r="H21" s="88">
        <v>2028</v>
      </c>
      <c r="I21" s="88">
        <v>2029</v>
      </c>
      <c r="J21" s="88">
        <v>2030</v>
      </c>
      <c r="K21" s="88">
        <v>2031</v>
      </c>
      <c r="L21" s="88">
        <v>2032</v>
      </c>
      <c r="M21" s="88">
        <v>2041</v>
      </c>
      <c r="N21" s="88">
        <v>2051</v>
      </c>
    </row>
    <row r="22" spans="1:14" ht="15">
      <c r="A22" s="89">
        <v>1</v>
      </c>
      <c r="B22" s="92">
        <v>78.7</v>
      </c>
      <c r="C22" s="92">
        <v>99.3</v>
      </c>
      <c r="D22" s="92">
        <v>96.7</v>
      </c>
      <c r="E22" s="92">
        <v>86.4</v>
      </c>
      <c r="F22" s="92">
        <v>81.7</v>
      </c>
      <c r="G22" s="92">
        <v>77.7</v>
      </c>
      <c r="H22" s="92">
        <v>73.400000000000006</v>
      </c>
      <c r="I22" s="92">
        <v>68.5</v>
      </c>
      <c r="J22" s="92">
        <v>62.7</v>
      </c>
      <c r="K22" s="92">
        <v>60</v>
      </c>
      <c r="L22" s="92">
        <v>58.9</v>
      </c>
      <c r="M22" s="92">
        <v>52.2</v>
      </c>
      <c r="N22" s="92">
        <v>38.1</v>
      </c>
    </row>
    <row r="23" spans="1:14" ht="15">
      <c r="A23" s="90">
        <v>0.9</v>
      </c>
      <c r="B23" s="92">
        <v>78.7</v>
      </c>
      <c r="C23" s="92">
        <v>99.3</v>
      </c>
      <c r="D23" s="92">
        <v>88.6</v>
      </c>
      <c r="E23" s="92">
        <v>81.400000000000006</v>
      </c>
      <c r="F23" s="92">
        <v>78.2</v>
      </c>
      <c r="G23" s="92">
        <v>75.3</v>
      </c>
      <c r="H23" s="92">
        <v>71.599999999999994</v>
      </c>
      <c r="I23" s="92">
        <v>67.2</v>
      </c>
      <c r="J23" s="92">
        <v>61.5</v>
      </c>
      <c r="K23" s="92">
        <v>58.8</v>
      </c>
      <c r="L23" s="92">
        <v>57.6</v>
      </c>
      <c r="M23" s="92">
        <v>51</v>
      </c>
      <c r="N23" s="92">
        <v>38</v>
      </c>
    </row>
    <row r="24" spans="1:14" ht="15">
      <c r="A24" s="90">
        <v>0.85</v>
      </c>
      <c r="B24" s="92">
        <v>78.7</v>
      </c>
      <c r="C24" s="92">
        <v>99.3</v>
      </c>
      <c r="D24" s="92">
        <v>84.4</v>
      </c>
      <c r="E24" s="92">
        <v>78.599999999999994</v>
      </c>
      <c r="F24" s="92">
        <v>76.3</v>
      </c>
      <c r="G24" s="92">
        <v>73.8</v>
      </c>
      <c r="H24" s="92">
        <v>70.5</v>
      </c>
      <c r="I24" s="92">
        <v>66.3</v>
      </c>
      <c r="J24" s="92">
        <v>60.8</v>
      </c>
      <c r="K24" s="92">
        <v>58</v>
      </c>
      <c r="L24" s="92">
        <v>56.8</v>
      </c>
      <c r="M24" s="92">
        <v>50.3</v>
      </c>
      <c r="N24" s="92">
        <v>37.700000000000003</v>
      </c>
    </row>
    <row r="25" spans="1:14" ht="15">
      <c r="A25" s="90">
        <v>0.8</v>
      </c>
      <c r="B25" s="92">
        <v>78.7</v>
      </c>
      <c r="C25" s="92">
        <v>99.3</v>
      </c>
      <c r="D25" s="92">
        <v>80.2</v>
      </c>
      <c r="E25" s="92">
        <v>75.7</v>
      </c>
      <c r="F25" s="92">
        <v>74.099999999999994</v>
      </c>
      <c r="G25" s="92">
        <v>72.2</v>
      </c>
      <c r="H25" s="92">
        <v>69.2</v>
      </c>
      <c r="I25" s="92">
        <v>65.3</v>
      </c>
      <c r="J25" s="92">
        <v>59.9</v>
      </c>
      <c r="K25" s="92">
        <v>57.1</v>
      </c>
      <c r="L25" s="92">
        <v>55.8</v>
      </c>
      <c r="M25" s="92">
        <v>49.4</v>
      </c>
      <c r="N25" s="92">
        <v>37.4</v>
      </c>
    </row>
    <row r="26" spans="1:14" ht="15">
      <c r="A26" s="90">
        <v>0.7</v>
      </c>
      <c r="B26" s="92">
        <v>78.7</v>
      </c>
      <c r="C26" s="92">
        <v>99.3</v>
      </c>
      <c r="D26" s="92">
        <v>71.400000000000006</v>
      </c>
      <c r="E26" s="92">
        <v>69.400000000000006</v>
      </c>
      <c r="F26" s="92">
        <v>69.2</v>
      </c>
      <c r="G26" s="92">
        <v>68.3</v>
      </c>
      <c r="H26" s="92">
        <v>66.099999999999994</v>
      </c>
      <c r="I26" s="92">
        <v>62.7</v>
      </c>
      <c r="J26" s="92">
        <v>57.7</v>
      </c>
      <c r="K26" s="92">
        <v>55</v>
      </c>
      <c r="L26" s="92">
        <v>53.6</v>
      </c>
      <c r="M26" s="92">
        <v>47.4</v>
      </c>
      <c r="N26" s="92">
        <v>36.299999999999997</v>
      </c>
    </row>
    <row r="27" spans="1:14" ht="15">
      <c r="A27" s="90">
        <v>0.6</v>
      </c>
      <c r="B27" s="92">
        <v>78.7</v>
      </c>
      <c r="C27" s="92">
        <v>99.3</v>
      </c>
      <c r="D27" s="92">
        <v>62.4</v>
      </c>
      <c r="E27" s="92">
        <v>62.3</v>
      </c>
      <c r="F27" s="92">
        <v>63.3</v>
      </c>
      <c r="G27" s="92">
        <v>63.5</v>
      </c>
      <c r="H27" s="92">
        <v>62</v>
      </c>
      <c r="I27" s="92">
        <v>59.2</v>
      </c>
      <c r="J27" s="92">
        <v>54.7</v>
      </c>
      <c r="K27" s="92">
        <v>52.1</v>
      </c>
      <c r="L27" s="92">
        <v>50.7</v>
      </c>
      <c r="M27" s="92">
        <v>44.8</v>
      </c>
      <c r="N27" s="92">
        <v>34.5</v>
      </c>
    </row>
    <row r="28" spans="1:14" ht="15">
      <c r="A28" s="90">
        <v>0.5</v>
      </c>
      <c r="B28" s="92">
        <v>78.7</v>
      </c>
      <c r="C28" s="92">
        <v>99.3</v>
      </c>
      <c r="D28" s="92">
        <v>53</v>
      </c>
      <c r="E28" s="92">
        <v>54.4</v>
      </c>
      <c r="F28" s="92">
        <v>56.5</v>
      </c>
      <c r="G28" s="92">
        <v>57.5</v>
      </c>
      <c r="H28" s="92">
        <v>56.7</v>
      </c>
      <c r="I28" s="92">
        <v>54.6</v>
      </c>
      <c r="J28" s="92">
        <v>50.7</v>
      </c>
      <c r="K28" s="92">
        <v>48.3</v>
      </c>
      <c r="L28" s="92">
        <v>46.9</v>
      </c>
      <c r="M28" s="92">
        <v>41.4</v>
      </c>
      <c r="N28" s="92">
        <v>32</v>
      </c>
    </row>
    <row r="29" spans="1:14" ht="15">
      <c r="A29" s="90">
        <v>0.4</v>
      </c>
      <c r="B29" s="92">
        <v>78.7</v>
      </c>
      <c r="C29" s="92">
        <v>99.3</v>
      </c>
      <c r="D29" s="92">
        <v>43.2</v>
      </c>
      <c r="E29" s="92">
        <v>45.7</v>
      </c>
      <c r="F29" s="92">
        <v>48.4</v>
      </c>
      <c r="G29" s="92">
        <v>50.1</v>
      </c>
      <c r="H29" s="92">
        <v>50</v>
      </c>
      <c r="I29" s="92">
        <v>48.6</v>
      </c>
      <c r="J29" s="92">
        <v>45.3</v>
      </c>
      <c r="K29" s="92">
        <v>43.3</v>
      </c>
      <c r="L29" s="92">
        <v>42</v>
      </c>
      <c r="M29" s="92">
        <v>37.1</v>
      </c>
      <c r="N29" s="92">
        <v>28.7</v>
      </c>
    </row>
    <row r="30" spans="1:14" ht="15">
      <c r="A30" s="90">
        <v>0.3</v>
      </c>
      <c r="B30" s="92">
        <v>78.7</v>
      </c>
      <c r="C30" s="92">
        <v>99.3</v>
      </c>
      <c r="D30" s="92">
        <v>33</v>
      </c>
      <c r="E30" s="92">
        <v>36</v>
      </c>
      <c r="F30" s="92">
        <v>38.9</v>
      </c>
      <c r="G30" s="92">
        <v>41</v>
      </c>
      <c r="H30" s="92">
        <v>41.5</v>
      </c>
      <c r="I30" s="92">
        <v>40.700000000000003</v>
      </c>
      <c r="J30" s="92">
        <v>38.299999999999997</v>
      </c>
      <c r="K30" s="92">
        <v>36.6</v>
      </c>
      <c r="L30" s="92">
        <v>35.5</v>
      </c>
      <c r="M30" s="92">
        <v>31.3</v>
      </c>
      <c r="N30" s="92">
        <v>24.3</v>
      </c>
    </row>
    <row r="31" spans="1:14" ht="15">
      <c r="A31" s="90">
        <v>0.2</v>
      </c>
      <c r="B31" s="92">
        <v>78.7</v>
      </c>
      <c r="C31" s="92">
        <v>99.3</v>
      </c>
      <c r="D31" s="92">
        <v>22.4</v>
      </c>
      <c r="E31" s="92">
        <v>25.2</v>
      </c>
      <c r="F31" s="92">
        <v>27.9</v>
      </c>
      <c r="G31" s="92">
        <v>29.9</v>
      </c>
      <c r="H31" s="92">
        <v>30.7</v>
      </c>
      <c r="I31" s="92">
        <v>30.5</v>
      </c>
      <c r="J31" s="92">
        <v>28.9</v>
      </c>
      <c r="K31" s="92">
        <v>27.8</v>
      </c>
      <c r="L31" s="92">
        <v>27</v>
      </c>
      <c r="M31" s="92">
        <v>23.8</v>
      </c>
      <c r="N31" s="92">
        <v>18.399999999999999</v>
      </c>
    </row>
    <row r="32" spans="1:14" ht="15">
      <c r="A32" s="90">
        <v>0.1</v>
      </c>
      <c r="B32" s="92">
        <v>78.7</v>
      </c>
      <c r="C32" s="92">
        <v>99.3</v>
      </c>
      <c r="D32" s="92">
        <v>11.4</v>
      </c>
      <c r="E32" s="92">
        <v>13.2</v>
      </c>
      <c r="F32" s="92">
        <v>15</v>
      </c>
      <c r="G32" s="92">
        <v>16.399999999999999</v>
      </c>
      <c r="H32" s="92">
        <v>17.100000000000001</v>
      </c>
      <c r="I32" s="92">
        <v>17.2</v>
      </c>
      <c r="J32" s="92">
        <v>16.5</v>
      </c>
      <c r="K32" s="92">
        <v>15.9</v>
      </c>
      <c r="L32" s="92">
        <v>15.5</v>
      </c>
      <c r="M32" s="92">
        <v>13.7</v>
      </c>
      <c r="N32" s="92">
        <v>10.6</v>
      </c>
    </row>
    <row r="33" spans="1:14" ht="15">
      <c r="A33" s="89">
        <v>0</v>
      </c>
      <c r="B33" s="92">
        <v>78.7</v>
      </c>
      <c r="C33" s="92">
        <v>99.3</v>
      </c>
      <c r="D33" s="92">
        <v>0</v>
      </c>
      <c r="E33" s="92">
        <v>0</v>
      </c>
      <c r="F33" s="92">
        <v>0</v>
      </c>
      <c r="G33" s="92">
        <v>0</v>
      </c>
      <c r="H33" s="92">
        <v>0</v>
      </c>
      <c r="I33" s="92">
        <v>0</v>
      </c>
      <c r="J33" s="92">
        <v>0</v>
      </c>
      <c r="K33" s="92">
        <v>0</v>
      </c>
      <c r="L33" s="92">
        <v>0</v>
      </c>
      <c r="M33" s="92">
        <v>0</v>
      </c>
      <c r="N33" s="92">
        <v>0</v>
      </c>
    </row>
    <row r="34" spans="1:14" ht="15">
      <c r="A34" s="89" t="s">
        <v>48</v>
      </c>
      <c r="B34" s="92">
        <v>78.7</v>
      </c>
      <c r="C34" s="92">
        <v>78</v>
      </c>
      <c r="D34" s="92">
        <v>95.9</v>
      </c>
      <c r="E34" s="92">
        <v>86</v>
      </c>
      <c r="F34" s="92">
        <v>81</v>
      </c>
      <c r="G34" s="92">
        <v>76.5</v>
      </c>
      <c r="H34" s="92">
        <v>72.099999999999994</v>
      </c>
      <c r="I34" s="92">
        <v>67.3</v>
      </c>
      <c r="J34" s="92">
        <v>61.6</v>
      </c>
      <c r="K34" s="92">
        <v>58.7</v>
      </c>
      <c r="L34" s="92">
        <v>57.5</v>
      </c>
      <c r="M34" s="92">
        <v>50.9</v>
      </c>
      <c r="N34" s="92">
        <v>37.9</v>
      </c>
    </row>
    <row r="36" spans="1:14">
      <c r="A36" t="s">
        <v>91</v>
      </c>
    </row>
    <row r="37" spans="1:14">
      <c r="A37" t="s">
        <v>100</v>
      </c>
    </row>
    <row r="38" spans="1:14">
      <c r="A38" t="s">
        <v>89</v>
      </c>
    </row>
  </sheetData>
  <phoneticPr fontId="3"/>
  <conditionalFormatting sqref="B5:N17">
    <cfRule type="colorScale" priority="2">
      <colorScale>
        <cfvo type="min"/>
        <cfvo type="max"/>
        <color rgb="FFFCFCFF"/>
        <color rgb="FF00B0F0"/>
      </colorScale>
    </cfRule>
  </conditionalFormatting>
  <conditionalFormatting sqref="B22:N34">
    <cfRule type="colorScale" priority="1">
      <colorScale>
        <cfvo type="min"/>
        <cfvo type="max"/>
        <color rgb="FFFCFCFF"/>
        <color rgb="FF92D050"/>
      </colorScale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ワークシート</vt:lpstr>
      </vt:variant>
      <vt:variant>
        <vt:i4>12</vt:i4>
      </vt:variant>
    </vt:vector>
  </HeadingPairs>
  <TitlesOfParts>
    <vt:vector size="12" baseType="lpstr">
      <vt:lpstr>表3-1</vt:lpstr>
      <vt:lpstr>表4</vt:lpstr>
      <vt:lpstr>表5-1</vt:lpstr>
      <vt:lpstr>表5-2</vt:lpstr>
      <vt:lpstr>補足資料2-1</vt:lpstr>
      <vt:lpstr>補足表2-2</vt:lpstr>
      <vt:lpstr>補足表2-3</vt:lpstr>
      <vt:lpstr>補足表3-6</vt:lpstr>
      <vt:lpstr>補足表3-7</vt:lpstr>
      <vt:lpstr>補足表5-1</vt:lpstr>
      <vt:lpstr>補足表5-2</vt:lpstr>
      <vt:lpstr>補足表5-3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2023-07-10T02:37:17Z</dcterms:created>
  <dcterms:modified xsi:type="dcterms:W3CDTF">2023-07-10T05:01:29Z</dcterms:modified>
</cp:coreProperties>
</file>