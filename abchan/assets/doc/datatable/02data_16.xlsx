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4E029692-76C6-4428-9098-8246D52412A2}" xr6:coauthVersionLast="47" xr6:coauthVersionMax="47" xr10:uidLastSave="{00000000-0000-0000-0000-000000000000}"/>
  <bookViews>
    <workbookView xWindow="-120" yWindow="-120" windowWidth="29040" windowHeight="15840" xr2:uid="{00000000-000D-0000-FFFF-FFFF00000000}"/>
  </bookViews>
  <sheets>
    <sheet name="表3-1" sheetId="8" r:id="rId1"/>
    <sheet name="表3-2" sheetId="2" r:id="rId2"/>
    <sheet name="補足表4-1" sheetId="13" r:id="rId3"/>
    <sheet name="補足表5-1" sheetId="7" r:id="rId4"/>
    <sheet name="補足表6-1" sheetId="10" r:id="rId5"/>
  </sheets>
  <externalReferences>
    <externalReference r:id="rId6"/>
    <externalReference r:id="rId7"/>
    <externalReference r:id="rId8"/>
    <externalReference r:id="rId9"/>
  </externalReferences>
  <definedNames>
    <definedName name="GGG" localSheetId="0">[1]漁労体数等検討表!#REF!</definedName>
    <definedName name="GGG" localSheetId="2">[2]漁労体数等検討表!#REF!</definedName>
    <definedName name="GGG" localSheetId="4">[2]漁労体数等検討表!#REF!</definedName>
    <definedName name="GGG">[1]漁労体数等検討表!#REF!</definedName>
    <definedName name="GROUPCD" localSheetId="0">[1]漁労体数等検討表!#REF!</definedName>
    <definedName name="GROUPCD" localSheetId="2">[2]漁労体数等検討表!#REF!</definedName>
    <definedName name="GROUPCD" localSheetId="4">[2]漁労体数等検討表!#REF!</definedName>
    <definedName name="GROUPCD">[1]漁労体数等検討表!#REF!</definedName>
    <definedName name="NEN" localSheetId="0">[1]収獲量検討表!#REF!</definedName>
    <definedName name="NEN" localSheetId="2">[2]収獲量検討表!#REF!</definedName>
    <definedName name="NEN" localSheetId="4">[2]収獲量検討表!#REF!</definedName>
    <definedName name="NEN">[1]収獲量検討表!#REF!</definedName>
    <definedName name="sasa">[2]漁労体数等検討表!#REF!</definedName>
    <definedName name="有田" localSheetId="2">[3]Sheet1!$C$36</definedName>
    <definedName name="有田" localSheetId="4">[3]Sheet1!$C$36</definedName>
    <definedName name="有田">[4]Sheet1!$C$36</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K11" i="8" l="1"/>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10" i="8"/>
</calcChain>
</file>

<file path=xl/sharedStrings.xml><?xml version="1.0" encoding="utf-8"?>
<sst xmlns="http://schemas.openxmlformats.org/spreadsheetml/2006/main" count="100" uniqueCount="72">
  <si>
    <t>雄雌</t>
    <rPh sb="0" eb="2">
      <t>オスメス</t>
    </rPh>
    <phoneticPr fontId="1"/>
  </si>
  <si>
    <t>雌</t>
    <rPh sb="0" eb="1">
      <t>メス</t>
    </rPh>
    <phoneticPr fontId="1"/>
  </si>
  <si>
    <t>雄</t>
    <rPh sb="0" eb="1">
      <t>オス</t>
    </rPh>
    <phoneticPr fontId="1"/>
  </si>
  <si>
    <t>年</t>
    <rPh sb="0" eb="1">
      <t>ネン</t>
    </rPh>
    <phoneticPr fontId="1"/>
  </si>
  <si>
    <r>
      <rPr>
        <sz val="12"/>
        <rFont val="ＭＳ 明朝"/>
        <family val="1"/>
        <charset val="128"/>
      </rPr>
      <t>計</t>
    </r>
    <rPh sb="0" eb="1">
      <t>ケイ</t>
    </rPh>
    <phoneticPr fontId="27"/>
  </si>
  <si>
    <r>
      <t>400</t>
    </r>
    <r>
      <rPr>
        <sz val="12"/>
        <rFont val="ＭＳ 明朝"/>
        <family val="1"/>
        <charset val="128"/>
      </rPr>
      <t>～</t>
    </r>
    <r>
      <rPr>
        <sz val="12"/>
        <rFont val="Times New Roman"/>
        <family val="1"/>
      </rPr>
      <t>500</t>
    </r>
    <phoneticPr fontId="27"/>
  </si>
  <si>
    <r>
      <t>300</t>
    </r>
    <r>
      <rPr>
        <sz val="12"/>
        <rFont val="ＭＳ 明朝"/>
        <family val="1"/>
        <charset val="128"/>
      </rPr>
      <t>～</t>
    </r>
    <r>
      <rPr>
        <sz val="12"/>
        <rFont val="Times New Roman"/>
        <family val="1"/>
      </rPr>
      <t>400</t>
    </r>
    <phoneticPr fontId="27"/>
  </si>
  <si>
    <r>
      <t>200</t>
    </r>
    <r>
      <rPr>
        <sz val="12"/>
        <rFont val="ＭＳ 明朝"/>
        <family val="1"/>
        <charset val="128"/>
      </rPr>
      <t>～</t>
    </r>
    <r>
      <rPr>
        <sz val="12"/>
        <rFont val="Times New Roman"/>
        <family val="1"/>
      </rPr>
      <t>300</t>
    </r>
    <phoneticPr fontId="27"/>
  </si>
  <si>
    <r>
      <rPr>
        <sz val="12"/>
        <rFont val="ＭＳ 明朝"/>
        <family val="1"/>
        <charset val="128"/>
      </rPr>
      <t>新潟沖</t>
    </r>
    <rPh sb="0" eb="3">
      <t>ニイガタオキ</t>
    </rPh>
    <phoneticPr fontId="27"/>
  </si>
  <si>
    <r>
      <rPr>
        <sz val="12"/>
        <rFont val="ＭＳ 明朝"/>
        <family val="1"/>
        <charset val="128"/>
      </rPr>
      <t>男鹿
南部</t>
    </r>
    <rPh sb="0" eb="2">
      <t>オガ</t>
    </rPh>
    <rPh sb="3" eb="5">
      <t>ナンブ</t>
    </rPh>
    <phoneticPr fontId="27"/>
  </si>
  <si>
    <r>
      <rPr>
        <sz val="12"/>
        <rFont val="ＭＳ 明朝"/>
        <family val="1"/>
        <charset val="128"/>
      </rPr>
      <t>雌</t>
    </r>
    <rPh sb="0" eb="1">
      <t>メス</t>
    </rPh>
    <phoneticPr fontId="27"/>
  </si>
  <si>
    <r>
      <rPr>
        <sz val="12"/>
        <rFont val="ＭＳ 明朝"/>
        <family val="1"/>
        <charset val="128"/>
      </rPr>
      <t>雄</t>
    </r>
    <rPh sb="0" eb="1">
      <t>オス</t>
    </rPh>
    <phoneticPr fontId="27"/>
  </si>
  <si>
    <r>
      <rPr>
        <sz val="12"/>
        <rFont val="ＭＳ 明朝"/>
        <family val="1"/>
        <charset val="128"/>
      </rPr>
      <t>点数</t>
    </r>
    <rPh sb="0" eb="2">
      <t>テンスウスウ</t>
    </rPh>
    <phoneticPr fontId="27"/>
  </si>
  <si>
    <r>
      <rPr>
        <sz val="12"/>
        <rFont val="ＭＳ 明朝"/>
        <family val="1"/>
        <charset val="128"/>
      </rPr>
      <t>調査</t>
    </r>
    <rPh sb="0" eb="2">
      <t>チョウサ</t>
    </rPh>
    <phoneticPr fontId="27"/>
  </si>
  <si>
    <r>
      <rPr>
        <sz val="12"/>
        <rFont val="ＭＳ 明朝"/>
        <family val="1"/>
        <charset val="128"/>
      </rPr>
      <t>面積</t>
    </r>
    <rPh sb="0" eb="2">
      <t>メンセキ</t>
    </rPh>
    <phoneticPr fontId="27"/>
  </si>
  <si>
    <t>漁業種類別漁獲量（トン）</t>
    <rPh sb="0" eb="2">
      <t>ギョギョウ</t>
    </rPh>
    <rPh sb="2" eb="4">
      <t>シュルイ</t>
    </rPh>
    <rPh sb="4" eb="5">
      <t>ベツ</t>
    </rPh>
    <rPh sb="5" eb="8">
      <t>ギョカクリョウ</t>
    </rPh>
    <phoneticPr fontId="24"/>
  </si>
  <si>
    <r>
      <rPr>
        <sz val="12"/>
        <color theme="1"/>
        <rFont val="ＭＳ 明朝"/>
        <family val="1"/>
        <charset val="128"/>
      </rPr>
      <t>沖底</t>
    </r>
    <r>
      <rPr>
        <sz val="12"/>
        <color theme="1"/>
        <rFont val="Times New Roman"/>
        <family val="1"/>
      </rPr>
      <t>1</t>
    </r>
    <r>
      <rPr>
        <sz val="12"/>
        <color theme="1"/>
        <rFont val="ＭＳ 明朝"/>
        <family val="1"/>
        <charset val="128"/>
      </rPr>
      <t>そう曳き</t>
    </r>
    <rPh sb="1" eb="2">
      <t>ソコ</t>
    </rPh>
    <rPh sb="5" eb="6">
      <t>ビ</t>
    </rPh>
    <phoneticPr fontId="30"/>
  </si>
  <si>
    <r>
      <rPr>
        <sz val="12"/>
        <color theme="1"/>
        <rFont val="ＭＳ 明朝"/>
        <family val="1"/>
        <charset val="128"/>
      </rPr>
      <t>小底縦曳き</t>
    </r>
    <r>
      <rPr>
        <sz val="12"/>
        <color theme="1"/>
        <rFont val="Times New Roman"/>
        <family val="1"/>
      </rPr>
      <t>1</t>
    </r>
    <r>
      <rPr>
        <sz val="12"/>
        <color theme="1"/>
        <rFont val="ＭＳ 明朝"/>
        <family val="1"/>
        <charset val="128"/>
      </rPr>
      <t>種</t>
    </r>
    <rPh sb="3" eb="4">
      <t>ビ</t>
    </rPh>
    <phoneticPr fontId="30"/>
  </si>
  <si>
    <r>
      <rPr>
        <sz val="12"/>
        <color theme="1"/>
        <rFont val="ＭＳ 明朝"/>
        <family val="1"/>
        <charset val="128"/>
      </rPr>
      <t>小底縦曳きその他</t>
    </r>
    <rPh sb="3" eb="4">
      <t>ビ</t>
    </rPh>
    <phoneticPr fontId="30"/>
  </si>
  <si>
    <r>
      <rPr>
        <sz val="12"/>
        <color theme="1"/>
        <rFont val="ＭＳ 明朝"/>
        <family val="1"/>
        <charset val="128"/>
      </rPr>
      <t>その他刺網</t>
    </r>
  </si>
  <si>
    <r>
      <rPr>
        <sz val="12"/>
        <color theme="1"/>
        <rFont val="ＭＳ 明朝"/>
        <family val="1"/>
        <charset val="128"/>
      </rPr>
      <t>かご</t>
    </r>
  </si>
  <si>
    <r>
      <rPr>
        <sz val="12"/>
        <color theme="1"/>
        <rFont val="ＭＳ 明朝"/>
        <family val="1"/>
        <charset val="128"/>
      </rPr>
      <t>その他の漁業</t>
    </r>
  </si>
  <si>
    <r>
      <rPr>
        <sz val="12"/>
        <color theme="1"/>
        <rFont val="ＭＳ 明朝"/>
        <family val="1"/>
        <charset val="128"/>
      </rPr>
      <t>漁業区分無し</t>
    </r>
    <rPh sb="0" eb="2">
      <t>ギョギョウ</t>
    </rPh>
    <rPh sb="2" eb="4">
      <t>クブン</t>
    </rPh>
    <rPh sb="4" eb="5">
      <t>ナ</t>
    </rPh>
    <phoneticPr fontId="30"/>
  </si>
  <si>
    <r>
      <rPr>
        <sz val="12"/>
        <color theme="1"/>
        <rFont val="ＭＳ 明朝"/>
        <family val="1"/>
        <charset val="128"/>
      </rPr>
      <t>合計</t>
    </r>
    <rPh sb="0" eb="2">
      <t>ゴウケイ</t>
    </rPh>
    <phoneticPr fontId="24"/>
  </si>
  <si>
    <t>調査時点現存尾数（千尾）</t>
    <rPh sb="0" eb="2">
      <t>チョウサ</t>
    </rPh>
    <rPh sb="2" eb="4">
      <t>ジテン</t>
    </rPh>
    <rPh sb="4" eb="6">
      <t>ゲンゾン</t>
    </rPh>
    <rPh sb="6" eb="7">
      <t>ビ</t>
    </rPh>
    <rPh sb="7" eb="8">
      <t>スウ</t>
    </rPh>
    <rPh sb="9" eb="11">
      <t>センビ</t>
    </rPh>
    <phoneticPr fontId="24"/>
  </si>
  <si>
    <r>
      <rPr>
        <sz val="11"/>
        <color indexed="8"/>
        <rFont val="ＭＳ 明朝"/>
        <family val="1"/>
        <charset val="128"/>
      </rPr>
      <t>雄</t>
    </r>
    <rPh sb="0" eb="1">
      <t>オス</t>
    </rPh>
    <phoneticPr fontId="33"/>
  </si>
  <si>
    <r>
      <rPr>
        <sz val="11"/>
        <color indexed="8"/>
        <rFont val="ＭＳ 明朝"/>
        <family val="1"/>
        <charset val="128"/>
      </rPr>
      <t>雌</t>
    </r>
    <rPh sb="0" eb="1">
      <t>メス</t>
    </rPh>
    <phoneticPr fontId="33"/>
  </si>
  <si>
    <r>
      <rPr>
        <sz val="11"/>
        <rFont val="ＭＳ 明朝"/>
        <family val="1"/>
        <charset val="128"/>
      </rPr>
      <t>漁獲尾数（千尾）</t>
    </r>
    <rPh sb="0" eb="2">
      <t>ギョカク</t>
    </rPh>
    <rPh sb="2" eb="3">
      <t>ビ</t>
    </rPh>
    <rPh sb="3" eb="4">
      <t>スウ</t>
    </rPh>
    <rPh sb="5" eb="7">
      <t>センビ</t>
    </rPh>
    <phoneticPr fontId="24"/>
  </si>
  <si>
    <t>漁獲量（トン）</t>
    <rPh sb="0" eb="2">
      <t>ギョカク</t>
    </rPh>
    <rPh sb="2" eb="3">
      <t>リョウ</t>
    </rPh>
    <phoneticPr fontId="24"/>
  </si>
  <si>
    <t>合計</t>
    <rPh sb="0" eb="2">
      <t>ゴウケイ</t>
    </rPh>
    <phoneticPr fontId="24"/>
  </si>
  <si>
    <t>漁期開始時点資源尾数（千尾）</t>
    <rPh sb="0" eb="2">
      <t>ギョキ</t>
    </rPh>
    <rPh sb="2" eb="4">
      <t>カイシ</t>
    </rPh>
    <rPh sb="4" eb="6">
      <t>ジテン</t>
    </rPh>
    <rPh sb="6" eb="8">
      <t>シゲン</t>
    </rPh>
    <rPh sb="8" eb="9">
      <t>ビ</t>
    </rPh>
    <rPh sb="9" eb="10">
      <t>スウ</t>
    </rPh>
    <rPh sb="11" eb="13">
      <t>センビ</t>
    </rPh>
    <phoneticPr fontId="24"/>
  </si>
  <si>
    <t>漁期開始時点資源量（トン）</t>
    <rPh sb="0" eb="2">
      <t>ギョキ</t>
    </rPh>
    <rPh sb="2" eb="4">
      <t>カイシ</t>
    </rPh>
    <rPh sb="4" eb="6">
      <t>ジテン</t>
    </rPh>
    <rPh sb="6" eb="8">
      <t>シゲン</t>
    </rPh>
    <rPh sb="8" eb="9">
      <t>リョウ</t>
    </rPh>
    <phoneticPr fontId="24"/>
  </si>
  <si>
    <t>親魚量</t>
    <rPh sb="0" eb="1">
      <t>オヤ</t>
    </rPh>
    <rPh sb="1" eb="2">
      <t>ウオ</t>
    </rPh>
    <rPh sb="2" eb="3">
      <t>リョウ</t>
    </rPh>
    <phoneticPr fontId="24"/>
  </si>
  <si>
    <r>
      <t>漁獲割合</t>
    </r>
    <r>
      <rPr>
        <sz val="11"/>
        <color indexed="8"/>
        <rFont val="Times New Roman"/>
        <family val="1"/>
      </rPr>
      <t xml:space="preserve"> (%)</t>
    </r>
    <rPh sb="0" eb="2">
      <t>ギョカク</t>
    </rPh>
    <rPh sb="2" eb="4">
      <t>ワリアイ</t>
    </rPh>
    <phoneticPr fontId="24"/>
  </si>
  <si>
    <t>全体</t>
    <rPh sb="0" eb="2">
      <t>ゼンタイ</t>
    </rPh>
    <phoneticPr fontId="24"/>
  </si>
  <si>
    <r>
      <rPr>
        <sz val="11"/>
        <color indexed="8"/>
        <rFont val="ＭＳ Ｐ明朝"/>
        <family val="1"/>
        <charset val="128"/>
      </rPr>
      <t>漁獲係数</t>
    </r>
    <r>
      <rPr>
        <sz val="11"/>
        <color indexed="8"/>
        <rFont val="Times New Roman"/>
        <family val="1"/>
      </rPr>
      <t>(F)</t>
    </r>
    <rPh sb="0" eb="2">
      <t>ギョカク</t>
    </rPh>
    <rPh sb="2" eb="4">
      <t>ケイスウ</t>
    </rPh>
    <phoneticPr fontId="24"/>
  </si>
  <si>
    <t>齢期</t>
    <rPh sb="0" eb="1">
      <t>レイ</t>
    </rPh>
    <rPh sb="1" eb="2">
      <t>キ</t>
    </rPh>
    <phoneticPr fontId="1"/>
  </si>
  <si>
    <t>成熟</t>
    <rPh sb="0" eb="2">
      <t>セイジュク</t>
    </rPh>
    <phoneticPr fontId="1"/>
  </si>
  <si>
    <t>現存尾数（千尾）</t>
    <rPh sb="0" eb="4">
      <t>ゲンゾンビスウ</t>
    </rPh>
    <rPh sb="5" eb="6">
      <t>セン</t>
    </rPh>
    <rPh sb="6" eb="7">
      <t>ビ</t>
    </rPh>
    <phoneticPr fontId="1"/>
  </si>
  <si>
    <t>未熟</t>
    <rPh sb="0" eb="2">
      <t>ミジュク</t>
    </rPh>
    <phoneticPr fontId="1"/>
  </si>
  <si>
    <r>
      <rPr>
        <sz val="11"/>
        <color theme="1"/>
        <rFont val="Times New Roman"/>
        <family val="1"/>
      </rPr>
      <t>11</t>
    </r>
    <r>
      <rPr>
        <sz val="11"/>
        <color theme="1"/>
        <rFont val="ＭＳ 明朝"/>
        <family val="1"/>
        <charset val="128"/>
      </rPr>
      <t>齢</t>
    </r>
    <rPh sb="2" eb="3">
      <t>レイ</t>
    </rPh>
    <phoneticPr fontId="1"/>
  </si>
  <si>
    <r>
      <rPr>
        <sz val="11"/>
        <color theme="1"/>
        <rFont val="Times New Roman"/>
        <family val="1"/>
      </rPr>
      <t>12齢</t>
    </r>
    <r>
      <rPr>
        <sz val="11"/>
        <color theme="1"/>
        <rFont val="ＭＳ 明朝"/>
        <family val="1"/>
        <charset val="128"/>
      </rPr>
      <t/>
    </r>
    <rPh sb="2" eb="3">
      <t>レイ</t>
    </rPh>
    <phoneticPr fontId="1"/>
  </si>
  <si>
    <r>
      <rPr>
        <sz val="11"/>
        <color theme="1"/>
        <rFont val="Times New Roman"/>
        <family val="1"/>
      </rPr>
      <t>13齢</t>
    </r>
    <r>
      <rPr>
        <sz val="11"/>
        <color theme="1"/>
        <rFont val="ＭＳ 明朝"/>
        <family val="1"/>
        <charset val="128"/>
      </rPr>
      <t/>
    </r>
    <rPh sb="2" eb="3">
      <t>レイ</t>
    </rPh>
    <phoneticPr fontId="1"/>
  </si>
  <si>
    <r>
      <rPr>
        <sz val="11"/>
        <color theme="1"/>
        <rFont val="Times New Roman"/>
        <family val="1"/>
      </rPr>
      <t>11</t>
    </r>
    <r>
      <rPr>
        <sz val="11"/>
        <color theme="1"/>
        <rFont val="ＭＳ 明朝"/>
        <family val="1"/>
        <charset val="128"/>
      </rPr>
      <t>齢計</t>
    </r>
    <rPh sb="2" eb="3">
      <t>レイ</t>
    </rPh>
    <rPh sb="3" eb="4">
      <t>ケイ</t>
    </rPh>
    <phoneticPr fontId="1"/>
  </si>
  <si>
    <r>
      <rPr>
        <sz val="11"/>
        <color theme="1"/>
        <rFont val="Times New Roman"/>
        <family val="1"/>
      </rPr>
      <t>12</t>
    </r>
    <r>
      <rPr>
        <sz val="11"/>
        <color theme="1"/>
        <rFont val="ＭＳ 明朝"/>
        <family val="1"/>
        <charset val="128"/>
      </rPr>
      <t>～</t>
    </r>
    <r>
      <rPr>
        <sz val="11"/>
        <color theme="1"/>
        <rFont val="Times New Roman"/>
        <family val="1"/>
      </rPr>
      <t>13</t>
    </r>
    <r>
      <rPr>
        <sz val="11"/>
        <color theme="1"/>
        <rFont val="ＭＳ 明朝"/>
        <family val="1"/>
        <charset val="128"/>
      </rPr>
      <t>齢計</t>
    </r>
    <phoneticPr fontId="1"/>
  </si>
  <si>
    <t>年</t>
    <rPh sb="0" eb="1">
      <t>ネン</t>
    </rPh>
    <phoneticPr fontId="24"/>
  </si>
  <si>
    <r>
      <rPr>
        <sz val="12"/>
        <rFont val="ＭＳ 明朝"/>
        <family val="1"/>
        <charset val="128"/>
      </rPr>
      <t>海区</t>
    </r>
    <rPh sb="0" eb="2">
      <t>カイク</t>
    </rPh>
    <phoneticPr fontId="27"/>
  </si>
  <si>
    <r>
      <rPr>
        <sz val="12"/>
        <rFont val="ＭＳ 明朝"/>
        <family val="1"/>
        <charset val="128"/>
      </rPr>
      <t>水深帯
（</t>
    </r>
    <r>
      <rPr>
        <sz val="12"/>
        <rFont val="Times New Roman"/>
        <family val="1"/>
      </rPr>
      <t>m</t>
    </r>
    <r>
      <rPr>
        <sz val="12"/>
        <rFont val="ＭＳ 明朝"/>
        <family val="1"/>
        <charset val="128"/>
      </rPr>
      <t>）</t>
    </r>
    <rPh sb="0" eb="3">
      <t>スイシンタイ</t>
    </rPh>
    <phoneticPr fontId="27"/>
  </si>
  <si>
    <r>
      <rPr>
        <sz val="10"/>
        <rFont val="ＭＳ 明朝"/>
        <family val="1"/>
        <charset val="128"/>
      </rPr>
      <t>平均密度（尾数／かご）</t>
    </r>
    <rPh sb="0" eb="2">
      <t>ヘイキン</t>
    </rPh>
    <rPh sb="2" eb="4">
      <t>ミツド</t>
    </rPh>
    <rPh sb="5" eb="6">
      <t>ビ</t>
    </rPh>
    <rPh sb="6" eb="7">
      <t>コタイスウ</t>
    </rPh>
    <phoneticPr fontId="27"/>
  </si>
  <si>
    <r>
      <rPr>
        <sz val="12"/>
        <rFont val="ＭＳ 明朝"/>
        <family val="1"/>
        <charset val="128"/>
      </rPr>
      <t>現存尾数（千尾）</t>
    </r>
    <rPh sb="0" eb="2">
      <t>ゲンゾン</t>
    </rPh>
    <rPh sb="2" eb="4">
      <t>ビスウ</t>
    </rPh>
    <rPh sb="5" eb="7">
      <t>センビ</t>
    </rPh>
    <phoneticPr fontId="27"/>
  </si>
  <si>
    <r>
      <rPr>
        <sz val="12"/>
        <rFont val="ＭＳ 明朝"/>
        <family val="1"/>
        <charset val="128"/>
      </rPr>
      <t>現存量（トン）</t>
    </r>
    <rPh sb="0" eb="2">
      <t>ゲンソン</t>
    </rPh>
    <rPh sb="2" eb="3">
      <t>リョウ</t>
    </rPh>
    <phoneticPr fontId="27"/>
  </si>
  <si>
    <r>
      <rPr>
        <sz val="12"/>
        <rFont val="ＭＳ 明朝"/>
        <family val="1"/>
        <charset val="128"/>
      </rPr>
      <t>（</t>
    </r>
    <r>
      <rPr>
        <sz val="12"/>
        <rFont val="Times New Roman"/>
        <family val="1"/>
      </rPr>
      <t>km</t>
    </r>
    <r>
      <rPr>
        <vertAlign val="superscript"/>
        <sz val="12"/>
        <rFont val="Times New Roman"/>
        <family val="1"/>
      </rPr>
      <t>2</t>
    </r>
    <r>
      <rPr>
        <sz val="12"/>
        <rFont val="ＭＳ 明朝"/>
        <family val="1"/>
        <charset val="128"/>
      </rPr>
      <t>）</t>
    </r>
    <phoneticPr fontId="27"/>
  </si>
  <si>
    <r>
      <rPr>
        <sz val="12"/>
        <rFont val="ＭＳ 明朝"/>
        <family val="1"/>
        <charset val="128"/>
      </rPr>
      <t>合計</t>
    </r>
    <rPh sb="0" eb="2">
      <t>ゴウケイケイ</t>
    </rPh>
    <phoneticPr fontId="27"/>
  </si>
  <si>
    <t>雄は甲幅90mm以上、雌は11齢の値を示す。</t>
  </si>
  <si>
    <r>
      <rPr>
        <sz val="11"/>
        <color indexed="8"/>
        <rFont val="ＭＳ 明朝"/>
        <family val="1"/>
        <charset val="128"/>
      </rPr>
      <t>雄は甲幅</t>
    </r>
    <r>
      <rPr>
        <sz val="11"/>
        <color indexed="8"/>
        <rFont val="Times New Roman"/>
        <family val="1"/>
      </rPr>
      <t xml:space="preserve"> 90mm </t>
    </r>
    <r>
      <rPr>
        <sz val="11"/>
        <color indexed="8"/>
        <rFont val="ＭＳ 明朝"/>
        <family val="1"/>
        <charset val="128"/>
      </rPr>
      <t>以上、雌は</t>
    </r>
    <r>
      <rPr>
        <sz val="11"/>
        <color indexed="8"/>
        <rFont val="Times New Roman"/>
        <family val="1"/>
      </rPr>
      <t xml:space="preserve"> 11 </t>
    </r>
    <r>
      <rPr>
        <sz val="11"/>
        <color indexed="8"/>
        <rFont val="ＭＳ 明朝"/>
        <family val="1"/>
        <charset val="128"/>
      </rPr>
      <t>齢の値をそれぞれ示す。</t>
    </r>
    <rPh sb="21" eb="22">
      <t>アタイ</t>
    </rPh>
    <rPh sb="27" eb="28">
      <t>シメ</t>
    </rPh>
    <phoneticPr fontId="4"/>
  </si>
  <si>
    <r>
      <rPr>
        <sz val="11"/>
        <color indexed="8"/>
        <rFont val="ＭＳ 明朝"/>
        <family val="1"/>
        <charset val="128"/>
      </rPr>
      <t>イタリックは予測値。</t>
    </r>
    <rPh sb="6" eb="9">
      <t>ヨソクチ</t>
    </rPh>
    <phoneticPr fontId="4"/>
  </si>
  <si>
    <t>令和2(2020)年度ズワイガニ日本海系群Ｂ海域の資源評価のデータセット</t>
    <rPh sb="0" eb="2">
      <t>レイワ</t>
    </rPh>
    <rPh sb="22" eb="24">
      <t>カイイキ</t>
    </rPh>
    <rPh sb="25" eb="29">
      <t>シゲンヒョウカ</t>
    </rPh>
    <phoneticPr fontId="1"/>
  </si>
  <si>
    <r>
      <rPr>
        <sz val="14"/>
        <color theme="1"/>
        <rFont val="ＭＳ 明朝"/>
        <family val="1"/>
        <charset val="128"/>
      </rPr>
      <t>表</t>
    </r>
    <r>
      <rPr>
        <sz val="14"/>
        <color theme="1"/>
        <rFont val="Times New Roman"/>
        <family val="1"/>
      </rPr>
      <t>3-1</t>
    </r>
    <r>
      <rPr>
        <sz val="14"/>
        <color theme="1"/>
        <rFont val="ＭＳ 明朝"/>
        <family val="1"/>
        <charset val="128"/>
      </rPr>
      <t>．</t>
    </r>
    <r>
      <rPr>
        <sz val="14"/>
        <color theme="1"/>
        <rFont val="Times New Roman"/>
        <family val="1"/>
      </rPr>
      <t>B</t>
    </r>
    <r>
      <rPr>
        <sz val="14"/>
        <color theme="1"/>
        <rFont val="ＭＳ 明朝"/>
        <family val="1"/>
        <charset val="128"/>
      </rPr>
      <t>海域におけるズワイガニの漁業種類別漁獲量（暦年）</t>
    </r>
    <phoneticPr fontId="1"/>
  </si>
  <si>
    <t>農林水産省漁業・養殖業生産統計年報（一部府県調べの値を含む）による。2019年は暫定値。</t>
  </si>
  <si>
    <r>
      <t>過去</t>
    </r>
    <r>
      <rPr>
        <sz val="11"/>
        <color theme="1"/>
        <rFont val="Times New Roman"/>
        <family val="1"/>
      </rPr>
      <t>5</t>
    </r>
    <r>
      <rPr>
        <sz val="11"/>
        <color theme="1"/>
        <rFont val="ＭＳ 明朝"/>
        <family val="1"/>
        <charset val="128"/>
      </rPr>
      <t>年平均</t>
    </r>
    <rPh sb="0" eb="2">
      <t>カコ</t>
    </rPh>
    <rPh sb="3" eb="4">
      <t>ネン</t>
    </rPh>
    <rPh sb="4" eb="6">
      <t>ヘイキン</t>
    </rPh>
    <phoneticPr fontId="1"/>
  </si>
  <si>
    <t>2019年は2020年3月までの暫定値。</t>
  </si>
  <si>
    <t>F15-19</t>
    <phoneticPr fontId="1"/>
  </si>
  <si>
    <r>
      <t xml:space="preserve">F15-19 </t>
    </r>
    <r>
      <rPr>
        <sz val="12"/>
        <color rgb="FF000000"/>
        <rFont val="ＭＳ 明朝"/>
        <family val="1"/>
        <charset val="128"/>
      </rPr>
      <t>は、</t>
    </r>
    <r>
      <rPr>
        <sz val="12"/>
        <color rgb="FF000000"/>
        <rFont val="Times New Roman"/>
        <family val="1"/>
      </rPr>
      <t xml:space="preserve">2015 </t>
    </r>
    <r>
      <rPr>
        <sz val="12"/>
        <color rgb="FF000000"/>
        <rFont val="ＭＳ 明朝"/>
        <family val="1"/>
        <charset val="128"/>
      </rPr>
      <t>～</t>
    </r>
    <r>
      <rPr>
        <sz val="12"/>
        <color rgb="FF000000"/>
        <rFont val="Times New Roman"/>
        <family val="1"/>
      </rPr>
      <t xml:space="preserve"> 2019 </t>
    </r>
    <r>
      <rPr>
        <sz val="12"/>
        <color rgb="FF000000"/>
        <rFont val="ＭＳ 明朝"/>
        <family val="1"/>
        <charset val="128"/>
      </rPr>
      <t>年の平均値。</t>
    </r>
    <phoneticPr fontId="1"/>
  </si>
  <si>
    <r>
      <t xml:space="preserve">2019 </t>
    </r>
    <r>
      <rPr>
        <sz val="11"/>
        <color indexed="8"/>
        <rFont val="ＭＳ 明朝"/>
        <family val="1"/>
        <charset val="128"/>
      </rPr>
      <t>年の漁獲尾数および漁獲量は暫定値。</t>
    </r>
    <rPh sb="5" eb="6">
      <t>ネン</t>
    </rPh>
    <rPh sb="7" eb="9">
      <t>ギョカク</t>
    </rPh>
    <rPh sb="9" eb="10">
      <t>ビ</t>
    </rPh>
    <rPh sb="10" eb="11">
      <t>スウ</t>
    </rPh>
    <rPh sb="14" eb="17">
      <t>ギョカクリョウ</t>
    </rPh>
    <rPh sb="18" eb="21">
      <t>ザンテイチ</t>
    </rPh>
    <phoneticPr fontId="4"/>
  </si>
  <si>
    <r>
      <t xml:space="preserve">2020 </t>
    </r>
    <r>
      <rPr>
        <sz val="11"/>
        <color indexed="8"/>
        <rFont val="ＭＳ 明朝"/>
        <family val="1"/>
        <charset val="128"/>
      </rPr>
      <t>年の漁獲尾数および漁獲量は予測値（</t>
    </r>
    <r>
      <rPr>
        <sz val="11"/>
        <color indexed="8"/>
        <rFont val="Times New Roman"/>
        <family val="1"/>
      </rPr>
      <t xml:space="preserve">2015 </t>
    </r>
    <r>
      <rPr>
        <sz val="11"/>
        <color indexed="8"/>
        <rFont val="ＭＳ 明朝"/>
        <family val="1"/>
        <charset val="128"/>
      </rPr>
      <t>～</t>
    </r>
    <r>
      <rPr>
        <sz val="11"/>
        <color indexed="8"/>
        <rFont val="Times New Roman"/>
        <family val="1"/>
      </rPr>
      <t xml:space="preserve"> 2019 </t>
    </r>
    <r>
      <rPr>
        <sz val="11"/>
        <color indexed="8"/>
        <rFont val="ＭＳ 明朝"/>
        <family val="1"/>
        <charset val="128"/>
      </rPr>
      <t>年の平均値）。</t>
    </r>
    <rPh sb="7" eb="9">
      <t>ギョカク</t>
    </rPh>
    <rPh sb="9" eb="11">
      <t>ビスウ</t>
    </rPh>
    <rPh sb="14" eb="17">
      <t>ギョカクリョウハ</t>
    </rPh>
    <rPh sb="18" eb="21">
      <t>ヨソクチ</t>
    </rPh>
    <rPh sb="38" eb="39">
      <t>アタイ</t>
    </rPh>
    <phoneticPr fontId="4"/>
  </si>
  <si>
    <r>
      <t xml:space="preserve">2020 </t>
    </r>
    <r>
      <rPr>
        <sz val="11"/>
        <color indexed="8"/>
        <rFont val="ＭＳ 明朝"/>
        <family val="1"/>
        <charset val="128"/>
      </rPr>
      <t>年と</t>
    </r>
    <r>
      <rPr>
        <sz val="11"/>
        <color indexed="8"/>
        <rFont val="Times New Roman"/>
        <family val="1"/>
      </rPr>
      <t xml:space="preserve">2021 </t>
    </r>
    <r>
      <rPr>
        <sz val="11"/>
        <color indexed="8"/>
        <rFont val="ＭＳ 明朝"/>
        <family val="1"/>
        <charset val="128"/>
      </rPr>
      <t>年の漁期開始時点資源尾数は予測値（</t>
    </r>
    <r>
      <rPr>
        <sz val="11"/>
        <color indexed="8"/>
        <rFont val="Times New Roman"/>
        <family val="1"/>
      </rPr>
      <t xml:space="preserve">2015 </t>
    </r>
    <r>
      <rPr>
        <sz val="11"/>
        <color indexed="8"/>
        <rFont val="ＭＳ 明朝"/>
        <family val="1"/>
        <charset val="128"/>
      </rPr>
      <t>～</t>
    </r>
    <r>
      <rPr>
        <sz val="11"/>
        <color indexed="8"/>
        <rFont val="Times New Roman"/>
        <family val="1"/>
      </rPr>
      <t xml:space="preserve"> 2019 </t>
    </r>
    <r>
      <rPr>
        <sz val="11"/>
        <color indexed="8"/>
        <rFont val="ＭＳ 明朝"/>
        <family val="1"/>
        <charset val="128"/>
      </rPr>
      <t>年の平均値）。</t>
    </r>
    <rPh sb="16" eb="18">
      <t>カイシ</t>
    </rPh>
    <rPh sb="25" eb="28">
      <t>ヨソクチ</t>
    </rPh>
    <rPh sb="45" eb="46">
      <t>アタイ</t>
    </rPh>
    <phoneticPr fontId="4"/>
  </si>
  <si>
    <r>
      <rPr>
        <sz val="12"/>
        <color theme="1"/>
        <rFont val="ＭＳ 明朝"/>
        <family val="1"/>
        <charset val="128"/>
      </rPr>
      <t>表</t>
    </r>
    <r>
      <rPr>
        <sz val="12"/>
        <color theme="1"/>
        <rFont val="Times New Roman"/>
        <family val="1"/>
      </rPr>
      <t>3-2</t>
    </r>
    <r>
      <rPr>
        <sz val="12"/>
        <color theme="1"/>
        <rFont val="ＭＳ 明朝"/>
        <family val="1"/>
        <charset val="128"/>
      </rPr>
      <t>．</t>
    </r>
    <r>
      <rPr>
        <sz val="12"/>
        <color theme="1"/>
        <rFont val="Times New Roman"/>
        <family val="1"/>
      </rPr>
      <t>B</t>
    </r>
    <r>
      <rPr>
        <sz val="12"/>
        <color theme="1"/>
        <rFont val="ＭＳ 明朝"/>
        <family val="1"/>
        <charset val="128"/>
      </rPr>
      <t>海域における沖合底びき網と小型底びき網漁業全体の資源密度指数</t>
    </r>
    <rPh sb="6" eb="8">
      <t>カイイキ</t>
    </rPh>
    <phoneticPr fontId="1"/>
  </si>
  <si>
    <r>
      <rPr>
        <sz val="11"/>
        <color theme="1"/>
        <rFont val="MeiryoKe_UIGothic"/>
        <family val="3"/>
        <charset val="128"/>
      </rPr>
      <t>補足表4</t>
    </r>
    <r>
      <rPr>
        <sz val="11"/>
        <color theme="1"/>
        <rFont val="Times New Roman"/>
        <family val="1"/>
      </rPr>
      <t>-1.</t>
    </r>
    <r>
      <rPr>
        <sz val="11"/>
        <color theme="1"/>
        <rFont val="MeiryoKe_UIGothic"/>
        <family val="3"/>
        <charset val="128"/>
      </rPr>
      <t>　かご調査による</t>
    </r>
    <r>
      <rPr>
        <sz val="11"/>
        <color theme="1"/>
        <rFont val="Times New Roman"/>
        <family val="1"/>
      </rPr>
      <t>2020</t>
    </r>
    <r>
      <rPr>
        <sz val="11"/>
        <color theme="1"/>
        <rFont val="MeiryoKe_UIGothic"/>
        <family val="3"/>
        <charset val="128"/>
      </rPr>
      <t>年</t>
    </r>
    <r>
      <rPr>
        <sz val="11"/>
        <color theme="1"/>
        <rFont val="Times New Roman"/>
        <family val="1"/>
      </rPr>
      <t>6</t>
    </r>
    <r>
      <rPr>
        <sz val="11"/>
        <color theme="1"/>
        <rFont val="MeiryoKe_UIGothic"/>
        <family val="3"/>
        <charset val="128"/>
      </rPr>
      <t>～</t>
    </r>
    <r>
      <rPr>
        <sz val="11"/>
        <color theme="1"/>
        <rFont val="Times New Roman"/>
        <family val="1"/>
      </rPr>
      <t>7</t>
    </r>
    <r>
      <rPr>
        <sz val="11"/>
        <color theme="1"/>
        <rFont val="MeiryoKe_UIGothic"/>
        <family val="3"/>
        <charset val="128"/>
      </rPr>
      <t>月の現存量</t>
    </r>
    <phoneticPr fontId="1"/>
  </si>
  <si>
    <r>
      <rPr>
        <sz val="11"/>
        <color theme="1"/>
        <rFont val="Times New Roman"/>
        <family val="1"/>
      </rPr>
      <t>B</t>
    </r>
    <r>
      <rPr>
        <sz val="11"/>
        <color theme="1"/>
        <rFont val="ＭＳ 明朝"/>
        <family val="1"/>
        <charset val="128"/>
      </rPr>
      <t>海域かご</t>
    </r>
    <rPh sb="1" eb="3">
      <t>カイイキ</t>
    </rPh>
    <phoneticPr fontId="1"/>
  </si>
  <si>
    <r>
      <rPr>
        <sz val="11"/>
        <color theme="1"/>
        <rFont val="Times New Roman"/>
        <family val="1"/>
      </rPr>
      <t>A</t>
    </r>
    <r>
      <rPr>
        <sz val="11"/>
        <color theme="1"/>
        <rFont val="ＭＳ 明朝"/>
        <family val="1"/>
        <charset val="128"/>
      </rPr>
      <t>海域トロール</t>
    </r>
    <rPh sb="1" eb="3">
      <t>カイイキ</t>
    </rPh>
    <phoneticPr fontId="1"/>
  </si>
  <si>
    <r>
      <rPr>
        <sz val="11"/>
        <color theme="1"/>
        <rFont val="ＭＳ 明朝"/>
        <family val="1"/>
        <charset val="128"/>
      </rPr>
      <t>補足表</t>
    </r>
    <r>
      <rPr>
        <sz val="11"/>
        <color theme="1"/>
        <rFont val="Times New Roman"/>
        <family val="1"/>
      </rPr>
      <t>5-1</t>
    </r>
    <r>
      <rPr>
        <sz val="11"/>
        <color theme="1"/>
        <rFont val="ＭＳ 明朝"/>
        <family val="1"/>
        <charset val="128"/>
      </rPr>
      <t>．日本海</t>
    </r>
    <r>
      <rPr>
        <sz val="11"/>
        <color theme="1"/>
        <rFont val="Times New Roman"/>
        <family val="1"/>
      </rPr>
      <t xml:space="preserve">B </t>
    </r>
    <r>
      <rPr>
        <sz val="11"/>
        <color theme="1"/>
        <rFont val="ＭＳ 明朝"/>
        <family val="1"/>
        <charset val="128"/>
      </rPr>
      <t>海域のかご調査および</t>
    </r>
    <r>
      <rPr>
        <sz val="11"/>
        <color theme="1"/>
        <rFont val="Times New Roman"/>
        <family val="1"/>
      </rPr>
      <t xml:space="preserve">A </t>
    </r>
    <r>
      <rPr>
        <sz val="11"/>
        <color theme="1"/>
        <rFont val="ＭＳ 明朝"/>
        <family val="1"/>
        <charset val="128"/>
      </rPr>
      <t>海域のトロール調査により推定された</t>
    </r>
    <r>
      <rPr>
        <sz val="11"/>
        <color theme="1"/>
        <rFont val="Times New Roman"/>
        <family val="1"/>
      </rPr>
      <t>2003</t>
    </r>
    <r>
      <rPr>
        <sz val="11"/>
        <color theme="1"/>
        <rFont val="ＭＳ 明朝"/>
        <family val="1"/>
        <charset val="128"/>
      </rPr>
      <t>～</t>
    </r>
    <r>
      <rPr>
        <sz val="11"/>
        <color theme="1"/>
        <rFont val="Times New Roman"/>
        <family val="1"/>
      </rPr>
      <t xml:space="preserve">2016 </t>
    </r>
    <r>
      <rPr>
        <sz val="11"/>
        <color theme="1"/>
        <rFont val="ＭＳ 明朝"/>
        <family val="1"/>
        <charset val="128"/>
      </rPr>
      <t>年における平均齢期別現存尾数</t>
    </r>
    <phoneticPr fontId="1"/>
  </si>
  <si>
    <r>
      <rPr>
        <sz val="12"/>
        <color indexed="8"/>
        <rFont val="ＭＳ 明朝"/>
        <family val="1"/>
        <charset val="128"/>
      </rPr>
      <t>補足表</t>
    </r>
    <r>
      <rPr>
        <sz val="12"/>
        <color indexed="8"/>
        <rFont val="Times New Roman"/>
        <family val="1"/>
      </rPr>
      <t xml:space="preserve"> </t>
    </r>
    <r>
      <rPr>
        <sz val="12"/>
        <color rgb="FF000000"/>
        <rFont val="Times New Roman"/>
        <family val="1"/>
      </rPr>
      <t>6</t>
    </r>
    <r>
      <rPr>
        <sz val="12"/>
        <color indexed="8"/>
        <rFont val="Times New Roman"/>
        <family val="1"/>
      </rPr>
      <t>-1</t>
    </r>
    <r>
      <rPr>
        <sz val="12"/>
        <color indexed="8"/>
        <rFont val="ＭＳ 明朝"/>
        <family val="1"/>
        <charset val="128"/>
      </rPr>
      <t>．</t>
    </r>
    <r>
      <rPr>
        <sz val="12"/>
        <color rgb="FF000000"/>
        <rFont val="Times New Roman"/>
        <family val="1"/>
      </rPr>
      <t>B</t>
    </r>
    <r>
      <rPr>
        <sz val="12"/>
        <color indexed="8"/>
        <rFont val="ＭＳ 明朝"/>
        <family val="1"/>
        <charset val="128"/>
      </rPr>
      <t>海域における現存尾数、資源尾数、資源量、漁獲尾数（漁期年）、</t>
    </r>
    <r>
      <rPr>
        <sz val="12"/>
        <color indexed="8"/>
        <rFont val="Times New Roman"/>
        <family val="1"/>
      </rPr>
      <t xml:space="preserve"> </t>
    </r>
    <r>
      <rPr>
        <sz val="12"/>
        <color indexed="8"/>
        <rFont val="ＭＳ 明朝"/>
        <family val="1"/>
        <charset val="128"/>
      </rPr>
      <t>漁獲量（漁期年）、漁獲割合および漁獲係数（</t>
    </r>
    <r>
      <rPr>
        <sz val="12"/>
        <color indexed="8"/>
        <rFont val="Times New Roman"/>
        <family val="1"/>
      </rPr>
      <t>F</t>
    </r>
    <r>
      <rPr>
        <sz val="12"/>
        <color indexed="8"/>
        <rFont val="ＭＳ 明朝"/>
        <family val="1"/>
        <charset val="128"/>
      </rPr>
      <t>）</t>
    </r>
    <rPh sb="0" eb="2">
      <t>ホソク</t>
    </rPh>
    <rPh sb="2" eb="3">
      <t>ヒョウ</t>
    </rPh>
    <rPh sb="15" eb="17">
      <t>ゲンゾン</t>
    </rPh>
    <rPh sb="17" eb="18">
      <t>ビ</t>
    </rPh>
    <rPh sb="18" eb="19">
      <t>スウ</t>
    </rPh>
    <phoneticPr fontId="2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</si>
</sst>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Red]\-#,##0.0"/>
    <numFmt numFmtId="177" formatCode="0_ "/>
    <numFmt numFmtId="178" formatCode="0.0_ "/>
    <numFmt numFmtId="179" formatCode="#,##0_ "/>
  </numFmts>
  <fonts count="45">
    <font>
      <sz val="11"/>
      <color theme="1"/>
      <name val="MeiryoKe_UIGothic"/>
      <family val="3"/>
      <charset val="128"/>
    </font>
    <font>
      <sz val="6"/>
      <name val="MeiryoKe_UIGothic"/>
      <family val="3"/>
      <charset val="128"/>
    </font>
    <font>
      <sz val="12"/>
      <color indexed="8"/>
      <name val="Times New Roman"/>
      <family val="1"/>
    </font>
    <font>
      <sz val="12"/>
      <color indexed="8"/>
      <name val="ＭＳ 明朝"/>
      <family val="1"/>
      <charset val="128"/>
    </font>
    <font>
      <sz val="11"/>
      <name val="ＭＳ Ｐゴシック"/>
      <family val="3"/>
      <charset val="128"/>
    </font>
    <font>
      <sz val="11"/>
      <color indexed="8"/>
      <name val="Times New Roman"/>
      <family val="1"/>
    </font>
    <font>
      <sz val="11"/>
      <color theme="1"/>
      <name val="Times New Roman"/>
      <family val="1"/>
    </font>
    <font>
      <sz val="11"/>
      <color theme="1"/>
      <name val="ＭＳ 明朝"/>
      <family val="1"/>
      <charset val="128"/>
    </font>
    <font>
      <sz val="11"/>
      <color indexed="8"/>
      <name val="Century"/>
      <family val="1"/>
    </font>
    <font>
      <sz val="11"/>
      <color indexed="8"/>
      <name val="ＭＳ 明朝"/>
      <family val="1"/>
      <charset val="128"/>
    </font>
    <font>
      <sz val="11"/>
      <color indexed="8"/>
      <name val="ＭＳ Ｐゴシック"/>
      <family val="3"/>
      <charset val="128"/>
    </font>
    <font>
      <sz val="11"/>
      <color indexed="8"/>
      <name val="ＭＳ Ｐ明朝"/>
      <family val="1"/>
      <charset val="128"/>
    </font>
    <font>
      <i/>
      <sz val="11"/>
      <color indexed="8"/>
      <name val="Times New Roman"/>
      <family val="1"/>
    </font>
    <font>
      <sz val="11"/>
      <name val="Times New Roman"/>
      <family val="1"/>
    </font>
    <font>
      <sz val="11"/>
      <name val="ＭＳ 明朝"/>
      <family val="1"/>
      <charset val="128"/>
    </font>
    <font>
      <sz val="12"/>
      <color theme="1"/>
      <name val="Times New Roman"/>
      <family val="1"/>
    </font>
    <font>
      <i/>
      <sz val="11"/>
      <color theme="1"/>
      <name val="Times New Roman"/>
      <family val="1"/>
    </font>
    <font>
      <sz val="11"/>
      <color theme="1"/>
      <name val="游ゴシック"/>
      <family val="3"/>
      <charset val="128"/>
      <scheme val="minor"/>
    </font>
    <font>
      <sz val="11"/>
      <name val="Century"/>
      <family val="1"/>
    </font>
    <font>
      <sz val="12"/>
      <name val="Osaka"/>
      <family val="3"/>
      <charset val="128"/>
    </font>
    <font>
      <sz val="11"/>
      <color theme="1"/>
      <name val="Century"/>
      <family val="1"/>
    </font>
    <font>
      <sz val="12"/>
      <color indexed="8"/>
      <name val="ＪＳ明朝"/>
      <family val="1"/>
      <charset val="128"/>
    </font>
    <font>
      <sz val="11"/>
      <color theme="1"/>
      <name val="ＭＳ Ｐ明朝"/>
      <family val="1"/>
      <charset val="128"/>
    </font>
    <font>
      <sz val="12"/>
      <color theme="1"/>
      <name val="ＭＳ 明朝"/>
      <family val="1"/>
      <charset val="128"/>
    </font>
    <font>
      <sz val="6"/>
      <name val="ＭＳ Ｐゴシック"/>
      <family val="3"/>
      <charset val="128"/>
    </font>
    <font>
      <sz val="12"/>
      <name val="Times New Roman"/>
      <family val="1"/>
    </font>
    <font>
      <sz val="12"/>
      <name val="ＭＳ 明朝"/>
      <family val="1"/>
      <charset val="128"/>
    </font>
    <font>
      <sz val="6"/>
      <name val="Osaka"/>
      <family val="3"/>
      <charset val="128"/>
    </font>
    <font>
      <vertAlign val="superscript"/>
      <sz val="12"/>
      <name val="Times New Roman"/>
      <family val="1"/>
    </font>
    <font>
      <sz val="12"/>
      <color theme="1"/>
      <name val="游ゴシック"/>
      <family val="3"/>
      <charset val="128"/>
      <scheme val="minor"/>
    </font>
    <font>
      <b/>
      <sz val="18"/>
      <color indexed="56"/>
      <name val="ＭＳ Ｐゴシック"/>
      <family val="3"/>
      <charset val="128"/>
    </font>
    <font>
      <sz val="14"/>
      <color theme="1"/>
      <name val="Times New Roman"/>
      <family val="1"/>
    </font>
    <font>
      <sz val="14"/>
      <color theme="1"/>
      <name val="ＭＳ 明朝"/>
      <family val="1"/>
      <charset val="128"/>
    </font>
    <font>
      <sz val="14"/>
      <name val="ＭＳ ゴシック"/>
      <family val="3"/>
      <charset val="128"/>
    </font>
    <font>
      <sz val="10"/>
      <name val="ＭＳ 明朝"/>
      <family val="1"/>
      <charset val="128"/>
    </font>
    <font>
      <sz val="10"/>
      <name val="Times New Roman"/>
      <family val="1"/>
    </font>
    <font>
      <sz val="16"/>
      <color theme="1"/>
      <name val="ＭＳ ゴシック"/>
      <family val="3"/>
      <charset val="128"/>
    </font>
    <font>
      <sz val="11"/>
      <color theme="1"/>
      <name val="MeiryoKe_UIGothic"/>
      <family val="3"/>
      <charset val="128"/>
    </font>
    <font>
      <sz val="10"/>
      <color theme="1"/>
      <name val="Times New Roman"/>
      <family val="1"/>
    </font>
    <font>
      <sz val="10"/>
      <color theme="1"/>
      <name val="游ゴシック"/>
      <family val="3"/>
      <charset val="128"/>
      <scheme val="minor"/>
    </font>
    <font>
      <sz val="14"/>
      <color theme="1"/>
      <name val="Times New Roman"/>
      <family val="1"/>
      <charset val="128"/>
    </font>
    <font>
      <sz val="12"/>
      <color rgb="FF000000"/>
      <name val="ＭＳ 明朝"/>
      <family val="1"/>
      <charset val="128"/>
    </font>
    <font>
      <sz val="12"/>
      <color rgb="FF000000"/>
      <name val="Times New Roman"/>
      <family val="1"/>
    </font>
    <font>
      <sz val="11"/>
      <color theme="1"/>
      <name val="Times New Roman"/>
      <family val="3"/>
      <charset val="128"/>
    </font>
    <font>
      <sz val="12"/>
      <color indexed="8"/>
      <name val="Times New Roman"/>
      <family val="1"/>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0">
    <xf numFmtId="0" fontId="0" fillId="0" borderId="0">
      <alignment vertical="center"/>
    </xf>
    <xf numFmtId="38" fontId="4" fillId="0" borderId="0" applyFont="0" applyFill="0" applyBorder="0" applyAlignment="0" applyProtection="0">
      <alignment vertical="center"/>
    </xf>
    <xf numFmtId="0" fontId="4" fillId="0" borderId="0">
      <alignment vertical="center"/>
    </xf>
    <xf numFmtId="38" fontId="17" fillId="0" borderId="0" applyFont="0" applyFill="0" applyBorder="0" applyAlignment="0" applyProtection="0">
      <alignment vertical="center"/>
    </xf>
    <xf numFmtId="0" fontId="19" fillId="0" borderId="0"/>
    <xf numFmtId="0" fontId="17" fillId="0" borderId="0">
      <alignment vertical="center"/>
    </xf>
    <xf numFmtId="0" fontId="19" fillId="0" borderId="0"/>
    <xf numFmtId="38" fontId="17" fillId="0" borderId="0" applyFont="0" applyFill="0" applyBorder="0" applyAlignment="0" applyProtection="0">
      <alignment vertical="center"/>
    </xf>
    <xf numFmtId="38" fontId="37" fillId="0" borderId="0" applyFont="0" applyFill="0" applyBorder="0" applyAlignment="0" applyProtection="0"/>
    <xf numFmtId="0" fontId="17" fillId="0" borderId="0">
      <alignment vertical="center"/>
    </xf>
  </cellStyleXfs>
  <cellXfs count="153">
    <xf numFmtId="0" fontId="0" fillId="0" borderId="0" xfId="0">
      <alignment vertical="center"/>
    </xf>
    <xf numFmtId="0" fontId="0" fillId="2" borderId="0" xfId="0" applyFill="1">
      <alignment vertical="center"/>
    </xf>
    <xf numFmtId="0" fontId="7" fillId="2" borderId="3" xfId="0" applyFont="1" applyFill="1" applyBorder="1" applyAlignment="1">
      <alignment horizontal="center" vertical="center"/>
    </xf>
    <xf numFmtId="38" fontId="8" fillId="2" borderId="2" xfId="1" applyFont="1" applyFill="1" applyBorder="1" applyAlignment="1">
      <alignment horizontal="center"/>
    </xf>
    <xf numFmtId="0" fontId="10" fillId="2" borderId="0" xfId="2" applyFont="1" applyFill="1">
      <alignment vertical="center"/>
    </xf>
    <xf numFmtId="38" fontId="8" fillId="2" borderId="1" xfId="1" applyFont="1" applyFill="1" applyBorder="1" applyAlignment="1">
      <alignment horizontal="center"/>
    </xf>
    <xf numFmtId="0" fontId="5" fillId="2" borderId="3" xfId="1" applyNumberFormat="1" applyFont="1" applyFill="1" applyBorder="1" applyAlignment="1">
      <alignment horizontal="center"/>
    </xf>
    <xf numFmtId="0" fontId="8" fillId="2" borderId="3" xfId="2" applyFont="1" applyFill="1" applyBorder="1" applyAlignment="1">
      <alignment horizontal="center" vertical="center"/>
    </xf>
    <xf numFmtId="0" fontId="5" fillId="2" borderId="0" xfId="2" applyFont="1" applyFill="1" applyAlignment="1">
      <alignment horizontal="left" vertical="center"/>
    </xf>
    <xf numFmtId="38" fontId="11" fillId="2" borderId="3" xfId="1" applyFont="1" applyFill="1" applyBorder="1" applyAlignment="1">
      <alignment horizontal="center"/>
    </xf>
    <xf numFmtId="0" fontId="9" fillId="2" borderId="0" xfId="2" applyFont="1" applyFill="1" applyAlignment="1">
      <alignment horizontal="left" vertical="center"/>
    </xf>
    <xf numFmtId="0" fontId="14" fillId="2" borderId="0" xfId="2" applyFont="1" applyFill="1" applyAlignment="1">
      <alignment horizontal="left" vertical="center"/>
    </xf>
    <xf numFmtId="0" fontId="18" fillId="2" borderId="0" xfId="2" applyFont="1" applyFill="1" applyAlignment="1">
      <alignment horizontal="left" vertical="center"/>
    </xf>
    <xf numFmtId="38" fontId="5" fillId="2" borderId="3" xfId="1" applyFont="1" applyFill="1" applyBorder="1" applyAlignment="1">
      <alignment horizontal="center"/>
    </xf>
    <xf numFmtId="0" fontId="21" fillId="2" borderId="0" xfId="2" applyFont="1" applyFill="1">
      <alignment vertical="center"/>
    </xf>
    <xf numFmtId="0" fontId="7" fillId="2" borderId="3" xfId="0" applyFont="1" applyFill="1" applyBorder="1" applyAlignment="1">
      <alignment horizontal="center" vertical="center" wrapText="1"/>
    </xf>
    <xf numFmtId="0" fontId="22" fillId="2" borderId="3" xfId="0" applyFont="1" applyFill="1" applyBorder="1" applyAlignment="1">
      <alignment horizontal="center" vertical="center"/>
    </xf>
    <xf numFmtId="0" fontId="17" fillId="0" borderId="0" xfId="5">
      <alignment vertical="center"/>
    </xf>
    <xf numFmtId="0" fontId="17" fillId="2" borderId="0" xfId="5" applyFill="1">
      <alignment vertical="center"/>
    </xf>
    <xf numFmtId="38" fontId="25" fillId="2" borderId="2" xfId="7" applyFont="1" applyFill="1" applyBorder="1" applyAlignment="1"/>
    <xf numFmtId="38" fontId="25" fillId="2" borderId="2" xfId="7" applyFont="1" applyFill="1" applyBorder="1" applyAlignment="1">
      <alignment horizontal="right"/>
    </xf>
    <xf numFmtId="38" fontId="25" fillId="2" borderId="3" xfId="7" applyFont="1" applyFill="1" applyBorder="1" applyAlignment="1"/>
    <xf numFmtId="40" fontId="25" fillId="2" borderId="3" xfId="7" applyNumberFormat="1" applyFont="1" applyFill="1" applyBorder="1" applyAlignment="1"/>
    <xf numFmtId="38" fontId="25" fillId="2" borderId="0" xfId="7" applyFont="1" applyFill="1" applyBorder="1" applyAlignment="1"/>
    <xf numFmtId="40" fontId="25" fillId="2" borderId="0" xfId="7" applyNumberFormat="1" applyFont="1" applyFill="1" applyBorder="1" applyAlignment="1"/>
    <xf numFmtId="176" fontId="25" fillId="2" borderId="0" xfId="7" applyNumberFormat="1" applyFont="1" applyFill="1" applyBorder="1" applyAlignment="1"/>
    <xf numFmtId="176" fontId="25" fillId="2" borderId="2" xfId="7" applyNumberFormat="1" applyFont="1" applyFill="1" applyBorder="1" applyAlignment="1"/>
    <xf numFmtId="40" fontId="25" fillId="2" borderId="2" xfId="7" applyNumberFormat="1" applyFont="1" applyFill="1" applyBorder="1" applyAlignment="1"/>
    <xf numFmtId="0" fontId="25" fillId="2" borderId="2" xfId="6" applyFont="1" applyFill="1" applyBorder="1"/>
    <xf numFmtId="38" fontId="25" fillId="2" borderId="2" xfId="7" applyFont="1" applyFill="1" applyBorder="1" applyAlignment="1">
      <alignment horizontal="center"/>
    </xf>
    <xf numFmtId="38" fontId="25" fillId="2" borderId="1" xfId="7" applyFont="1" applyFill="1" applyBorder="1" applyAlignment="1">
      <alignment horizontal="center"/>
    </xf>
    <xf numFmtId="0" fontId="29" fillId="2" borderId="3" xfId="0" applyFont="1" applyFill="1" applyBorder="1">
      <alignment vertical="center"/>
    </xf>
    <xf numFmtId="0" fontId="15" fillId="2" borderId="2" xfId="0" applyFont="1" applyFill="1" applyBorder="1" applyAlignment="1">
      <alignment horizontal="left" vertical="center" wrapText="1"/>
    </xf>
    <xf numFmtId="0" fontId="15" fillId="2" borderId="2" xfId="0" applyFont="1" applyFill="1" applyBorder="1" applyAlignment="1">
      <alignment horizontal="center" vertical="center" wrapText="1"/>
    </xf>
    <xf numFmtId="0" fontId="29" fillId="2" borderId="2" xfId="0" applyFont="1" applyFill="1" applyBorder="1" applyAlignment="1">
      <alignment vertical="center" wrapText="1"/>
    </xf>
    <xf numFmtId="0" fontId="15" fillId="2" borderId="0" xfId="0" applyFont="1" applyFill="1" applyBorder="1" applyAlignment="1">
      <alignment horizontal="center" vertical="center"/>
    </xf>
    <xf numFmtId="0" fontId="29" fillId="2" borderId="0" xfId="0" applyFont="1" applyFill="1">
      <alignment vertical="center"/>
    </xf>
    <xf numFmtId="0" fontId="15" fillId="2" borderId="2" xfId="0" applyFont="1" applyFill="1" applyBorder="1" applyAlignment="1">
      <alignment horizontal="center" vertical="center"/>
    </xf>
    <xf numFmtId="0" fontId="5" fillId="2" borderId="0" xfId="4" applyFont="1" applyFill="1" applyBorder="1" applyAlignment="1">
      <alignment horizontal="center"/>
    </xf>
    <xf numFmtId="0" fontId="36" fillId="2" borderId="0" xfId="0" applyFont="1" applyFill="1">
      <alignment vertical="center"/>
    </xf>
    <xf numFmtId="38" fontId="15" fillId="2" borderId="0" xfId="8" applyFont="1" applyFill="1" applyBorder="1" applyAlignment="1">
      <alignment vertical="center"/>
    </xf>
    <xf numFmtId="38" fontId="9" fillId="2" borderId="2" xfId="1" applyFont="1" applyFill="1" applyBorder="1" applyAlignment="1">
      <alignment horizontal="left" vertical="center"/>
    </xf>
    <xf numFmtId="0" fontId="8" fillId="2" borderId="2" xfId="2" applyFont="1" applyFill="1" applyBorder="1" applyAlignment="1">
      <alignment vertical="center"/>
    </xf>
    <xf numFmtId="0" fontId="8" fillId="2" borderId="0" xfId="2" applyFont="1" applyFill="1" applyAlignment="1">
      <alignment vertical="center"/>
    </xf>
    <xf numFmtId="38" fontId="5" fillId="2" borderId="1" xfId="1" applyFont="1" applyFill="1" applyBorder="1" applyAlignment="1"/>
    <xf numFmtId="38" fontId="5" fillId="2" borderId="1" xfId="1" applyNumberFormat="1" applyFont="1" applyFill="1" applyBorder="1" applyAlignment="1"/>
    <xf numFmtId="38" fontId="5" fillId="2" borderId="2" xfId="1" applyFont="1" applyFill="1" applyBorder="1" applyAlignment="1"/>
    <xf numFmtId="38" fontId="5" fillId="2" borderId="2" xfId="1" applyNumberFormat="1" applyFont="1" applyFill="1" applyBorder="1" applyAlignment="1"/>
    <xf numFmtId="38" fontId="5" fillId="2" borderId="2" xfId="1" applyNumberFormat="1" applyFont="1" applyFill="1" applyBorder="1">
      <alignment vertical="center"/>
    </xf>
    <xf numFmtId="0" fontId="5" fillId="2" borderId="0" xfId="2" applyFont="1" applyFill="1" applyAlignment="1">
      <alignment horizontal="center" vertical="center"/>
    </xf>
    <xf numFmtId="0" fontId="5" fillId="2" borderId="0" xfId="2" applyFont="1" applyFill="1" applyAlignment="1">
      <alignment vertical="center"/>
    </xf>
    <xf numFmtId="0" fontId="13" fillId="2" borderId="0" xfId="2" applyFont="1" applyFill="1" applyAlignment="1">
      <alignment vertical="center"/>
    </xf>
    <xf numFmtId="177" fontId="5" fillId="2" borderId="1" xfId="1" applyNumberFormat="1" applyFont="1" applyFill="1" applyBorder="1" applyAlignment="1"/>
    <xf numFmtId="177" fontId="5" fillId="2" borderId="2" xfId="1" applyNumberFormat="1" applyFont="1" applyFill="1" applyBorder="1" applyAlignment="1"/>
    <xf numFmtId="38" fontId="14" fillId="2" borderId="0" xfId="1" applyFont="1" applyFill="1" applyAlignment="1">
      <alignment horizontal="left" vertical="center"/>
    </xf>
    <xf numFmtId="38" fontId="5" fillId="2" borderId="0" xfId="1" applyFont="1" applyFill="1" applyAlignment="1">
      <alignment horizontal="left" vertical="center"/>
    </xf>
    <xf numFmtId="38" fontId="5" fillId="2" borderId="0" xfId="1" applyFont="1" applyFill="1" applyAlignment="1">
      <alignment vertical="center"/>
    </xf>
    <xf numFmtId="38" fontId="12" fillId="2" borderId="1" xfId="1" applyNumberFormat="1" applyFont="1" applyFill="1" applyBorder="1" applyAlignment="1"/>
    <xf numFmtId="38" fontId="12" fillId="2" borderId="2" xfId="1" applyNumberFormat="1" applyFont="1" applyFill="1" applyBorder="1" applyAlignment="1"/>
    <xf numFmtId="38" fontId="5" fillId="2" borderId="3" xfId="1" applyNumberFormat="1" applyFont="1" applyFill="1" applyBorder="1" applyAlignment="1"/>
    <xf numFmtId="38" fontId="12" fillId="2" borderId="3" xfId="1" applyNumberFormat="1" applyFont="1" applyFill="1" applyBorder="1" applyAlignment="1"/>
    <xf numFmtId="176" fontId="5" fillId="2" borderId="1" xfId="1" applyNumberFormat="1" applyFont="1" applyFill="1" applyBorder="1" applyAlignment="1"/>
    <xf numFmtId="176" fontId="12" fillId="2" borderId="1" xfId="1" applyNumberFormat="1" applyFont="1" applyFill="1" applyBorder="1" applyAlignment="1"/>
    <xf numFmtId="176" fontId="5" fillId="2" borderId="2" xfId="1" applyNumberFormat="1" applyFont="1" applyFill="1" applyBorder="1" applyAlignment="1"/>
    <xf numFmtId="176" fontId="12" fillId="2" borderId="2" xfId="1" applyNumberFormat="1" applyFont="1" applyFill="1" applyBorder="1" applyAlignment="1"/>
    <xf numFmtId="176" fontId="5" fillId="2" borderId="3" xfId="1" applyNumberFormat="1" applyFont="1" applyFill="1" applyBorder="1" applyAlignment="1"/>
    <xf numFmtId="176" fontId="12" fillId="2" borderId="3" xfId="1" applyNumberFormat="1" applyFont="1" applyFill="1" applyBorder="1" applyAlignment="1"/>
    <xf numFmtId="40" fontId="5" fillId="2" borderId="1" xfId="1" applyNumberFormat="1" applyFont="1" applyFill="1" applyBorder="1" applyAlignment="1"/>
    <xf numFmtId="40" fontId="12" fillId="2" borderId="1" xfId="1" applyNumberFormat="1" applyFont="1" applyFill="1" applyBorder="1" applyAlignment="1"/>
    <xf numFmtId="40" fontId="5" fillId="2" borderId="2" xfId="1" applyNumberFormat="1" applyFont="1" applyFill="1" applyBorder="1" applyAlignment="1"/>
    <xf numFmtId="40" fontId="12" fillId="2" borderId="2" xfId="1" applyNumberFormat="1" applyFont="1" applyFill="1" applyBorder="1" applyAlignment="1"/>
    <xf numFmtId="0" fontId="10" fillId="2" borderId="0" xfId="2" applyFont="1" applyFill="1" applyAlignment="1">
      <alignment vertical="center"/>
    </xf>
    <xf numFmtId="0" fontId="7" fillId="0" borderId="0" xfId="0" applyFont="1">
      <alignment vertical="center"/>
    </xf>
    <xf numFmtId="179" fontId="6" fillId="0" borderId="0" xfId="0" applyNumberFormat="1" applyFont="1">
      <alignment vertical="center"/>
    </xf>
    <xf numFmtId="0" fontId="7" fillId="0" borderId="0" xfId="0" applyFont="1" applyAlignment="1">
      <alignment horizontal="center" vertical="center"/>
    </xf>
    <xf numFmtId="179" fontId="6" fillId="0" borderId="1" xfId="0" applyNumberFormat="1" applyFont="1" applyBorder="1">
      <alignment vertical="center"/>
    </xf>
    <xf numFmtId="179" fontId="6" fillId="0" borderId="2" xfId="0" applyNumberFormat="1" applyFont="1" applyBorder="1">
      <alignment vertical="center"/>
    </xf>
    <xf numFmtId="0" fontId="7" fillId="0" borderId="3" xfId="0" applyFont="1" applyBorder="1" applyAlignment="1">
      <alignment horizontal="center" vertical="center"/>
    </xf>
    <xf numFmtId="38" fontId="25" fillId="2" borderId="3" xfId="7" applyFont="1" applyFill="1" applyBorder="1" applyAlignment="1">
      <alignment horizontal="center"/>
    </xf>
    <xf numFmtId="0" fontId="35" fillId="2" borderId="0" xfId="3" applyNumberFormat="1" applyFont="1" applyFill="1" applyBorder="1" applyAlignment="1">
      <alignment horizontal="center" vertical="center"/>
    </xf>
    <xf numFmtId="178" fontId="38" fillId="2" borderId="0" xfId="0" applyNumberFormat="1" applyFont="1" applyFill="1">
      <alignment vertical="center"/>
    </xf>
    <xf numFmtId="0" fontId="39" fillId="2" borderId="0" xfId="0" applyFont="1" applyFill="1">
      <alignment vertical="center"/>
    </xf>
    <xf numFmtId="0" fontId="35" fillId="2" borderId="0" xfId="0" applyFont="1" applyFill="1" applyBorder="1" applyAlignment="1">
      <alignment horizontal="center" vertical="center"/>
    </xf>
    <xf numFmtId="178" fontId="38" fillId="2" borderId="0" xfId="0" applyNumberFormat="1" applyFont="1" applyFill="1" applyBorder="1">
      <alignment vertical="center"/>
    </xf>
    <xf numFmtId="0" fontId="35" fillId="2" borderId="2" xfId="0" applyFont="1" applyFill="1" applyBorder="1" applyAlignment="1">
      <alignment horizontal="center" vertical="center"/>
    </xf>
    <xf numFmtId="178" fontId="38" fillId="2" borderId="2" xfId="0" applyNumberFormat="1" applyFont="1" applyFill="1" applyBorder="1">
      <alignment vertical="center"/>
    </xf>
    <xf numFmtId="0" fontId="3" fillId="2" borderId="0" xfId="2" applyFont="1" applyFill="1" applyAlignment="1">
      <alignment horizontal="left" vertical="center" wrapText="1"/>
    </xf>
    <xf numFmtId="0" fontId="20" fillId="2" borderId="0" xfId="5" applyFont="1" applyFill="1" applyAlignment="1">
      <alignment vertical="center"/>
    </xf>
    <xf numFmtId="0" fontId="17" fillId="2" borderId="0" xfId="5" applyFill="1" applyAlignment="1">
      <alignment vertical="center"/>
    </xf>
    <xf numFmtId="0" fontId="17" fillId="0" borderId="0" xfId="5" applyAlignment="1">
      <alignment vertical="center"/>
    </xf>
    <xf numFmtId="0" fontId="5" fillId="2" borderId="3" xfId="3" applyNumberFormat="1" applyFont="1" applyFill="1" applyBorder="1" applyAlignment="1">
      <alignment horizontal="center"/>
    </xf>
    <xf numFmtId="0" fontId="37" fillId="0" borderId="0" xfId="5" applyFont="1">
      <alignment vertical="center"/>
    </xf>
    <xf numFmtId="38" fontId="6" fillId="2" borderId="2" xfId="3" applyNumberFormat="1" applyFont="1" applyFill="1" applyBorder="1">
      <alignment vertical="center"/>
    </xf>
    <xf numFmtId="38" fontId="6" fillId="2" borderId="2" xfId="3" applyFont="1" applyFill="1" applyBorder="1">
      <alignment vertical="center"/>
    </xf>
    <xf numFmtId="38" fontId="6" fillId="2" borderId="0" xfId="3" applyNumberFormat="1" applyFont="1" applyFill="1" applyBorder="1">
      <alignment vertical="center"/>
    </xf>
    <xf numFmtId="0" fontId="6" fillId="2" borderId="0" xfId="5" applyFont="1" applyFill="1">
      <alignment vertical="center"/>
    </xf>
    <xf numFmtId="0" fontId="6" fillId="2" borderId="0" xfId="5" applyFont="1" applyFill="1" applyAlignment="1">
      <alignment vertical="center"/>
    </xf>
    <xf numFmtId="177" fontId="5" fillId="2" borderId="1" xfId="3" applyNumberFormat="1" applyFont="1" applyFill="1" applyBorder="1" applyAlignment="1">
      <alignment horizontal="right"/>
    </xf>
    <xf numFmtId="38" fontId="16" fillId="2" borderId="0" xfId="3" applyFont="1" applyFill="1">
      <alignment vertical="center"/>
    </xf>
    <xf numFmtId="177" fontId="5" fillId="2" borderId="2" xfId="3" applyNumberFormat="1" applyFont="1" applyFill="1" applyBorder="1" applyAlignment="1">
      <alignment horizontal="right"/>
    </xf>
    <xf numFmtId="177" fontId="6" fillId="2" borderId="2" xfId="3" applyNumberFormat="1" applyFont="1" applyFill="1" applyBorder="1" applyAlignment="1">
      <alignment horizontal="right" vertical="center"/>
    </xf>
    <xf numFmtId="38" fontId="16" fillId="2" borderId="2" xfId="3" applyFont="1" applyFill="1" applyBorder="1">
      <alignment vertical="center"/>
    </xf>
    <xf numFmtId="0" fontId="7" fillId="2" borderId="3" xfId="5" applyFont="1" applyFill="1" applyBorder="1" applyAlignment="1">
      <alignment horizontal="center" vertical="center"/>
    </xf>
    <xf numFmtId="177" fontId="6" fillId="2" borderId="3" xfId="5" applyNumberFormat="1" applyFont="1" applyFill="1" applyBorder="1">
      <alignment vertical="center"/>
    </xf>
    <xf numFmtId="38" fontId="16" fillId="2" borderId="3" xfId="3" applyFont="1" applyFill="1" applyBorder="1">
      <alignment vertical="center"/>
    </xf>
    <xf numFmtId="38" fontId="6" fillId="2" borderId="0" xfId="5" applyNumberFormat="1" applyFont="1" applyFill="1">
      <alignment vertical="center"/>
    </xf>
    <xf numFmtId="38" fontId="6" fillId="2" borderId="0" xfId="5" applyNumberFormat="1" applyFont="1" applyFill="1" applyBorder="1">
      <alignment vertical="center"/>
    </xf>
    <xf numFmtId="38" fontId="16" fillId="2" borderId="0" xfId="5" applyNumberFormat="1" applyFont="1" applyFill="1" applyBorder="1">
      <alignment vertical="center"/>
    </xf>
    <xf numFmtId="38" fontId="6" fillId="2" borderId="2" xfId="5" applyNumberFormat="1" applyFont="1" applyFill="1" applyBorder="1">
      <alignment vertical="center"/>
    </xf>
    <xf numFmtId="38" fontId="16" fillId="2" borderId="2" xfId="5" applyNumberFormat="1" applyFont="1" applyFill="1" applyBorder="1">
      <alignment vertical="center"/>
    </xf>
    <xf numFmtId="0" fontId="6" fillId="2" borderId="0" xfId="5" applyFont="1" applyFill="1" applyBorder="1">
      <alignment vertical="center"/>
    </xf>
    <xf numFmtId="0" fontId="6" fillId="2" borderId="0" xfId="5" applyFont="1" applyFill="1" applyBorder="1" applyAlignment="1">
      <alignment vertical="center"/>
    </xf>
    <xf numFmtId="0" fontId="17" fillId="2" borderId="0" xfId="5" applyFill="1" applyBorder="1" applyAlignment="1">
      <alignment vertical="center"/>
    </xf>
    <xf numFmtId="38" fontId="6" fillId="2" borderId="3" xfId="1" applyNumberFormat="1" applyFont="1" applyFill="1" applyBorder="1" applyAlignment="1"/>
    <xf numFmtId="176" fontId="6" fillId="2" borderId="3" xfId="1" applyNumberFormat="1" applyFont="1" applyFill="1" applyBorder="1" applyAlignment="1"/>
    <xf numFmtId="0" fontId="6" fillId="2" borderId="0" xfId="5" applyFont="1" applyFill="1" applyBorder="1" applyAlignment="1">
      <alignment horizontal="center"/>
    </xf>
    <xf numFmtId="0" fontId="6" fillId="2" borderId="3" xfId="5" applyFont="1" applyFill="1" applyBorder="1" applyAlignment="1">
      <alignment horizontal="center"/>
    </xf>
    <xf numFmtId="40" fontId="6" fillId="2" borderId="0" xfId="5" applyNumberFormat="1" applyFont="1" applyFill="1" applyBorder="1">
      <alignment vertical="center"/>
    </xf>
    <xf numFmtId="40" fontId="6" fillId="2" borderId="2" xfId="5" applyNumberFormat="1" applyFont="1" applyFill="1" applyBorder="1">
      <alignment vertical="center"/>
    </xf>
    <xf numFmtId="40" fontId="5" fillId="2" borderId="0" xfId="1" applyNumberFormat="1" applyFont="1" applyFill="1" applyBorder="1" applyAlignment="1"/>
    <xf numFmtId="0" fontId="2" fillId="2" borderId="0" xfId="5" applyFont="1" applyFill="1">
      <alignment vertical="center"/>
    </xf>
    <xf numFmtId="0" fontId="15" fillId="2" borderId="0" xfId="5" applyFont="1" applyFill="1">
      <alignment vertical="center"/>
    </xf>
    <xf numFmtId="38" fontId="19" fillId="0" borderId="0" xfId="7" applyFont="1" applyBorder="1" applyAlignment="1"/>
    <xf numFmtId="38" fontId="26" fillId="0" borderId="0" xfId="7" applyFont="1" applyBorder="1" applyAlignment="1"/>
    <xf numFmtId="38" fontId="25" fillId="2" borderId="0" xfId="7" applyFont="1" applyFill="1" applyBorder="1" applyAlignment="1">
      <alignment horizontal="center"/>
    </xf>
    <xf numFmtId="177" fontId="5" fillId="2" borderId="0" xfId="3" applyNumberFormat="1" applyFont="1" applyFill="1" applyBorder="1" applyAlignment="1">
      <alignment horizontal="right"/>
    </xf>
    <xf numFmtId="177" fontId="5" fillId="2" borderId="0" xfId="1" applyNumberFormat="1" applyFont="1" applyFill="1" applyBorder="1" applyAlignment="1"/>
    <xf numFmtId="0" fontId="3" fillId="2" borderId="0" xfId="2" applyFont="1" applyFill="1" applyAlignment="1">
      <alignment horizontal="left" vertical="center" wrapText="1"/>
    </xf>
    <xf numFmtId="0" fontId="40" fillId="2" borderId="0" xfId="0" applyFont="1" applyFill="1">
      <alignment vertical="center"/>
    </xf>
    <xf numFmtId="38" fontId="15" fillId="2" borderId="2" xfId="3" applyFont="1" applyFill="1" applyBorder="1">
      <alignment vertical="center"/>
    </xf>
    <xf numFmtId="0" fontId="6" fillId="2" borderId="0" xfId="0" applyFont="1" applyFill="1">
      <alignment vertical="center"/>
    </xf>
    <xf numFmtId="0" fontId="15" fillId="2" borderId="0" xfId="0" applyFont="1" applyFill="1">
      <alignment vertical="center"/>
    </xf>
    <xf numFmtId="0" fontId="6" fillId="0" borderId="0" xfId="0" applyFont="1">
      <alignment vertical="center"/>
    </xf>
    <xf numFmtId="0" fontId="6" fillId="0" borderId="0" xfId="5" applyFont="1">
      <alignment vertical="center"/>
    </xf>
    <xf numFmtId="0" fontId="43" fillId="0" borderId="0" xfId="5" applyFont="1">
      <alignment vertical="center"/>
    </xf>
    <xf numFmtId="0" fontId="2" fillId="2" borderId="0" xfId="2" applyFont="1" applyFill="1">
      <alignment vertical="center"/>
    </xf>
    <xf numFmtId="0" fontId="2" fillId="2" borderId="0" xfId="2" applyFont="1" applyFill="1" applyAlignment="1">
      <alignment horizontal="left" vertical="center" wrapText="1"/>
    </xf>
    <xf numFmtId="0" fontId="23" fillId="2" borderId="1" xfId="0" applyFont="1" applyFill="1" applyBorder="1" applyAlignment="1">
      <alignment horizontal="center" vertical="center" wrapText="1"/>
    </xf>
    <xf numFmtId="0" fontId="7" fillId="0" borderId="2" xfId="0" applyFont="1" applyBorder="1" applyAlignment="1">
      <alignment horizontal="center" vertical="center" wrapText="1"/>
    </xf>
    <xf numFmtId="0" fontId="23" fillId="2" borderId="3" xfId="0" applyFont="1" applyFill="1" applyBorder="1" applyAlignment="1">
      <alignment horizontal="center" vertical="center"/>
    </xf>
    <xf numFmtId="38" fontId="25" fillId="2" borderId="3" xfId="7" applyFont="1" applyFill="1" applyBorder="1" applyAlignment="1">
      <alignment horizontal="center"/>
    </xf>
    <xf numFmtId="38" fontId="25" fillId="2" borderId="1" xfId="7" applyFont="1" applyFill="1" applyBorder="1" applyAlignment="1">
      <alignment horizontal="center" vertical="center" wrapText="1"/>
    </xf>
    <xf numFmtId="38" fontId="25" fillId="2" borderId="0" xfId="7" applyFont="1" applyFill="1" applyBorder="1" applyAlignment="1">
      <alignment horizontal="center" vertical="center" wrapText="1"/>
    </xf>
    <xf numFmtId="38" fontId="25" fillId="2" borderId="2" xfId="7" applyFont="1" applyFill="1" applyBorder="1" applyAlignment="1">
      <alignment horizontal="center" vertical="center" wrapText="1"/>
    </xf>
    <xf numFmtId="38" fontId="25" fillId="2" borderId="1" xfId="7" applyFont="1" applyFill="1" applyBorder="1" applyAlignment="1">
      <alignment horizontal="center" vertical="center"/>
    </xf>
    <xf numFmtId="38" fontId="25" fillId="2" borderId="0" xfId="7" applyFont="1" applyFill="1" applyBorder="1" applyAlignment="1">
      <alignment horizontal="center" vertical="center"/>
    </xf>
    <xf numFmtId="38" fontId="25" fillId="2" borderId="2" xfId="7" applyFont="1" applyFill="1" applyBorder="1" applyAlignment="1">
      <alignment horizontal="center" vertical="center"/>
    </xf>
    <xf numFmtId="38" fontId="35" fillId="2" borderId="3" xfId="7" applyFont="1" applyFill="1" applyBorder="1" applyAlignment="1">
      <alignment horizont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44" fillId="2" borderId="0" xfId="2" applyFont="1" applyFill="1" applyAlignment="1">
      <alignment horizontal="left" vertical="center" wrapText="1"/>
    </xf>
    <xf numFmtId="0" fontId="6" fillId="0" borderId="0" xfId="5" applyFont="1" applyAlignment="1">
      <alignment horizontal="left" vertical="center" wrapText="1"/>
    </xf>
  </cellXfs>
  <cellStyles count="10">
    <cellStyle name="桁区切り" xfId="8" builtinId="6"/>
    <cellStyle name="桁区切り 10 2" xfId="3" xr:uid="{00000000-0005-0000-0000-000000000000}"/>
    <cellStyle name="桁区切り 2" xfId="7" xr:uid="{00000000-0005-0000-0000-000001000000}"/>
    <cellStyle name="桁区切り 3 2" xfId="1" xr:uid="{00000000-0005-0000-0000-000002000000}"/>
    <cellStyle name="標準" xfId="0" builtinId="0"/>
    <cellStyle name="標準 2 10" xfId="2" xr:uid="{00000000-0005-0000-0000-000005000000}"/>
    <cellStyle name="標準 2 14" xfId="9" xr:uid="{0EDC3862-19D8-4F08-9902-D1D1B7E0B603}"/>
    <cellStyle name="標準 5 2" xfId="5" xr:uid="{00000000-0005-0000-0000-000006000000}"/>
    <cellStyle name="標準_2005かご調査計算" xfId="4" xr:uid="{00000000-0005-0000-0000-000007000000}"/>
    <cellStyle name="標準_木下試算用99資源量計算（かご）" xfId="6"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Lsv_n20\&#32113;&#35336;&#37096;\&#29983;&#29987;&#32113;&#35336;&#35506;\09&#28417;&#26989;&#29983;&#29987;&#32113;&#35336;&#29677;\15&#24180;&#27010;&#25968;&#21462;&#12426;&#12414;&#12392;&#12417;\&#22320;&#26041;&#36865;&#20449;&#29992;&#65288;040423&#65289;\&#32080;&#26524;&#34920;\GNA1H\GNA1S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Lsv_n20\&#32113;&#35336;&#37096;\&#29983;&#29987;&#32113;&#35336;&#35506;\09&#28417;&#26989;&#29983;&#29987;&#32113;&#35336;&#29677;\15&#24180;&#27010;&#25968;&#21462;&#12426;&#12414;&#12392;&#12417;\&#22320;&#26041;&#36865;&#20449;&#29992;&#65288;040423&#65289;\&#32080;&#26524;&#34920;\GNA1H\GNA1S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oldom01-srv02\E\Documents%20and%20Settings\&#26377;&#30000;&#12288;&#38534;&#19968;\&#12487;&#12473;&#12463;&#12488;&#12483;&#12503;\&#12372;&#12415;.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Soldom01-srv02\E\Documents%20and%20Settings\&#26377;&#30000;&#12288;&#38534;&#19968;\&#12487;&#12473;&#12463;&#12488;&#12483;&#12503;\&#12372;&#12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漁労体数等検討表"/>
      <sheetName val="収獲量検討表"/>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漁労体数等検討表"/>
      <sheetName val="収獲量検討表"/>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theme/theme1.xml><?xml version="1.0" encoding="utf-8"?>
<a:theme xmlns:a="http://schemas.openxmlformats.org/drawingml/2006/main" name="Office テーマ">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6C94-ED68-44D9-AC65-9AB94E1C9648}">
  <dimension ref="A1:N79"/>
  <sheetViews>
    <sheetView tabSelected="1" zoomScale="70" zoomScaleNormal="70" workbookViewId="0">
      <selection activeCell="S14" sqref="S14"/>
    </sheetView>
  </sheetViews>
  <sheetFormatPr defaultColWidth="8.75" defaultRowHeight="13.5"/>
  <cols>
    <col min="7" max="7" width="9" customWidth="1"/>
    <col min="11" max="11" width="1.25" customWidth="1"/>
  </cols>
  <sheetData>
    <row r="1" spans="1:14" ht="28.5" customHeight="1">
      <c r="A1" s="39" t="s">
        <v>56</v>
      </c>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18.75">
      <c r="A3" s="1"/>
      <c r="B3" s="128" t="s">
        <v>57</v>
      </c>
      <c r="C3" s="1"/>
      <c r="D3" s="1"/>
      <c r="E3" s="1"/>
      <c r="F3" s="1"/>
      <c r="G3" s="1"/>
      <c r="H3" s="1"/>
      <c r="I3" s="1"/>
      <c r="J3" s="1"/>
      <c r="K3" s="1"/>
      <c r="L3" s="1"/>
      <c r="M3" s="1"/>
      <c r="N3" s="1"/>
    </row>
    <row r="4" spans="1:14">
      <c r="A4" s="1"/>
      <c r="B4" s="1"/>
      <c r="C4" s="1"/>
      <c r="D4" s="1"/>
      <c r="E4" s="1"/>
      <c r="F4" s="1"/>
      <c r="G4" s="1"/>
      <c r="H4" s="1"/>
      <c r="I4" s="1"/>
      <c r="J4" s="1"/>
      <c r="K4" s="1"/>
      <c r="L4" s="1"/>
      <c r="M4" s="1"/>
      <c r="N4" s="1"/>
    </row>
    <row r="5" spans="1:14" ht="19.5">
      <c r="A5" s="1"/>
      <c r="B5" s="137" t="s">
        <v>45</v>
      </c>
      <c r="C5" s="139" t="s">
        <v>15</v>
      </c>
      <c r="D5" s="139"/>
      <c r="E5" s="139"/>
      <c r="F5" s="139"/>
      <c r="G5" s="139"/>
      <c r="H5" s="139"/>
      <c r="I5" s="139"/>
      <c r="J5" s="139"/>
      <c r="K5" s="31"/>
      <c r="L5" s="1"/>
      <c r="M5" s="1"/>
      <c r="N5" s="1"/>
    </row>
    <row r="6" spans="1:14" ht="44.25" customHeight="1">
      <c r="A6" s="1"/>
      <c r="B6" s="138"/>
      <c r="C6" s="32" t="s">
        <v>16</v>
      </c>
      <c r="D6" s="32" t="s">
        <v>17</v>
      </c>
      <c r="E6" s="32" t="s">
        <v>18</v>
      </c>
      <c r="F6" s="32" t="s">
        <v>19</v>
      </c>
      <c r="G6" s="33" t="s">
        <v>20</v>
      </c>
      <c r="H6" s="32" t="s">
        <v>21</v>
      </c>
      <c r="I6" s="32" t="s">
        <v>22</v>
      </c>
      <c r="J6" s="33" t="s">
        <v>23</v>
      </c>
      <c r="K6" s="34"/>
      <c r="L6" s="1"/>
      <c r="M6" s="1"/>
      <c r="N6" s="1"/>
    </row>
    <row r="7" spans="1:14" ht="14.25" customHeight="1">
      <c r="A7" s="1"/>
      <c r="B7" s="35">
        <v>1950</v>
      </c>
      <c r="C7" s="40"/>
      <c r="D7" s="40"/>
      <c r="E7" s="40"/>
      <c r="F7" s="40"/>
      <c r="G7" s="40"/>
      <c r="H7" s="40"/>
      <c r="I7" s="40"/>
      <c r="J7" s="40"/>
      <c r="K7" s="36"/>
      <c r="L7" s="1"/>
      <c r="M7" s="1"/>
      <c r="N7" s="1"/>
    </row>
    <row r="8" spans="1:14" ht="14.25" customHeight="1">
      <c r="A8" s="1"/>
      <c r="B8" s="35">
        <v>1951</v>
      </c>
      <c r="C8" s="40"/>
      <c r="D8" s="40"/>
      <c r="E8" s="40"/>
      <c r="F8" s="40"/>
      <c r="G8" s="40"/>
      <c r="H8" s="40"/>
      <c r="I8" s="40">
        <v>278</v>
      </c>
      <c r="J8" s="40">
        <v>278</v>
      </c>
      <c r="K8" s="36"/>
      <c r="L8" s="1"/>
      <c r="M8" s="1"/>
      <c r="N8" s="1"/>
    </row>
    <row r="9" spans="1:14" ht="14.25" customHeight="1">
      <c r="A9" s="1"/>
      <c r="B9" s="35">
        <v>1952</v>
      </c>
      <c r="C9" s="40"/>
      <c r="D9" s="40"/>
      <c r="E9" s="40"/>
      <c r="F9" s="40"/>
      <c r="G9" s="40"/>
      <c r="H9" s="40"/>
      <c r="I9" s="40">
        <v>298</v>
      </c>
      <c r="J9" s="40">
        <v>298</v>
      </c>
      <c r="K9" s="36"/>
      <c r="L9" s="1"/>
      <c r="M9" s="1"/>
      <c r="N9" s="1"/>
    </row>
    <row r="10" spans="1:14" ht="14.25" customHeight="1">
      <c r="A10" s="1"/>
      <c r="B10" s="35">
        <v>1953</v>
      </c>
      <c r="C10" s="40">
        <v>231</v>
      </c>
      <c r="D10" s="40">
        <v>160</v>
      </c>
      <c r="E10" s="40">
        <v>2</v>
      </c>
      <c r="F10" s="40">
        <v>7</v>
      </c>
      <c r="G10" s="40"/>
      <c r="H10" s="40">
        <v>53</v>
      </c>
      <c r="I10" s="40"/>
      <c r="J10" s="40">
        <v>452</v>
      </c>
      <c r="K10" s="40">
        <f t="shared" ref="K10" si="0">ROUND(P10,0)</f>
        <v>0</v>
      </c>
      <c r="L10" s="1"/>
      <c r="M10" s="1"/>
      <c r="N10" s="1"/>
    </row>
    <row r="11" spans="1:14" ht="14.25" customHeight="1">
      <c r="A11" s="1"/>
      <c r="B11" s="35">
        <v>1954</v>
      </c>
      <c r="C11" s="40">
        <v>192</v>
      </c>
      <c r="D11" s="40">
        <v>158</v>
      </c>
      <c r="E11" s="40">
        <v>4</v>
      </c>
      <c r="F11" s="40">
        <v>5</v>
      </c>
      <c r="G11" s="40"/>
      <c r="H11" s="40">
        <v>36</v>
      </c>
      <c r="I11" s="40"/>
      <c r="J11" s="40">
        <v>394</v>
      </c>
      <c r="K11" s="40">
        <f t="shared" ref="K11:K74" si="1">ROUND(P11,0)</f>
        <v>0</v>
      </c>
      <c r="L11" s="1"/>
      <c r="M11" s="1"/>
      <c r="N11" s="1"/>
    </row>
    <row r="12" spans="1:14" ht="14.25" customHeight="1">
      <c r="A12" s="1"/>
      <c r="B12" s="35">
        <v>1955</v>
      </c>
      <c r="C12" s="40">
        <v>163</v>
      </c>
      <c r="D12" s="40">
        <v>134</v>
      </c>
      <c r="E12" s="40">
        <v>2</v>
      </c>
      <c r="F12" s="40">
        <v>3</v>
      </c>
      <c r="G12" s="40"/>
      <c r="H12" s="40">
        <v>35</v>
      </c>
      <c r="I12" s="40"/>
      <c r="J12" s="40">
        <v>336</v>
      </c>
      <c r="K12" s="40">
        <f t="shared" si="1"/>
        <v>0</v>
      </c>
      <c r="L12" s="1"/>
      <c r="M12" s="1"/>
      <c r="N12" s="1"/>
    </row>
    <row r="13" spans="1:14" ht="14.25" customHeight="1">
      <c r="A13" s="1"/>
      <c r="B13" s="35">
        <v>1956</v>
      </c>
      <c r="C13" s="40">
        <v>138</v>
      </c>
      <c r="D13" s="40">
        <v>191</v>
      </c>
      <c r="E13" s="40">
        <v>1</v>
      </c>
      <c r="F13" s="40">
        <v>11</v>
      </c>
      <c r="G13" s="40"/>
      <c r="H13" s="40">
        <v>40</v>
      </c>
      <c r="I13" s="40"/>
      <c r="J13" s="40">
        <v>380</v>
      </c>
      <c r="K13" s="40">
        <f t="shared" si="1"/>
        <v>0</v>
      </c>
      <c r="L13" s="1"/>
      <c r="M13" s="1"/>
      <c r="N13" s="1"/>
    </row>
    <row r="14" spans="1:14" ht="14.25" customHeight="1">
      <c r="A14" s="1"/>
      <c r="B14" s="35">
        <v>1957</v>
      </c>
      <c r="C14" s="40">
        <v>182</v>
      </c>
      <c r="D14" s="40">
        <v>255</v>
      </c>
      <c r="E14" s="40">
        <v>3</v>
      </c>
      <c r="F14" s="40">
        <v>2</v>
      </c>
      <c r="G14" s="40"/>
      <c r="H14" s="40">
        <v>42</v>
      </c>
      <c r="I14" s="40">
        <v>41</v>
      </c>
      <c r="J14" s="40">
        <v>524</v>
      </c>
      <c r="K14" s="40">
        <f t="shared" si="1"/>
        <v>0</v>
      </c>
      <c r="L14" s="1"/>
      <c r="M14" s="1"/>
      <c r="N14" s="1"/>
    </row>
    <row r="15" spans="1:14" ht="14.25" customHeight="1">
      <c r="A15" s="1"/>
      <c r="B15" s="35">
        <v>1958</v>
      </c>
      <c r="C15" s="40">
        <v>195</v>
      </c>
      <c r="D15" s="40">
        <v>429</v>
      </c>
      <c r="E15" s="40"/>
      <c r="F15" s="40">
        <v>15</v>
      </c>
      <c r="G15" s="40"/>
      <c r="H15" s="40">
        <v>33</v>
      </c>
      <c r="I15" s="40">
        <v>47</v>
      </c>
      <c r="J15" s="40">
        <v>719</v>
      </c>
      <c r="K15" s="40">
        <f t="shared" si="1"/>
        <v>0</v>
      </c>
      <c r="L15" s="1"/>
      <c r="M15" s="1"/>
      <c r="N15" s="1"/>
    </row>
    <row r="16" spans="1:14" ht="14.25" customHeight="1">
      <c r="A16" s="1"/>
      <c r="B16" s="35">
        <v>1959</v>
      </c>
      <c r="C16" s="40">
        <v>175</v>
      </c>
      <c r="D16" s="40">
        <v>539</v>
      </c>
      <c r="E16" s="40"/>
      <c r="F16" s="40">
        <v>10</v>
      </c>
      <c r="G16" s="40"/>
      <c r="H16" s="40">
        <v>34</v>
      </c>
      <c r="I16" s="40">
        <v>61</v>
      </c>
      <c r="J16" s="40">
        <v>819</v>
      </c>
      <c r="K16" s="40">
        <f t="shared" si="1"/>
        <v>0</v>
      </c>
      <c r="L16" s="1"/>
      <c r="M16" s="1"/>
      <c r="N16" s="1"/>
    </row>
    <row r="17" spans="1:14" ht="14.25" customHeight="1">
      <c r="A17" s="1"/>
      <c r="B17" s="35">
        <v>1960</v>
      </c>
      <c r="C17" s="40">
        <v>195</v>
      </c>
      <c r="D17" s="40">
        <v>501</v>
      </c>
      <c r="E17" s="40">
        <v>10</v>
      </c>
      <c r="F17" s="40">
        <v>9</v>
      </c>
      <c r="G17" s="40"/>
      <c r="H17" s="40">
        <v>17</v>
      </c>
      <c r="I17" s="40">
        <v>79</v>
      </c>
      <c r="J17" s="40">
        <v>811</v>
      </c>
      <c r="K17" s="40">
        <f t="shared" si="1"/>
        <v>0</v>
      </c>
      <c r="L17" s="1"/>
      <c r="M17" s="1"/>
      <c r="N17" s="1"/>
    </row>
    <row r="18" spans="1:14" ht="14.25" customHeight="1">
      <c r="A18" s="1"/>
      <c r="B18" s="35">
        <v>1961</v>
      </c>
      <c r="C18" s="40">
        <v>144</v>
      </c>
      <c r="D18" s="40">
        <v>648</v>
      </c>
      <c r="E18" s="40">
        <v>10</v>
      </c>
      <c r="F18" s="40">
        <v>29</v>
      </c>
      <c r="G18" s="40"/>
      <c r="H18" s="40">
        <v>24</v>
      </c>
      <c r="I18" s="40">
        <v>104</v>
      </c>
      <c r="J18" s="40">
        <v>958</v>
      </c>
      <c r="K18" s="40">
        <f t="shared" si="1"/>
        <v>0</v>
      </c>
      <c r="L18" s="1"/>
      <c r="M18" s="1"/>
      <c r="N18" s="1"/>
    </row>
    <row r="19" spans="1:14" ht="14.25" customHeight="1">
      <c r="A19" s="1"/>
      <c r="B19" s="35">
        <v>1962</v>
      </c>
      <c r="C19" s="40">
        <v>126</v>
      </c>
      <c r="D19" s="40">
        <v>727</v>
      </c>
      <c r="E19" s="40">
        <v>16</v>
      </c>
      <c r="F19" s="40">
        <v>20</v>
      </c>
      <c r="G19" s="40">
        <v>13</v>
      </c>
      <c r="H19" s="40">
        <v>19</v>
      </c>
      <c r="I19" s="40">
        <v>90</v>
      </c>
      <c r="J19" s="40">
        <v>1010</v>
      </c>
      <c r="K19" s="40">
        <f t="shared" si="1"/>
        <v>0</v>
      </c>
      <c r="L19" s="1"/>
      <c r="M19" s="1"/>
      <c r="N19" s="1"/>
    </row>
    <row r="20" spans="1:14" ht="14.25" customHeight="1">
      <c r="A20" s="1"/>
      <c r="B20" s="35">
        <v>1963</v>
      </c>
      <c r="C20" s="40">
        <v>117</v>
      </c>
      <c r="D20" s="40">
        <v>751</v>
      </c>
      <c r="E20" s="40">
        <v>12</v>
      </c>
      <c r="F20" s="40">
        <v>27</v>
      </c>
      <c r="G20" s="40">
        <v>10</v>
      </c>
      <c r="H20" s="40">
        <v>34</v>
      </c>
      <c r="I20" s="40">
        <v>86</v>
      </c>
      <c r="J20" s="40">
        <v>1036</v>
      </c>
      <c r="K20" s="40">
        <f t="shared" si="1"/>
        <v>0</v>
      </c>
      <c r="L20" s="1"/>
      <c r="M20" s="1"/>
      <c r="N20" s="1"/>
    </row>
    <row r="21" spans="1:14" ht="14.25" customHeight="1">
      <c r="A21" s="1"/>
      <c r="B21" s="35">
        <v>1964</v>
      </c>
      <c r="C21" s="40">
        <v>65</v>
      </c>
      <c r="D21" s="40">
        <v>532</v>
      </c>
      <c r="E21" s="40">
        <v>9</v>
      </c>
      <c r="F21" s="40">
        <v>11</v>
      </c>
      <c r="G21" s="40">
        <v>16</v>
      </c>
      <c r="H21" s="40">
        <v>186</v>
      </c>
      <c r="I21" s="40">
        <v>90</v>
      </c>
      <c r="J21" s="40">
        <v>909</v>
      </c>
      <c r="K21" s="40">
        <f t="shared" si="1"/>
        <v>0</v>
      </c>
      <c r="L21" s="1"/>
      <c r="M21" s="1"/>
      <c r="N21" s="1"/>
    </row>
    <row r="22" spans="1:14" ht="14.25" customHeight="1">
      <c r="A22" s="1"/>
      <c r="B22" s="35">
        <v>1965</v>
      </c>
      <c r="C22" s="40">
        <v>35</v>
      </c>
      <c r="D22" s="40">
        <v>533</v>
      </c>
      <c r="E22" s="40">
        <v>13</v>
      </c>
      <c r="F22" s="40">
        <v>9</v>
      </c>
      <c r="G22" s="40">
        <v>141</v>
      </c>
      <c r="H22" s="40">
        <v>10</v>
      </c>
      <c r="I22" s="40">
        <v>91</v>
      </c>
      <c r="J22" s="40">
        <v>832</v>
      </c>
      <c r="K22" s="40">
        <f t="shared" si="1"/>
        <v>0</v>
      </c>
      <c r="L22" s="1"/>
      <c r="M22" s="1"/>
      <c r="N22" s="1"/>
    </row>
    <row r="23" spans="1:14" ht="14.25" customHeight="1">
      <c r="A23" s="1"/>
      <c r="B23" s="35">
        <v>1966</v>
      </c>
      <c r="C23" s="40">
        <v>40</v>
      </c>
      <c r="D23" s="40">
        <v>472</v>
      </c>
      <c r="E23" s="40">
        <v>11</v>
      </c>
      <c r="F23" s="40">
        <v>2</v>
      </c>
      <c r="G23" s="40">
        <v>148</v>
      </c>
      <c r="H23" s="40">
        <v>11</v>
      </c>
      <c r="I23" s="40">
        <v>133</v>
      </c>
      <c r="J23" s="40">
        <v>817</v>
      </c>
      <c r="K23" s="40">
        <f t="shared" si="1"/>
        <v>0</v>
      </c>
      <c r="L23" s="1"/>
      <c r="M23" s="1"/>
      <c r="N23" s="1"/>
    </row>
    <row r="24" spans="1:14" ht="14.25" customHeight="1">
      <c r="A24" s="1"/>
      <c r="B24" s="35">
        <v>1967</v>
      </c>
      <c r="C24" s="40">
        <v>43</v>
      </c>
      <c r="D24" s="40">
        <v>508</v>
      </c>
      <c r="E24" s="40">
        <v>16</v>
      </c>
      <c r="F24" s="40">
        <v>10</v>
      </c>
      <c r="G24" s="40">
        <v>142</v>
      </c>
      <c r="H24" s="40">
        <v>2</v>
      </c>
      <c r="I24" s="40">
        <v>104</v>
      </c>
      <c r="J24" s="40">
        <v>824</v>
      </c>
      <c r="K24" s="40">
        <f t="shared" si="1"/>
        <v>0</v>
      </c>
      <c r="L24" s="1"/>
      <c r="M24" s="1"/>
      <c r="N24" s="1"/>
    </row>
    <row r="25" spans="1:14" ht="14.25" customHeight="1">
      <c r="A25" s="1"/>
      <c r="B25" s="35">
        <v>1968</v>
      </c>
      <c r="C25" s="40">
        <v>48</v>
      </c>
      <c r="D25" s="40">
        <v>446</v>
      </c>
      <c r="E25" s="40">
        <v>12</v>
      </c>
      <c r="F25" s="40">
        <v>28</v>
      </c>
      <c r="G25" s="40">
        <v>37</v>
      </c>
      <c r="H25" s="40"/>
      <c r="I25" s="40">
        <v>84</v>
      </c>
      <c r="J25" s="40">
        <v>654</v>
      </c>
      <c r="K25" s="40">
        <f t="shared" si="1"/>
        <v>0</v>
      </c>
      <c r="L25" s="1"/>
      <c r="M25" s="1"/>
      <c r="N25" s="1"/>
    </row>
    <row r="26" spans="1:14" ht="14.25" customHeight="1">
      <c r="A26" s="1"/>
      <c r="B26" s="35">
        <v>1969</v>
      </c>
      <c r="C26" s="40">
        <v>29</v>
      </c>
      <c r="D26" s="40">
        <v>366</v>
      </c>
      <c r="E26" s="40">
        <v>18</v>
      </c>
      <c r="F26" s="40">
        <v>22</v>
      </c>
      <c r="G26" s="40">
        <v>39</v>
      </c>
      <c r="H26" s="40"/>
      <c r="I26" s="40">
        <v>69</v>
      </c>
      <c r="J26" s="40">
        <v>543</v>
      </c>
      <c r="K26" s="40">
        <f t="shared" si="1"/>
        <v>0</v>
      </c>
      <c r="L26" s="1"/>
      <c r="M26" s="1"/>
      <c r="N26" s="1"/>
    </row>
    <row r="27" spans="1:14" ht="14.25" customHeight="1">
      <c r="A27" s="1"/>
      <c r="B27" s="35">
        <v>1970</v>
      </c>
      <c r="C27" s="40">
        <v>24</v>
      </c>
      <c r="D27" s="40">
        <v>303</v>
      </c>
      <c r="E27" s="40">
        <v>9</v>
      </c>
      <c r="F27" s="40">
        <v>41</v>
      </c>
      <c r="G27" s="40">
        <v>221</v>
      </c>
      <c r="H27" s="40">
        <v>19</v>
      </c>
      <c r="I27" s="40"/>
      <c r="J27" s="40">
        <v>618</v>
      </c>
      <c r="K27" s="40">
        <f t="shared" si="1"/>
        <v>0</v>
      </c>
      <c r="L27" s="1"/>
      <c r="M27" s="1"/>
      <c r="N27" s="1"/>
    </row>
    <row r="28" spans="1:14" ht="14.25" customHeight="1">
      <c r="A28" s="1"/>
      <c r="B28" s="35">
        <v>1971</v>
      </c>
      <c r="C28" s="40">
        <v>24</v>
      </c>
      <c r="D28" s="40">
        <v>327</v>
      </c>
      <c r="E28" s="40">
        <v>23</v>
      </c>
      <c r="F28" s="40">
        <v>51</v>
      </c>
      <c r="G28" s="40">
        <v>124</v>
      </c>
      <c r="H28" s="40">
        <v>18</v>
      </c>
      <c r="I28" s="40"/>
      <c r="J28" s="40">
        <v>567</v>
      </c>
      <c r="K28" s="40">
        <f t="shared" si="1"/>
        <v>0</v>
      </c>
      <c r="L28" s="1"/>
      <c r="M28" s="1"/>
      <c r="N28" s="1"/>
    </row>
    <row r="29" spans="1:14" ht="14.25" customHeight="1">
      <c r="A29" s="1"/>
      <c r="B29" s="35">
        <v>1972</v>
      </c>
      <c r="C29" s="40">
        <v>13</v>
      </c>
      <c r="D29" s="40">
        <v>333</v>
      </c>
      <c r="E29" s="40">
        <v>14</v>
      </c>
      <c r="F29" s="40">
        <v>59</v>
      </c>
      <c r="G29" s="40">
        <v>68</v>
      </c>
      <c r="H29" s="40">
        <v>20</v>
      </c>
      <c r="I29" s="40"/>
      <c r="J29" s="40">
        <v>508</v>
      </c>
      <c r="K29" s="40">
        <f t="shared" si="1"/>
        <v>0</v>
      </c>
      <c r="L29" s="1"/>
      <c r="M29" s="1"/>
      <c r="N29" s="1"/>
    </row>
    <row r="30" spans="1:14" ht="14.25" customHeight="1">
      <c r="A30" s="1"/>
      <c r="B30" s="35">
        <v>1973</v>
      </c>
      <c r="C30" s="40">
        <v>20</v>
      </c>
      <c r="D30" s="40">
        <v>413</v>
      </c>
      <c r="E30" s="40">
        <v>2</v>
      </c>
      <c r="F30" s="40">
        <v>61</v>
      </c>
      <c r="G30" s="40">
        <v>63</v>
      </c>
      <c r="H30" s="40">
        <v>26</v>
      </c>
      <c r="I30" s="40"/>
      <c r="J30" s="40">
        <v>585</v>
      </c>
      <c r="K30" s="40">
        <f t="shared" si="1"/>
        <v>0</v>
      </c>
      <c r="L30" s="1"/>
      <c r="M30" s="1"/>
      <c r="N30" s="1"/>
    </row>
    <row r="31" spans="1:14" ht="14.25" customHeight="1">
      <c r="A31" s="1"/>
      <c r="B31" s="35">
        <v>1974</v>
      </c>
      <c r="C31" s="40">
        <v>6</v>
      </c>
      <c r="D31" s="40">
        <v>372</v>
      </c>
      <c r="E31" s="40">
        <v>15</v>
      </c>
      <c r="F31" s="40">
        <v>41</v>
      </c>
      <c r="G31" s="40">
        <v>50</v>
      </c>
      <c r="H31" s="40">
        <v>17</v>
      </c>
      <c r="I31" s="40"/>
      <c r="J31" s="40">
        <v>501</v>
      </c>
      <c r="K31" s="40">
        <f t="shared" si="1"/>
        <v>0</v>
      </c>
      <c r="L31" s="1"/>
      <c r="M31" s="1"/>
      <c r="N31" s="1"/>
    </row>
    <row r="32" spans="1:14" ht="14.25" customHeight="1">
      <c r="A32" s="1"/>
      <c r="B32" s="35">
        <v>1975</v>
      </c>
      <c r="C32" s="40">
        <v>10</v>
      </c>
      <c r="D32" s="40">
        <v>297</v>
      </c>
      <c r="E32" s="40">
        <v>22</v>
      </c>
      <c r="F32" s="40">
        <v>46</v>
      </c>
      <c r="G32" s="40">
        <v>82</v>
      </c>
      <c r="H32" s="40">
        <v>21</v>
      </c>
      <c r="I32" s="40"/>
      <c r="J32" s="40">
        <v>478</v>
      </c>
      <c r="K32" s="40">
        <f t="shared" si="1"/>
        <v>0</v>
      </c>
      <c r="L32" s="1"/>
      <c r="M32" s="1"/>
      <c r="N32" s="1"/>
    </row>
    <row r="33" spans="1:14" ht="14.25" customHeight="1">
      <c r="A33" s="1"/>
      <c r="B33" s="35">
        <v>1976</v>
      </c>
      <c r="C33" s="40">
        <v>11</v>
      </c>
      <c r="D33" s="40">
        <v>238</v>
      </c>
      <c r="E33" s="40">
        <v>27</v>
      </c>
      <c r="F33" s="40">
        <v>54</v>
      </c>
      <c r="G33" s="40">
        <v>147</v>
      </c>
      <c r="H33" s="40">
        <v>61</v>
      </c>
      <c r="I33" s="40"/>
      <c r="J33" s="40">
        <v>538</v>
      </c>
      <c r="K33" s="40">
        <f t="shared" si="1"/>
        <v>0</v>
      </c>
      <c r="L33" s="1"/>
      <c r="M33" s="1"/>
      <c r="N33" s="1"/>
    </row>
    <row r="34" spans="1:14" ht="14.25" customHeight="1">
      <c r="A34" s="1"/>
      <c r="B34" s="35">
        <v>1977</v>
      </c>
      <c r="C34" s="40">
        <v>20</v>
      </c>
      <c r="D34" s="40">
        <v>346</v>
      </c>
      <c r="E34" s="40">
        <v>28</v>
      </c>
      <c r="F34" s="40">
        <v>57</v>
      </c>
      <c r="G34" s="40">
        <v>167</v>
      </c>
      <c r="H34" s="40">
        <v>86</v>
      </c>
      <c r="I34" s="40"/>
      <c r="J34" s="40">
        <v>704</v>
      </c>
      <c r="K34" s="40">
        <f t="shared" si="1"/>
        <v>0</v>
      </c>
      <c r="L34" s="1"/>
      <c r="M34" s="1"/>
      <c r="N34" s="1"/>
    </row>
    <row r="35" spans="1:14" ht="14.25" customHeight="1">
      <c r="A35" s="1"/>
      <c r="B35" s="35">
        <v>1978</v>
      </c>
      <c r="C35" s="40">
        <v>26</v>
      </c>
      <c r="D35" s="40">
        <v>394</v>
      </c>
      <c r="E35" s="40">
        <v>26</v>
      </c>
      <c r="F35" s="40">
        <v>94</v>
      </c>
      <c r="G35" s="40">
        <v>178</v>
      </c>
      <c r="H35" s="40">
        <v>43</v>
      </c>
      <c r="I35" s="40"/>
      <c r="J35" s="40">
        <v>761</v>
      </c>
      <c r="K35" s="40">
        <f t="shared" si="1"/>
        <v>0</v>
      </c>
      <c r="L35" s="1"/>
      <c r="M35" s="1"/>
      <c r="N35" s="1"/>
    </row>
    <row r="36" spans="1:14" ht="14.25" customHeight="1">
      <c r="A36" s="1"/>
      <c r="B36" s="35">
        <v>1979</v>
      </c>
      <c r="C36" s="40">
        <v>28</v>
      </c>
      <c r="D36" s="40">
        <v>308</v>
      </c>
      <c r="E36" s="40">
        <v>19</v>
      </c>
      <c r="F36" s="40">
        <v>115</v>
      </c>
      <c r="G36" s="40">
        <v>238</v>
      </c>
      <c r="H36" s="40">
        <v>11</v>
      </c>
      <c r="I36" s="40"/>
      <c r="J36" s="40">
        <v>719</v>
      </c>
      <c r="K36" s="40">
        <f t="shared" si="1"/>
        <v>0</v>
      </c>
      <c r="L36" s="1"/>
      <c r="M36" s="1"/>
      <c r="N36" s="1"/>
    </row>
    <row r="37" spans="1:14" ht="14.25" customHeight="1">
      <c r="A37" s="1"/>
      <c r="B37" s="35">
        <v>1980</v>
      </c>
      <c r="C37" s="40">
        <v>26</v>
      </c>
      <c r="D37" s="40">
        <v>247</v>
      </c>
      <c r="E37" s="40">
        <v>15</v>
      </c>
      <c r="F37" s="40">
        <v>116</v>
      </c>
      <c r="G37" s="40">
        <v>209</v>
      </c>
      <c r="H37" s="40">
        <v>58</v>
      </c>
      <c r="I37" s="40"/>
      <c r="J37" s="40">
        <v>671</v>
      </c>
      <c r="K37" s="40">
        <f t="shared" si="1"/>
        <v>0</v>
      </c>
      <c r="L37" s="1"/>
      <c r="M37" s="1"/>
      <c r="N37" s="1"/>
    </row>
    <row r="38" spans="1:14" ht="14.25" customHeight="1">
      <c r="A38" s="1"/>
      <c r="B38" s="35">
        <v>1981</v>
      </c>
      <c r="C38" s="40">
        <v>17</v>
      </c>
      <c r="D38" s="40">
        <v>248</v>
      </c>
      <c r="E38" s="40">
        <v>17</v>
      </c>
      <c r="F38" s="40">
        <v>125</v>
      </c>
      <c r="G38" s="40">
        <v>109</v>
      </c>
      <c r="H38" s="40">
        <v>124</v>
      </c>
      <c r="I38" s="40"/>
      <c r="J38" s="40">
        <v>640</v>
      </c>
      <c r="K38" s="40">
        <f t="shared" si="1"/>
        <v>0</v>
      </c>
      <c r="L38" s="1"/>
      <c r="M38" s="1"/>
      <c r="N38" s="1"/>
    </row>
    <row r="39" spans="1:14" ht="14.25" customHeight="1">
      <c r="A39" s="1"/>
      <c r="B39" s="35">
        <v>1982</v>
      </c>
      <c r="C39" s="40">
        <v>22</v>
      </c>
      <c r="D39" s="40">
        <v>294</v>
      </c>
      <c r="E39" s="40">
        <v>26</v>
      </c>
      <c r="F39" s="40">
        <v>118</v>
      </c>
      <c r="G39" s="40">
        <v>133</v>
      </c>
      <c r="H39" s="40">
        <v>91</v>
      </c>
      <c r="I39" s="40"/>
      <c r="J39" s="40">
        <v>684</v>
      </c>
      <c r="K39" s="40">
        <f t="shared" si="1"/>
        <v>0</v>
      </c>
      <c r="L39" s="1"/>
      <c r="M39" s="1"/>
      <c r="N39" s="1"/>
    </row>
    <row r="40" spans="1:14" ht="14.25" customHeight="1">
      <c r="A40" s="1"/>
      <c r="B40" s="35">
        <v>1983</v>
      </c>
      <c r="C40" s="40">
        <v>21</v>
      </c>
      <c r="D40" s="40">
        <v>451</v>
      </c>
      <c r="E40" s="40">
        <v>25</v>
      </c>
      <c r="F40" s="40">
        <v>115</v>
      </c>
      <c r="G40" s="40">
        <v>77</v>
      </c>
      <c r="H40" s="40">
        <v>77</v>
      </c>
      <c r="I40" s="40"/>
      <c r="J40" s="40">
        <v>766</v>
      </c>
      <c r="K40" s="40">
        <f t="shared" si="1"/>
        <v>0</v>
      </c>
      <c r="L40" s="1"/>
      <c r="M40" s="1"/>
      <c r="N40" s="1"/>
    </row>
    <row r="41" spans="1:14" ht="14.25" customHeight="1">
      <c r="A41" s="1"/>
      <c r="B41" s="35">
        <v>1984</v>
      </c>
      <c r="C41" s="40">
        <v>26</v>
      </c>
      <c r="D41" s="40">
        <v>346</v>
      </c>
      <c r="E41" s="40">
        <v>16</v>
      </c>
      <c r="F41" s="40">
        <v>118</v>
      </c>
      <c r="G41" s="40">
        <v>35</v>
      </c>
      <c r="H41" s="40">
        <v>101</v>
      </c>
      <c r="I41" s="40"/>
      <c r="J41" s="40">
        <v>642</v>
      </c>
      <c r="K41" s="40">
        <f t="shared" si="1"/>
        <v>0</v>
      </c>
      <c r="L41" s="1"/>
      <c r="M41" s="1"/>
      <c r="N41" s="1"/>
    </row>
    <row r="42" spans="1:14" ht="14.25" customHeight="1">
      <c r="A42" s="1"/>
      <c r="B42" s="35">
        <v>1985</v>
      </c>
      <c r="C42" s="40">
        <v>27</v>
      </c>
      <c r="D42" s="40">
        <v>389</v>
      </c>
      <c r="E42" s="40">
        <v>19</v>
      </c>
      <c r="F42" s="40">
        <v>102</v>
      </c>
      <c r="G42" s="40">
        <v>59</v>
      </c>
      <c r="H42" s="40">
        <v>49</v>
      </c>
      <c r="I42" s="40"/>
      <c r="J42" s="40">
        <v>645</v>
      </c>
      <c r="K42" s="40">
        <f t="shared" si="1"/>
        <v>0</v>
      </c>
      <c r="L42" s="1"/>
      <c r="M42" s="1"/>
      <c r="N42" s="1"/>
    </row>
    <row r="43" spans="1:14" ht="14.25" customHeight="1">
      <c r="A43" s="1"/>
      <c r="B43" s="35">
        <v>1986</v>
      </c>
      <c r="C43" s="40">
        <v>16</v>
      </c>
      <c r="D43" s="40">
        <v>300</v>
      </c>
      <c r="E43" s="40">
        <v>23</v>
      </c>
      <c r="F43" s="40">
        <v>110</v>
      </c>
      <c r="G43" s="40">
        <v>67</v>
      </c>
      <c r="H43" s="40">
        <v>38</v>
      </c>
      <c r="I43" s="40"/>
      <c r="J43" s="40">
        <v>554</v>
      </c>
      <c r="K43" s="40">
        <f t="shared" si="1"/>
        <v>0</v>
      </c>
      <c r="L43" s="1"/>
      <c r="M43" s="1"/>
      <c r="N43" s="1"/>
    </row>
    <row r="44" spans="1:14" ht="14.25" customHeight="1">
      <c r="A44" s="1"/>
      <c r="B44" s="35">
        <v>1987</v>
      </c>
      <c r="C44" s="40">
        <v>23</v>
      </c>
      <c r="D44" s="40">
        <v>239</v>
      </c>
      <c r="E44" s="40">
        <v>31</v>
      </c>
      <c r="F44" s="40">
        <v>99</v>
      </c>
      <c r="G44" s="40">
        <v>60</v>
      </c>
      <c r="H44" s="40">
        <v>37</v>
      </c>
      <c r="I44" s="40"/>
      <c r="J44" s="40">
        <v>489</v>
      </c>
      <c r="K44" s="40">
        <f t="shared" si="1"/>
        <v>0</v>
      </c>
      <c r="L44" s="1"/>
      <c r="M44" s="1"/>
      <c r="N44" s="1"/>
    </row>
    <row r="45" spans="1:14" ht="14.25" customHeight="1">
      <c r="A45" s="1"/>
      <c r="B45" s="35">
        <v>1988</v>
      </c>
      <c r="C45" s="40">
        <v>53</v>
      </c>
      <c r="D45" s="40">
        <v>206</v>
      </c>
      <c r="E45" s="40">
        <v>26</v>
      </c>
      <c r="F45" s="40">
        <v>92</v>
      </c>
      <c r="G45" s="40">
        <v>70</v>
      </c>
      <c r="H45" s="40">
        <v>28</v>
      </c>
      <c r="I45" s="40"/>
      <c r="J45" s="40">
        <v>475</v>
      </c>
      <c r="K45" s="40">
        <f t="shared" si="1"/>
        <v>0</v>
      </c>
      <c r="L45" s="1"/>
      <c r="M45" s="1"/>
      <c r="N45" s="1"/>
    </row>
    <row r="46" spans="1:14" ht="14.25" customHeight="1">
      <c r="A46" s="1"/>
      <c r="B46" s="35">
        <v>1989</v>
      </c>
      <c r="C46" s="40">
        <v>89</v>
      </c>
      <c r="D46" s="40">
        <v>89</v>
      </c>
      <c r="E46" s="40">
        <v>21</v>
      </c>
      <c r="F46" s="40">
        <v>69</v>
      </c>
      <c r="G46" s="40">
        <v>77</v>
      </c>
      <c r="H46" s="40">
        <v>42</v>
      </c>
      <c r="I46" s="40"/>
      <c r="J46" s="40">
        <v>387</v>
      </c>
      <c r="K46" s="40">
        <f t="shared" si="1"/>
        <v>0</v>
      </c>
      <c r="L46" s="1"/>
      <c r="M46" s="1"/>
      <c r="N46" s="1"/>
    </row>
    <row r="47" spans="1:14" ht="14.25" customHeight="1">
      <c r="A47" s="1"/>
      <c r="B47" s="35">
        <v>1990</v>
      </c>
      <c r="C47" s="40">
        <v>66</v>
      </c>
      <c r="D47" s="40">
        <v>78</v>
      </c>
      <c r="E47" s="40">
        <v>21</v>
      </c>
      <c r="F47" s="40">
        <v>62</v>
      </c>
      <c r="G47" s="40">
        <v>39</v>
      </c>
      <c r="H47" s="40">
        <v>31</v>
      </c>
      <c r="I47" s="40"/>
      <c r="J47" s="40">
        <v>297</v>
      </c>
      <c r="K47" s="40">
        <f t="shared" si="1"/>
        <v>0</v>
      </c>
      <c r="L47" s="1"/>
      <c r="M47" s="1"/>
      <c r="N47" s="1"/>
    </row>
    <row r="48" spans="1:14" ht="14.25" customHeight="1">
      <c r="A48" s="1"/>
      <c r="B48" s="35">
        <v>1991</v>
      </c>
      <c r="C48" s="40">
        <v>39</v>
      </c>
      <c r="D48" s="40">
        <v>103</v>
      </c>
      <c r="E48" s="40">
        <v>29</v>
      </c>
      <c r="F48" s="40">
        <v>79</v>
      </c>
      <c r="G48" s="40">
        <v>16</v>
      </c>
      <c r="H48" s="40">
        <v>23</v>
      </c>
      <c r="I48" s="40"/>
      <c r="J48" s="40">
        <v>289</v>
      </c>
      <c r="K48" s="40">
        <f t="shared" si="1"/>
        <v>0</v>
      </c>
      <c r="L48" s="1"/>
      <c r="M48" s="1"/>
      <c r="N48" s="1"/>
    </row>
    <row r="49" spans="1:14" ht="14.25" customHeight="1">
      <c r="A49" s="1"/>
      <c r="B49" s="35">
        <v>1992</v>
      </c>
      <c r="C49" s="40">
        <v>34</v>
      </c>
      <c r="D49" s="40">
        <v>108</v>
      </c>
      <c r="E49" s="40">
        <v>22</v>
      </c>
      <c r="F49" s="40">
        <v>87</v>
      </c>
      <c r="G49" s="40">
        <v>41</v>
      </c>
      <c r="H49" s="40">
        <v>35</v>
      </c>
      <c r="I49" s="40"/>
      <c r="J49" s="40">
        <v>327</v>
      </c>
      <c r="K49" s="40">
        <f t="shared" si="1"/>
        <v>0</v>
      </c>
      <c r="L49" s="1"/>
      <c r="M49" s="1"/>
      <c r="N49" s="1"/>
    </row>
    <row r="50" spans="1:14" ht="14.25" customHeight="1">
      <c r="A50" s="1"/>
      <c r="B50" s="35">
        <v>1993</v>
      </c>
      <c r="C50" s="40">
        <v>45</v>
      </c>
      <c r="D50" s="40">
        <v>100</v>
      </c>
      <c r="E50" s="40">
        <v>30</v>
      </c>
      <c r="F50" s="40">
        <v>77</v>
      </c>
      <c r="G50" s="40">
        <v>61</v>
      </c>
      <c r="H50" s="40">
        <v>73</v>
      </c>
      <c r="I50" s="40"/>
      <c r="J50" s="40">
        <v>386</v>
      </c>
      <c r="K50" s="40">
        <f t="shared" si="1"/>
        <v>0</v>
      </c>
      <c r="L50" s="1"/>
      <c r="M50" s="1"/>
      <c r="N50" s="1"/>
    </row>
    <row r="51" spans="1:14" ht="14.25" customHeight="1">
      <c r="A51" s="1"/>
      <c r="B51" s="35">
        <v>1994</v>
      </c>
      <c r="C51" s="40">
        <v>47</v>
      </c>
      <c r="D51" s="40">
        <v>114</v>
      </c>
      <c r="E51" s="40">
        <v>25</v>
      </c>
      <c r="F51" s="40">
        <v>83</v>
      </c>
      <c r="G51" s="40">
        <v>48</v>
      </c>
      <c r="H51" s="40">
        <v>37</v>
      </c>
      <c r="I51" s="40"/>
      <c r="J51" s="40">
        <v>354</v>
      </c>
      <c r="K51" s="40">
        <f t="shared" si="1"/>
        <v>0</v>
      </c>
      <c r="L51" s="1"/>
      <c r="M51" s="1"/>
      <c r="N51" s="1"/>
    </row>
    <row r="52" spans="1:14" ht="14.25" customHeight="1">
      <c r="A52" s="1"/>
      <c r="B52" s="35">
        <v>1995</v>
      </c>
      <c r="C52" s="40">
        <v>47</v>
      </c>
      <c r="D52" s="40">
        <v>98</v>
      </c>
      <c r="E52" s="40">
        <v>17</v>
      </c>
      <c r="F52" s="40">
        <v>76</v>
      </c>
      <c r="G52" s="40">
        <v>36</v>
      </c>
      <c r="H52" s="40">
        <v>32</v>
      </c>
      <c r="I52" s="40"/>
      <c r="J52" s="40">
        <v>306</v>
      </c>
      <c r="K52" s="40">
        <f t="shared" si="1"/>
        <v>0</v>
      </c>
      <c r="L52" s="1"/>
      <c r="M52" s="1"/>
      <c r="N52" s="1"/>
    </row>
    <row r="53" spans="1:14" ht="14.25" customHeight="1">
      <c r="A53" s="1"/>
      <c r="B53" s="35">
        <v>1996</v>
      </c>
      <c r="C53" s="40">
        <v>58</v>
      </c>
      <c r="D53" s="40">
        <v>95</v>
      </c>
      <c r="E53" s="40">
        <v>15</v>
      </c>
      <c r="F53" s="40">
        <v>71</v>
      </c>
      <c r="G53" s="40">
        <v>48</v>
      </c>
      <c r="H53" s="40">
        <v>35</v>
      </c>
      <c r="I53" s="40"/>
      <c r="J53" s="40">
        <v>322</v>
      </c>
      <c r="K53" s="40">
        <f t="shared" si="1"/>
        <v>0</v>
      </c>
      <c r="L53" s="1"/>
      <c r="M53" s="1"/>
      <c r="N53" s="1"/>
    </row>
    <row r="54" spans="1:14" ht="14.25" customHeight="1">
      <c r="A54" s="1"/>
      <c r="B54" s="35">
        <v>1997</v>
      </c>
      <c r="C54" s="40">
        <v>55</v>
      </c>
      <c r="D54" s="40">
        <v>134</v>
      </c>
      <c r="E54" s="40">
        <v>1</v>
      </c>
      <c r="F54" s="40">
        <v>81</v>
      </c>
      <c r="G54" s="40">
        <v>33</v>
      </c>
      <c r="H54" s="40">
        <v>23</v>
      </c>
      <c r="I54" s="40"/>
      <c r="J54" s="40">
        <v>327</v>
      </c>
      <c r="K54" s="40">
        <f t="shared" si="1"/>
        <v>0</v>
      </c>
      <c r="L54" s="1"/>
      <c r="M54" s="1"/>
      <c r="N54" s="1"/>
    </row>
    <row r="55" spans="1:14" ht="14.25" customHeight="1">
      <c r="A55" s="1"/>
      <c r="B55" s="35">
        <v>1998</v>
      </c>
      <c r="C55" s="40">
        <v>38</v>
      </c>
      <c r="D55" s="40">
        <v>104</v>
      </c>
      <c r="E55" s="40">
        <v>1</v>
      </c>
      <c r="F55" s="40">
        <v>73</v>
      </c>
      <c r="G55" s="40">
        <v>19</v>
      </c>
      <c r="H55" s="40">
        <v>32</v>
      </c>
      <c r="I55" s="40"/>
      <c r="J55" s="40">
        <v>267</v>
      </c>
      <c r="K55" s="40">
        <f t="shared" si="1"/>
        <v>0</v>
      </c>
      <c r="L55" s="1"/>
      <c r="M55" s="1"/>
      <c r="N55" s="1"/>
    </row>
    <row r="56" spans="1:14" ht="14.25" customHeight="1">
      <c r="A56" s="1"/>
      <c r="B56" s="35">
        <v>1999</v>
      </c>
      <c r="C56" s="40">
        <v>33</v>
      </c>
      <c r="D56" s="40">
        <v>111</v>
      </c>
      <c r="E56" s="40">
        <v>1</v>
      </c>
      <c r="F56" s="40">
        <v>84</v>
      </c>
      <c r="G56" s="40">
        <v>18</v>
      </c>
      <c r="H56" s="40">
        <v>34</v>
      </c>
      <c r="I56" s="40"/>
      <c r="J56" s="40">
        <v>281</v>
      </c>
      <c r="K56" s="40">
        <f t="shared" si="1"/>
        <v>0</v>
      </c>
      <c r="L56" s="1"/>
      <c r="M56" s="1"/>
      <c r="N56" s="1"/>
    </row>
    <row r="57" spans="1:14" ht="14.25" customHeight="1">
      <c r="A57" s="1"/>
      <c r="B57" s="35">
        <v>2000</v>
      </c>
      <c r="C57" s="40">
        <v>34</v>
      </c>
      <c r="D57" s="40">
        <v>89</v>
      </c>
      <c r="E57" s="40">
        <v>1</v>
      </c>
      <c r="F57" s="40">
        <v>93</v>
      </c>
      <c r="G57" s="40">
        <v>11</v>
      </c>
      <c r="H57" s="40">
        <v>38</v>
      </c>
      <c r="I57" s="40"/>
      <c r="J57" s="40">
        <v>266</v>
      </c>
      <c r="K57" s="40">
        <f t="shared" si="1"/>
        <v>0</v>
      </c>
      <c r="L57" s="1"/>
      <c r="M57" s="1"/>
      <c r="N57" s="1"/>
    </row>
    <row r="58" spans="1:14" ht="14.25" customHeight="1">
      <c r="A58" s="1"/>
      <c r="B58" s="35">
        <v>2001</v>
      </c>
      <c r="C58" s="40">
        <v>20</v>
      </c>
      <c r="D58" s="40">
        <v>81</v>
      </c>
      <c r="E58" s="40">
        <v>1</v>
      </c>
      <c r="F58" s="40">
        <v>93</v>
      </c>
      <c r="G58" s="40">
        <v>13</v>
      </c>
      <c r="H58" s="40">
        <v>37</v>
      </c>
      <c r="I58" s="40"/>
      <c r="J58" s="40">
        <v>245</v>
      </c>
      <c r="K58" s="40">
        <f t="shared" si="1"/>
        <v>0</v>
      </c>
      <c r="L58" s="1"/>
      <c r="M58" s="1"/>
      <c r="N58" s="1"/>
    </row>
    <row r="59" spans="1:14" ht="14.25" customHeight="1">
      <c r="A59" s="1"/>
      <c r="B59" s="35">
        <v>2002</v>
      </c>
      <c r="C59" s="40">
        <v>24</v>
      </c>
      <c r="D59" s="40">
        <v>83</v>
      </c>
      <c r="E59" s="40"/>
      <c r="F59" s="40">
        <v>93</v>
      </c>
      <c r="G59" s="40">
        <v>10</v>
      </c>
      <c r="H59" s="40">
        <v>30</v>
      </c>
      <c r="I59" s="40"/>
      <c r="J59" s="40">
        <v>240</v>
      </c>
      <c r="K59" s="40">
        <f t="shared" si="1"/>
        <v>0</v>
      </c>
      <c r="L59" s="1"/>
      <c r="M59" s="1"/>
      <c r="N59" s="1"/>
    </row>
    <row r="60" spans="1:14" ht="14.25" customHeight="1">
      <c r="A60" s="1"/>
      <c r="B60" s="35">
        <v>2003</v>
      </c>
      <c r="C60" s="40">
        <v>26</v>
      </c>
      <c r="D60" s="40">
        <v>103</v>
      </c>
      <c r="E60" s="40"/>
      <c r="F60" s="40">
        <v>75</v>
      </c>
      <c r="G60" s="40">
        <v>5</v>
      </c>
      <c r="H60" s="40">
        <v>29</v>
      </c>
      <c r="I60" s="40"/>
      <c r="J60" s="40">
        <v>238</v>
      </c>
      <c r="K60" s="40">
        <f t="shared" si="1"/>
        <v>0</v>
      </c>
      <c r="L60" s="1"/>
      <c r="M60" s="1"/>
      <c r="N60" s="1"/>
    </row>
    <row r="61" spans="1:14" ht="14.25" customHeight="1">
      <c r="A61" s="1"/>
      <c r="B61" s="35">
        <v>2004</v>
      </c>
      <c r="C61" s="40">
        <v>24</v>
      </c>
      <c r="D61" s="40">
        <v>102</v>
      </c>
      <c r="E61" s="40">
        <v>1</v>
      </c>
      <c r="F61" s="40">
        <v>71</v>
      </c>
      <c r="G61" s="40">
        <v>9</v>
      </c>
      <c r="H61" s="40">
        <v>32</v>
      </c>
      <c r="I61" s="40"/>
      <c r="J61" s="40">
        <v>239</v>
      </c>
      <c r="K61" s="40">
        <f t="shared" si="1"/>
        <v>0</v>
      </c>
      <c r="L61" s="1"/>
      <c r="M61" s="1"/>
      <c r="N61" s="1"/>
    </row>
    <row r="62" spans="1:14" ht="14.25" customHeight="1">
      <c r="A62" s="1"/>
      <c r="B62" s="35">
        <v>2005</v>
      </c>
      <c r="C62" s="40">
        <v>14</v>
      </c>
      <c r="D62" s="40">
        <v>93</v>
      </c>
      <c r="E62" s="40">
        <v>1</v>
      </c>
      <c r="F62" s="40">
        <v>59</v>
      </c>
      <c r="G62" s="40">
        <v>7</v>
      </c>
      <c r="H62" s="40">
        <v>24</v>
      </c>
      <c r="I62" s="40"/>
      <c r="J62" s="40">
        <v>198</v>
      </c>
      <c r="K62" s="40">
        <f t="shared" si="1"/>
        <v>0</v>
      </c>
      <c r="L62" s="1"/>
      <c r="M62" s="1"/>
      <c r="N62" s="1"/>
    </row>
    <row r="63" spans="1:14" ht="14.25" customHeight="1">
      <c r="A63" s="1"/>
      <c r="B63" s="35">
        <v>2006</v>
      </c>
      <c r="C63" s="40">
        <v>23</v>
      </c>
      <c r="D63" s="40">
        <v>124</v>
      </c>
      <c r="E63" s="40">
        <v>2</v>
      </c>
      <c r="F63" s="40">
        <v>68</v>
      </c>
      <c r="G63" s="40">
        <v>10</v>
      </c>
      <c r="H63" s="40">
        <v>23</v>
      </c>
      <c r="I63" s="40"/>
      <c r="J63" s="40">
        <v>250</v>
      </c>
      <c r="K63" s="40">
        <f t="shared" si="1"/>
        <v>0</v>
      </c>
      <c r="L63" s="1"/>
      <c r="M63" s="1"/>
      <c r="N63" s="1"/>
    </row>
    <row r="64" spans="1:14" ht="14.25" customHeight="1">
      <c r="A64" s="1"/>
      <c r="B64" s="35">
        <v>2007</v>
      </c>
      <c r="C64" s="40">
        <v>24</v>
      </c>
      <c r="D64" s="40">
        <v>109</v>
      </c>
      <c r="E64" s="40"/>
      <c r="F64" s="40">
        <v>73</v>
      </c>
      <c r="G64" s="40"/>
      <c r="H64" s="40">
        <v>25</v>
      </c>
      <c r="I64" s="40"/>
      <c r="J64" s="40">
        <v>231</v>
      </c>
      <c r="K64" s="40">
        <f t="shared" si="1"/>
        <v>0</v>
      </c>
      <c r="L64" s="1"/>
      <c r="M64" s="1"/>
      <c r="N64" s="1"/>
    </row>
    <row r="65" spans="1:14" ht="14.25" customHeight="1">
      <c r="A65" s="1"/>
      <c r="B65" s="35">
        <v>2008</v>
      </c>
      <c r="C65" s="40">
        <v>21</v>
      </c>
      <c r="D65" s="40">
        <v>114</v>
      </c>
      <c r="E65" s="40"/>
      <c r="F65" s="40">
        <v>107</v>
      </c>
      <c r="G65" s="40"/>
      <c r="H65" s="40">
        <v>33</v>
      </c>
      <c r="I65" s="40"/>
      <c r="J65" s="40">
        <v>275</v>
      </c>
      <c r="K65" s="40">
        <f t="shared" si="1"/>
        <v>0</v>
      </c>
      <c r="L65" s="1"/>
      <c r="M65" s="1"/>
      <c r="N65" s="1"/>
    </row>
    <row r="66" spans="1:14" ht="14.25" customHeight="1">
      <c r="A66" s="1"/>
      <c r="B66" s="35">
        <v>2009</v>
      </c>
      <c r="C66" s="40">
        <v>17</v>
      </c>
      <c r="D66" s="40">
        <v>123</v>
      </c>
      <c r="E66" s="40">
        <v>3</v>
      </c>
      <c r="F66" s="40">
        <v>104</v>
      </c>
      <c r="G66" s="40"/>
      <c r="H66" s="40">
        <v>20</v>
      </c>
      <c r="I66" s="40"/>
      <c r="J66" s="40">
        <v>267</v>
      </c>
      <c r="K66" s="40">
        <f t="shared" si="1"/>
        <v>0</v>
      </c>
      <c r="L66" s="1"/>
      <c r="M66" s="1"/>
      <c r="N66" s="1"/>
    </row>
    <row r="67" spans="1:14" ht="14.25" customHeight="1">
      <c r="A67" s="1"/>
      <c r="B67" s="35">
        <v>2010</v>
      </c>
      <c r="C67" s="40">
        <v>19</v>
      </c>
      <c r="D67" s="40">
        <v>175</v>
      </c>
      <c r="E67" s="40">
        <v>3</v>
      </c>
      <c r="F67" s="40">
        <v>98</v>
      </c>
      <c r="G67" s="40"/>
      <c r="H67" s="40">
        <v>25</v>
      </c>
      <c r="I67" s="40"/>
      <c r="J67" s="40">
        <v>320</v>
      </c>
      <c r="K67" s="40">
        <f t="shared" si="1"/>
        <v>0</v>
      </c>
      <c r="L67" s="1"/>
      <c r="M67" s="1"/>
      <c r="N67" s="1"/>
    </row>
    <row r="68" spans="1:14" ht="14.25" customHeight="1">
      <c r="A68" s="1"/>
      <c r="B68" s="35">
        <v>2011</v>
      </c>
      <c r="C68" s="40">
        <v>18</v>
      </c>
      <c r="D68" s="40">
        <v>177</v>
      </c>
      <c r="E68" s="40">
        <v>5</v>
      </c>
      <c r="F68" s="40">
        <v>100</v>
      </c>
      <c r="G68" s="40"/>
      <c r="H68" s="40">
        <v>22</v>
      </c>
      <c r="I68" s="40"/>
      <c r="J68" s="40">
        <v>322</v>
      </c>
      <c r="K68" s="40">
        <f t="shared" si="1"/>
        <v>0</v>
      </c>
      <c r="L68" s="1"/>
      <c r="M68" s="1"/>
      <c r="N68" s="1"/>
    </row>
    <row r="69" spans="1:14" ht="14.25" customHeight="1">
      <c r="A69" s="1"/>
      <c r="B69" s="35">
        <v>2012</v>
      </c>
      <c r="C69" s="40">
        <v>26</v>
      </c>
      <c r="D69" s="40">
        <v>219</v>
      </c>
      <c r="E69" s="40">
        <v>5</v>
      </c>
      <c r="F69" s="40">
        <v>115</v>
      </c>
      <c r="G69" s="40"/>
      <c r="H69" s="40">
        <v>28</v>
      </c>
      <c r="I69" s="40"/>
      <c r="J69" s="40">
        <v>393</v>
      </c>
      <c r="K69" s="40">
        <f t="shared" si="1"/>
        <v>0</v>
      </c>
      <c r="L69" s="1"/>
      <c r="M69" s="1"/>
      <c r="N69" s="1"/>
    </row>
    <row r="70" spans="1:14" ht="14.25" customHeight="1">
      <c r="A70" s="1"/>
      <c r="B70" s="35">
        <v>2013</v>
      </c>
      <c r="C70" s="40">
        <v>23</v>
      </c>
      <c r="D70" s="40">
        <v>172</v>
      </c>
      <c r="E70" s="40">
        <v>7</v>
      </c>
      <c r="F70" s="40">
        <v>115</v>
      </c>
      <c r="G70" s="40"/>
      <c r="H70" s="40">
        <v>20</v>
      </c>
      <c r="I70" s="40"/>
      <c r="J70" s="40">
        <v>337</v>
      </c>
      <c r="K70" s="40">
        <f t="shared" si="1"/>
        <v>0</v>
      </c>
      <c r="L70" s="1"/>
      <c r="M70" s="1"/>
      <c r="N70" s="1"/>
    </row>
    <row r="71" spans="1:14" ht="14.25" customHeight="1">
      <c r="A71" s="1"/>
      <c r="B71" s="35">
        <v>2014</v>
      </c>
      <c r="C71" s="40">
        <v>28</v>
      </c>
      <c r="D71" s="40">
        <v>135</v>
      </c>
      <c r="E71" s="40">
        <v>6</v>
      </c>
      <c r="F71" s="40">
        <v>134</v>
      </c>
      <c r="G71" s="40"/>
      <c r="H71" s="40">
        <v>17</v>
      </c>
      <c r="I71" s="40"/>
      <c r="J71" s="40">
        <v>320</v>
      </c>
      <c r="K71" s="40">
        <f t="shared" si="1"/>
        <v>0</v>
      </c>
      <c r="L71" s="1"/>
      <c r="M71" s="1"/>
      <c r="N71" s="1"/>
    </row>
    <row r="72" spans="1:14" ht="14.25" customHeight="1">
      <c r="A72" s="1"/>
      <c r="B72" s="35">
        <v>2015</v>
      </c>
      <c r="C72" s="40">
        <v>22</v>
      </c>
      <c r="D72" s="40">
        <v>137</v>
      </c>
      <c r="E72" s="40">
        <v>13</v>
      </c>
      <c r="F72" s="40">
        <v>122</v>
      </c>
      <c r="G72" s="40"/>
      <c r="H72" s="40">
        <v>13</v>
      </c>
      <c r="I72" s="40"/>
      <c r="J72" s="40">
        <v>307</v>
      </c>
      <c r="K72" s="40">
        <f t="shared" si="1"/>
        <v>0</v>
      </c>
      <c r="L72" s="1"/>
      <c r="M72" s="1"/>
      <c r="N72" s="1"/>
    </row>
    <row r="73" spans="1:14" ht="14.25" customHeight="1">
      <c r="A73" s="1"/>
      <c r="B73" s="35">
        <v>2016</v>
      </c>
      <c r="C73" s="40">
        <v>18</v>
      </c>
      <c r="D73" s="40">
        <v>115</v>
      </c>
      <c r="E73" s="40">
        <v>7</v>
      </c>
      <c r="F73" s="40">
        <v>105</v>
      </c>
      <c r="G73" s="40"/>
      <c r="H73" s="40">
        <v>8</v>
      </c>
      <c r="I73" s="40"/>
      <c r="J73" s="40">
        <v>253</v>
      </c>
      <c r="K73" s="40">
        <f t="shared" si="1"/>
        <v>0</v>
      </c>
      <c r="L73" s="1"/>
      <c r="M73" s="1"/>
      <c r="N73" s="1"/>
    </row>
    <row r="74" spans="1:14" ht="14.25" customHeight="1">
      <c r="A74" s="1"/>
      <c r="B74" s="35">
        <v>2017</v>
      </c>
      <c r="C74" s="40">
        <v>19</v>
      </c>
      <c r="D74" s="40">
        <v>100</v>
      </c>
      <c r="E74" s="40">
        <v>5</v>
      </c>
      <c r="F74" s="40">
        <v>105</v>
      </c>
      <c r="G74" s="40"/>
      <c r="H74" s="40">
        <v>7</v>
      </c>
      <c r="I74" s="40"/>
      <c r="J74" s="40">
        <v>236</v>
      </c>
      <c r="K74" s="40">
        <f t="shared" si="1"/>
        <v>0</v>
      </c>
      <c r="L74" s="1"/>
      <c r="M74" s="1"/>
      <c r="N74" s="1"/>
    </row>
    <row r="75" spans="1:14" ht="15.75">
      <c r="A75" s="1"/>
      <c r="B75" s="35">
        <v>2018</v>
      </c>
      <c r="C75" s="40">
        <v>18</v>
      </c>
      <c r="D75" s="40">
        <v>97</v>
      </c>
      <c r="E75" s="40">
        <v>5</v>
      </c>
      <c r="F75" s="40">
        <v>94</v>
      </c>
      <c r="G75" s="40"/>
      <c r="H75" s="40">
        <v>11</v>
      </c>
      <c r="I75" s="40"/>
      <c r="J75" s="40">
        <v>225</v>
      </c>
      <c r="K75" s="40">
        <f t="shared" ref="K75" si="2">ROUND(P75,0)</f>
        <v>0</v>
      </c>
      <c r="L75" s="1"/>
      <c r="M75" s="1"/>
      <c r="N75" s="1"/>
    </row>
    <row r="76" spans="1:14" ht="15.75">
      <c r="A76" s="1"/>
      <c r="B76" s="37">
        <v>2019</v>
      </c>
      <c r="C76" s="129">
        <v>16</v>
      </c>
      <c r="D76" s="129">
        <v>84</v>
      </c>
      <c r="E76" s="129">
        <v>4</v>
      </c>
      <c r="F76" s="129">
        <v>85</v>
      </c>
      <c r="G76" s="129"/>
      <c r="H76" s="129">
        <v>7</v>
      </c>
      <c r="I76" s="129"/>
      <c r="J76" s="129">
        <v>196</v>
      </c>
      <c r="K76" s="1"/>
      <c r="L76" s="1"/>
      <c r="M76" s="1"/>
      <c r="N76" s="1"/>
    </row>
    <row r="77" spans="1:14">
      <c r="A77" s="1"/>
      <c r="B77" s="1" t="s">
        <v>58</v>
      </c>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sheetData>
  <mergeCells count="2">
    <mergeCell ref="B5:B6"/>
    <mergeCell ref="C5:J5"/>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7"/>
  <sheetViews>
    <sheetView zoomScale="85" zoomScaleNormal="85" workbookViewId="0">
      <selection activeCell="I19" sqref="I19"/>
    </sheetView>
  </sheetViews>
  <sheetFormatPr defaultColWidth="8.75" defaultRowHeight="13.5"/>
  <cols>
    <col min="6" max="6" width="11" customWidth="1"/>
  </cols>
  <sheetData>
    <row r="1" spans="1:7">
      <c r="A1" s="1"/>
      <c r="B1" s="1"/>
      <c r="C1" s="1"/>
      <c r="D1" s="1"/>
      <c r="E1" s="1"/>
      <c r="F1" s="1"/>
      <c r="G1" s="1"/>
    </row>
    <row r="2" spans="1:7" s="132" customFormat="1" ht="15.75">
      <c r="A2" s="130"/>
      <c r="B2" s="131" t="s">
        <v>66</v>
      </c>
      <c r="C2" s="130"/>
      <c r="D2" s="130"/>
      <c r="E2" s="130"/>
      <c r="F2" s="130"/>
      <c r="G2" s="130"/>
    </row>
    <row r="3" spans="1:7">
      <c r="A3" s="1"/>
      <c r="B3" s="1"/>
      <c r="C3" s="1"/>
      <c r="D3" s="1"/>
      <c r="E3" s="1"/>
      <c r="F3" s="1"/>
      <c r="G3" s="1"/>
    </row>
    <row r="4" spans="1:7" ht="28.5">
      <c r="A4" s="1"/>
      <c r="B4" s="16" t="s">
        <v>3</v>
      </c>
      <c r="C4" s="2" t="s">
        <v>2</v>
      </c>
      <c r="D4" s="2" t="s">
        <v>1</v>
      </c>
      <c r="E4" s="2" t="s">
        <v>0</v>
      </c>
      <c r="F4" s="15" t="s">
        <v>59</v>
      </c>
      <c r="G4" s="1"/>
    </row>
    <row r="5" spans="1:7" ht="16.5">
      <c r="A5" s="1"/>
      <c r="B5" s="79">
        <v>1978</v>
      </c>
      <c r="C5" s="80">
        <v>2.2000000000000002</v>
      </c>
      <c r="D5" s="80">
        <v>1.2</v>
      </c>
      <c r="E5" s="80">
        <v>3.4</v>
      </c>
      <c r="F5" s="81"/>
      <c r="G5" s="1"/>
    </row>
    <row r="6" spans="1:7" ht="16.5">
      <c r="A6" s="1"/>
      <c r="B6" s="82">
        <v>1979</v>
      </c>
      <c r="C6" s="80">
        <v>2.2000000000000002</v>
      </c>
      <c r="D6" s="80">
        <v>1.3</v>
      </c>
      <c r="E6" s="80">
        <v>3.5</v>
      </c>
      <c r="F6" s="81"/>
      <c r="G6" s="1"/>
    </row>
    <row r="7" spans="1:7" ht="16.5">
      <c r="A7" s="1"/>
      <c r="B7" s="82">
        <v>1980</v>
      </c>
      <c r="C7" s="80">
        <v>2.1</v>
      </c>
      <c r="D7" s="80">
        <v>1.6</v>
      </c>
      <c r="E7" s="80">
        <v>3.6</v>
      </c>
      <c r="F7" s="81"/>
      <c r="G7" s="1"/>
    </row>
    <row r="8" spans="1:7" ht="16.5">
      <c r="A8" s="1"/>
      <c r="B8" s="82">
        <v>1981</v>
      </c>
      <c r="C8" s="80">
        <v>2.7</v>
      </c>
      <c r="D8" s="80">
        <v>2.1</v>
      </c>
      <c r="E8" s="80">
        <v>4.8</v>
      </c>
      <c r="F8" s="81"/>
      <c r="G8" s="1"/>
    </row>
    <row r="9" spans="1:7">
      <c r="A9" s="1"/>
      <c r="B9" s="82">
        <v>1982</v>
      </c>
      <c r="C9" s="80">
        <v>2.4</v>
      </c>
      <c r="D9" s="80">
        <v>2.4</v>
      </c>
      <c r="E9" s="80">
        <v>4.8</v>
      </c>
      <c r="F9" s="80">
        <v>4</v>
      </c>
      <c r="G9" s="1"/>
    </row>
    <row r="10" spans="1:7">
      <c r="A10" s="1"/>
      <c r="B10" s="82">
        <v>1983</v>
      </c>
      <c r="C10" s="80">
        <v>2.5</v>
      </c>
      <c r="D10" s="80">
        <v>3.5</v>
      </c>
      <c r="E10" s="80">
        <v>5.9</v>
      </c>
      <c r="F10" s="80">
        <v>4.5</v>
      </c>
      <c r="G10" s="1"/>
    </row>
    <row r="11" spans="1:7">
      <c r="A11" s="1"/>
      <c r="B11" s="82">
        <v>1984</v>
      </c>
      <c r="C11" s="80">
        <v>3.3</v>
      </c>
      <c r="D11" s="80">
        <v>2.7</v>
      </c>
      <c r="E11" s="80">
        <v>6</v>
      </c>
      <c r="F11" s="80">
        <v>5</v>
      </c>
      <c r="G11" s="1"/>
    </row>
    <row r="12" spans="1:7">
      <c r="A12" s="1"/>
      <c r="B12" s="82">
        <v>1985</v>
      </c>
      <c r="C12" s="80">
        <v>4</v>
      </c>
      <c r="D12" s="80">
        <v>1.9</v>
      </c>
      <c r="E12" s="80">
        <v>5.8</v>
      </c>
      <c r="F12" s="80">
        <v>5.5</v>
      </c>
      <c r="G12" s="1"/>
    </row>
    <row r="13" spans="1:7">
      <c r="A13" s="1"/>
      <c r="B13" s="82">
        <v>1986</v>
      </c>
      <c r="C13" s="80">
        <v>2.5</v>
      </c>
      <c r="D13" s="80">
        <v>1</v>
      </c>
      <c r="E13" s="80">
        <v>3.6</v>
      </c>
      <c r="F13" s="80">
        <v>5.2</v>
      </c>
      <c r="G13" s="1"/>
    </row>
    <row r="14" spans="1:7">
      <c r="A14" s="1"/>
      <c r="B14" s="82">
        <v>1987</v>
      </c>
      <c r="C14" s="80">
        <v>3.6</v>
      </c>
      <c r="D14" s="80">
        <v>2</v>
      </c>
      <c r="E14" s="80">
        <v>5.6</v>
      </c>
      <c r="F14" s="80">
        <v>5.4</v>
      </c>
      <c r="G14" s="1"/>
    </row>
    <row r="15" spans="1:7">
      <c r="A15" s="1"/>
      <c r="B15" s="82">
        <v>1988</v>
      </c>
      <c r="C15" s="80">
        <v>2.7</v>
      </c>
      <c r="D15" s="80">
        <v>1.1000000000000001</v>
      </c>
      <c r="E15" s="80">
        <v>3.7</v>
      </c>
      <c r="F15" s="80">
        <v>4.9000000000000004</v>
      </c>
      <c r="G15" s="1"/>
    </row>
    <row r="16" spans="1:7">
      <c r="A16" s="1"/>
      <c r="B16" s="82">
        <v>1989</v>
      </c>
      <c r="C16" s="80">
        <v>2.2999999999999998</v>
      </c>
      <c r="D16" s="80">
        <v>1.3</v>
      </c>
      <c r="E16" s="80">
        <v>3.6</v>
      </c>
      <c r="F16" s="80">
        <v>4.5</v>
      </c>
      <c r="G16" s="1"/>
    </row>
    <row r="17" spans="1:7">
      <c r="A17" s="1"/>
      <c r="B17" s="82">
        <v>1990</v>
      </c>
      <c r="C17" s="80">
        <v>1.9</v>
      </c>
      <c r="D17" s="80">
        <v>1.2</v>
      </c>
      <c r="E17" s="80">
        <v>3.1</v>
      </c>
      <c r="F17" s="80">
        <v>3.9</v>
      </c>
      <c r="G17" s="1"/>
    </row>
    <row r="18" spans="1:7">
      <c r="A18" s="1"/>
      <c r="B18" s="82">
        <v>1991</v>
      </c>
      <c r="C18" s="80">
        <v>2</v>
      </c>
      <c r="D18" s="80">
        <v>1.3</v>
      </c>
      <c r="E18" s="80">
        <v>3.3</v>
      </c>
      <c r="F18" s="80">
        <v>3.9</v>
      </c>
      <c r="G18" s="1"/>
    </row>
    <row r="19" spans="1:7">
      <c r="A19" s="1"/>
      <c r="B19" s="82">
        <v>1992</v>
      </c>
      <c r="C19" s="80">
        <v>1.6</v>
      </c>
      <c r="D19" s="80">
        <v>1.8</v>
      </c>
      <c r="E19" s="80">
        <v>3.3</v>
      </c>
      <c r="F19" s="80">
        <v>3.4</v>
      </c>
      <c r="G19" s="1"/>
    </row>
    <row r="20" spans="1:7">
      <c r="A20" s="1"/>
      <c r="B20" s="82">
        <v>1993</v>
      </c>
      <c r="C20" s="80">
        <v>3.1</v>
      </c>
      <c r="D20" s="80">
        <v>2.2999999999999998</v>
      </c>
      <c r="E20" s="80">
        <v>5.4</v>
      </c>
      <c r="F20" s="80">
        <v>3.7</v>
      </c>
      <c r="G20" s="1"/>
    </row>
    <row r="21" spans="1:7">
      <c r="A21" s="1"/>
      <c r="B21" s="82">
        <v>1994</v>
      </c>
      <c r="C21" s="80">
        <v>4</v>
      </c>
      <c r="D21" s="80">
        <v>2.6</v>
      </c>
      <c r="E21" s="80">
        <v>6.6</v>
      </c>
      <c r="F21" s="80">
        <v>4.3</v>
      </c>
      <c r="G21" s="1"/>
    </row>
    <row r="22" spans="1:7">
      <c r="A22" s="1"/>
      <c r="B22" s="82">
        <v>1995</v>
      </c>
      <c r="C22" s="80">
        <v>4.2</v>
      </c>
      <c r="D22" s="80">
        <v>2.2000000000000002</v>
      </c>
      <c r="E22" s="80">
        <v>6.5</v>
      </c>
      <c r="F22" s="80">
        <v>5</v>
      </c>
      <c r="G22" s="1"/>
    </row>
    <row r="23" spans="1:7">
      <c r="A23" s="1"/>
      <c r="B23" s="82">
        <v>1996</v>
      </c>
      <c r="C23" s="80">
        <v>5.5</v>
      </c>
      <c r="D23" s="80">
        <v>3.2</v>
      </c>
      <c r="E23" s="80">
        <v>8.6999999999999993</v>
      </c>
      <c r="F23" s="80">
        <v>6.1</v>
      </c>
      <c r="G23" s="1"/>
    </row>
    <row r="24" spans="1:7">
      <c r="A24" s="1"/>
      <c r="B24" s="82">
        <v>1997</v>
      </c>
      <c r="C24" s="80">
        <v>3.6</v>
      </c>
      <c r="D24" s="80">
        <v>1.8</v>
      </c>
      <c r="E24" s="80">
        <v>5.4</v>
      </c>
      <c r="F24" s="80">
        <v>6.5</v>
      </c>
      <c r="G24" s="1"/>
    </row>
    <row r="25" spans="1:7">
      <c r="A25" s="1"/>
      <c r="B25" s="82">
        <v>1998</v>
      </c>
      <c r="C25" s="80">
        <v>4</v>
      </c>
      <c r="D25" s="80">
        <v>1.9</v>
      </c>
      <c r="E25" s="80">
        <v>5.9</v>
      </c>
      <c r="F25" s="80">
        <v>6.6</v>
      </c>
      <c r="G25" s="1"/>
    </row>
    <row r="26" spans="1:7">
      <c r="A26" s="1"/>
      <c r="B26" s="82">
        <v>1999</v>
      </c>
      <c r="C26" s="80">
        <v>4.3</v>
      </c>
      <c r="D26" s="80">
        <v>2.4</v>
      </c>
      <c r="E26" s="80">
        <v>6.7</v>
      </c>
      <c r="F26" s="80">
        <v>6.6</v>
      </c>
      <c r="G26" s="1"/>
    </row>
    <row r="27" spans="1:7">
      <c r="A27" s="1"/>
      <c r="B27" s="82">
        <v>2000</v>
      </c>
      <c r="C27" s="80">
        <v>4</v>
      </c>
      <c r="D27" s="80">
        <v>1.9</v>
      </c>
      <c r="E27" s="80">
        <v>5.9</v>
      </c>
      <c r="F27" s="80">
        <v>6.5</v>
      </c>
      <c r="G27" s="1"/>
    </row>
    <row r="28" spans="1:7">
      <c r="A28" s="1"/>
      <c r="B28" s="82">
        <v>2001</v>
      </c>
      <c r="C28" s="80">
        <v>3.7</v>
      </c>
      <c r="D28" s="80">
        <v>3.3</v>
      </c>
      <c r="E28" s="80">
        <v>7</v>
      </c>
      <c r="F28" s="80">
        <v>6.2</v>
      </c>
      <c r="G28" s="1"/>
    </row>
    <row r="29" spans="1:7">
      <c r="A29" s="1"/>
      <c r="B29" s="82">
        <v>2002</v>
      </c>
      <c r="C29" s="80">
        <v>4</v>
      </c>
      <c r="D29" s="80">
        <v>4.5999999999999996</v>
      </c>
      <c r="E29" s="80">
        <v>8.5</v>
      </c>
      <c r="F29" s="80">
        <v>6.8</v>
      </c>
      <c r="G29" s="1"/>
    </row>
    <row r="30" spans="1:7">
      <c r="A30" s="1"/>
      <c r="B30" s="82">
        <v>2003</v>
      </c>
      <c r="C30" s="80">
        <v>2.7</v>
      </c>
      <c r="D30" s="80">
        <v>3.1</v>
      </c>
      <c r="E30" s="80">
        <v>5.8</v>
      </c>
      <c r="F30" s="80">
        <v>6.8</v>
      </c>
      <c r="G30" s="1"/>
    </row>
    <row r="31" spans="1:7">
      <c r="A31" s="1"/>
      <c r="B31" s="82">
        <v>2004</v>
      </c>
      <c r="C31" s="80">
        <v>2.4</v>
      </c>
      <c r="D31" s="80">
        <v>3.5</v>
      </c>
      <c r="E31" s="80">
        <v>5.9</v>
      </c>
      <c r="F31" s="80">
        <v>6.6</v>
      </c>
      <c r="G31" s="1"/>
    </row>
    <row r="32" spans="1:7">
      <c r="A32" s="1"/>
      <c r="B32" s="82">
        <v>2005</v>
      </c>
      <c r="C32" s="80">
        <v>3</v>
      </c>
      <c r="D32" s="80">
        <v>5.0999999999999996</v>
      </c>
      <c r="E32" s="80">
        <v>8.1</v>
      </c>
      <c r="F32" s="80">
        <v>7.1</v>
      </c>
      <c r="G32" s="1"/>
    </row>
    <row r="33" spans="1:7">
      <c r="A33" s="1"/>
      <c r="B33" s="82">
        <v>2006</v>
      </c>
      <c r="C33" s="80">
        <v>2.7</v>
      </c>
      <c r="D33" s="80">
        <v>3.3</v>
      </c>
      <c r="E33" s="80">
        <v>6</v>
      </c>
      <c r="F33" s="80">
        <v>6.9</v>
      </c>
      <c r="G33" s="1"/>
    </row>
    <row r="34" spans="1:7">
      <c r="A34" s="1"/>
      <c r="B34" s="82">
        <v>2007</v>
      </c>
      <c r="C34" s="80">
        <v>1.8</v>
      </c>
      <c r="D34" s="80">
        <v>2.2999999999999998</v>
      </c>
      <c r="E34" s="80">
        <v>4.0999999999999996</v>
      </c>
      <c r="F34" s="80">
        <v>6</v>
      </c>
      <c r="G34" s="1"/>
    </row>
    <row r="35" spans="1:7">
      <c r="A35" s="1"/>
      <c r="B35" s="82">
        <v>2008</v>
      </c>
      <c r="C35" s="80">
        <v>2.4</v>
      </c>
      <c r="D35" s="80">
        <v>2.7</v>
      </c>
      <c r="E35" s="80">
        <v>5.0999999999999996</v>
      </c>
      <c r="F35" s="80">
        <v>5.8</v>
      </c>
      <c r="G35" s="1"/>
    </row>
    <row r="36" spans="1:7">
      <c r="A36" s="1"/>
      <c r="B36" s="82">
        <v>2009</v>
      </c>
      <c r="C36" s="80">
        <v>3.9</v>
      </c>
      <c r="D36" s="80">
        <v>4.4000000000000004</v>
      </c>
      <c r="E36" s="80">
        <v>8.4</v>
      </c>
      <c r="F36" s="80">
        <v>6.3</v>
      </c>
      <c r="G36" s="1"/>
    </row>
    <row r="37" spans="1:7">
      <c r="A37" s="1"/>
      <c r="B37" s="82">
        <v>2010</v>
      </c>
      <c r="C37" s="80">
        <v>3.9</v>
      </c>
      <c r="D37" s="80">
        <v>5.6</v>
      </c>
      <c r="E37" s="80">
        <v>9.5</v>
      </c>
      <c r="F37" s="80">
        <v>6.6</v>
      </c>
      <c r="G37" s="1"/>
    </row>
    <row r="38" spans="1:7">
      <c r="A38" s="1"/>
      <c r="B38" s="82">
        <v>2011</v>
      </c>
      <c r="C38" s="80">
        <v>5.3</v>
      </c>
      <c r="D38" s="80">
        <v>4.3</v>
      </c>
      <c r="E38" s="80">
        <v>9.6999999999999993</v>
      </c>
      <c r="F38" s="80">
        <v>7.3</v>
      </c>
      <c r="G38" s="1"/>
    </row>
    <row r="39" spans="1:7">
      <c r="A39" s="1"/>
      <c r="B39" s="82">
        <v>2012</v>
      </c>
      <c r="C39" s="80">
        <v>6</v>
      </c>
      <c r="D39" s="80">
        <v>4.0999999999999996</v>
      </c>
      <c r="E39" s="80">
        <v>10.1</v>
      </c>
      <c r="F39" s="80">
        <v>8.5</v>
      </c>
      <c r="G39" s="1"/>
    </row>
    <row r="40" spans="1:7">
      <c r="A40" s="1"/>
      <c r="B40" s="82">
        <v>2013</v>
      </c>
      <c r="C40" s="80">
        <v>5.7</v>
      </c>
      <c r="D40" s="80">
        <v>3.4</v>
      </c>
      <c r="E40" s="80">
        <v>9.1</v>
      </c>
      <c r="F40" s="80">
        <v>9.3000000000000007</v>
      </c>
      <c r="G40" s="1"/>
    </row>
    <row r="41" spans="1:7">
      <c r="A41" s="1"/>
      <c r="B41" s="82">
        <v>2014</v>
      </c>
      <c r="C41" s="80">
        <v>4.0999999999999996</v>
      </c>
      <c r="D41" s="80">
        <v>3.1</v>
      </c>
      <c r="E41" s="80">
        <v>7.2</v>
      </c>
      <c r="F41" s="80">
        <v>9.1</v>
      </c>
      <c r="G41" s="1"/>
    </row>
    <row r="42" spans="1:7">
      <c r="A42" s="1"/>
      <c r="B42" s="82">
        <v>2015</v>
      </c>
      <c r="C42" s="80">
        <v>3.7</v>
      </c>
      <c r="D42" s="80">
        <v>2.9</v>
      </c>
      <c r="E42" s="80">
        <v>6.6</v>
      </c>
      <c r="F42" s="80">
        <v>8.5</v>
      </c>
      <c r="G42" s="1"/>
    </row>
    <row r="43" spans="1:7">
      <c r="A43" s="1"/>
      <c r="B43" s="82">
        <v>2016</v>
      </c>
      <c r="C43" s="83">
        <v>3.6</v>
      </c>
      <c r="D43" s="83">
        <v>4.2</v>
      </c>
      <c r="E43" s="83">
        <v>7.9</v>
      </c>
      <c r="F43" s="83">
        <v>8.1999999999999993</v>
      </c>
      <c r="G43" s="1"/>
    </row>
    <row r="44" spans="1:7">
      <c r="A44" s="1"/>
      <c r="B44" s="82">
        <v>2017</v>
      </c>
      <c r="C44" s="83">
        <v>4</v>
      </c>
      <c r="D44" s="83">
        <v>3.8</v>
      </c>
      <c r="E44" s="83">
        <v>7.8</v>
      </c>
      <c r="F44" s="83">
        <v>7.7</v>
      </c>
      <c r="G44" s="1"/>
    </row>
    <row r="45" spans="1:7">
      <c r="B45" s="82">
        <v>2018</v>
      </c>
      <c r="C45" s="83">
        <v>3.1</v>
      </c>
      <c r="D45" s="83">
        <v>4.5</v>
      </c>
      <c r="E45" s="83">
        <v>7.6</v>
      </c>
      <c r="F45" s="83">
        <v>7.4</v>
      </c>
    </row>
    <row r="46" spans="1:7">
      <c r="A46" s="1"/>
      <c r="B46" s="84">
        <v>2019</v>
      </c>
      <c r="C46" s="85">
        <v>4</v>
      </c>
      <c r="D46" s="85">
        <v>3.2</v>
      </c>
      <c r="E46" s="85">
        <v>7.2</v>
      </c>
      <c r="F46" s="85">
        <v>7.4</v>
      </c>
      <c r="G46" s="1"/>
    </row>
    <row r="47" spans="1:7">
      <c r="A47" s="1"/>
      <c r="B47" s="1" t="s">
        <v>60</v>
      </c>
      <c r="C47" s="1"/>
      <c r="D47" s="1"/>
      <c r="E47" s="1"/>
      <c r="F47" s="1"/>
      <c r="G47" s="1"/>
    </row>
  </sheetData>
  <phoneticPr fontId="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451DD-2D5F-41D6-A52A-AB4BD7483122}">
  <dimension ref="B1:N16"/>
  <sheetViews>
    <sheetView zoomScale="85" zoomScaleNormal="85" workbookViewId="0">
      <selection activeCell="B3" sqref="B3"/>
    </sheetView>
  </sheetViews>
  <sheetFormatPr defaultColWidth="8.875" defaultRowHeight="13.5"/>
  <cols>
    <col min="1" max="1" width="8.875" style="91"/>
    <col min="2" max="2" width="11.875" style="91" customWidth="1"/>
    <col min="3" max="4" width="10.125" style="91" customWidth="1"/>
    <col min="5" max="5" width="8.875" style="91"/>
    <col min="6" max="6" width="3.125" style="91" customWidth="1"/>
    <col min="7" max="8" width="10.625" style="91" customWidth="1"/>
    <col min="9" max="9" width="2.875" style="91" customWidth="1"/>
    <col min="10" max="11" width="10.625" style="91" customWidth="1"/>
    <col min="12" max="12" width="2.875" style="91" customWidth="1"/>
    <col min="13" max="14" width="10.625" style="91" customWidth="1"/>
    <col min="15" max="16384" width="8.875" style="91"/>
  </cols>
  <sheetData>
    <row r="1" spans="2:14" ht="21.75" customHeight="1"/>
    <row r="2" spans="2:14" s="133" customFormat="1" ht="21.75" customHeight="1">
      <c r="B2" s="134" t="s">
        <v>67</v>
      </c>
    </row>
    <row r="3" spans="2:14" ht="14.25">
      <c r="B3" s="123"/>
      <c r="C3" s="122"/>
      <c r="D3" s="122"/>
      <c r="E3" s="122"/>
      <c r="F3" s="122"/>
      <c r="G3" s="122"/>
      <c r="H3" s="122"/>
      <c r="I3" s="122"/>
      <c r="J3" s="122"/>
      <c r="K3" s="122"/>
      <c r="L3" s="122"/>
      <c r="M3" s="122"/>
      <c r="N3" s="122"/>
    </row>
    <row r="4" spans="2:14" ht="15.75">
      <c r="B4" s="141" t="s">
        <v>46</v>
      </c>
      <c r="C4" s="141" t="s">
        <v>47</v>
      </c>
      <c r="D4" s="30" t="s">
        <v>14</v>
      </c>
      <c r="E4" s="30" t="s">
        <v>13</v>
      </c>
      <c r="F4" s="30"/>
      <c r="G4" s="147" t="s">
        <v>48</v>
      </c>
      <c r="H4" s="147"/>
      <c r="I4" s="30"/>
      <c r="J4" s="140" t="s">
        <v>49</v>
      </c>
      <c r="K4" s="140"/>
      <c r="L4" s="30"/>
      <c r="M4" s="140" t="s">
        <v>50</v>
      </c>
      <c r="N4" s="140"/>
    </row>
    <row r="5" spans="2:14" ht="18.75">
      <c r="B5" s="143"/>
      <c r="C5" s="146"/>
      <c r="D5" s="29" t="s">
        <v>51</v>
      </c>
      <c r="E5" s="29" t="s">
        <v>12</v>
      </c>
      <c r="F5" s="29"/>
      <c r="G5" s="29" t="s">
        <v>11</v>
      </c>
      <c r="H5" s="29" t="s">
        <v>10</v>
      </c>
      <c r="I5" s="29"/>
      <c r="J5" s="29" t="s">
        <v>11</v>
      </c>
      <c r="K5" s="29" t="s">
        <v>10</v>
      </c>
      <c r="L5" s="29"/>
      <c r="M5" s="29" t="s">
        <v>11</v>
      </c>
      <c r="N5" s="29" t="s">
        <v>10</v>
      </c>
    </row>
    <row r="6" spans="2:14" ht="15.75">
      <c r="B6" s="141" t="s">
        <v>9</v>
      </c>
      <c r="C6" s="124" t="s">
        <v>7</v>
      </c>
      <c r="D6" s="23">
        <v>1029</v>
      </c>
      <c r="E6" s="23">
        <v>7</v>
      </c>
      <c r="F6" s="23"/>
      <c r="G6" s="25">
        <v>2.8</v>
      </c>
      <c r="H6" s="25">
        <v>1.5</v>
      </c>
      <c r="I6" s="24"/>
      <c r="J6" s="23">
        <v>576</v>
      </c>
      <c r="K6" s="23">
        <v>960</v>
      </c>
      <c r="L6" s="23"/>
      <c r="M6" s="23">
        <v>301</v>
      </c>
      <c r="N6" s="23">
        <v>170</v>
      </c>
    </row>
    <row r="7" spans="2:14" ht="15.75">
      <c r="B7" s="142"/>
      <c r="C7" s="124" t="s">
        <v>6</v>
      </c>
      <c r="D7" s="23">
        <v>900</v>
      </c>
      <c r="E7" s="23">
        <v>9</v>
      </c>
      <c r="F7" s="23"/>
      <c r="G7" s="25">
        <v>4.3</v>
      </c>
      <c r="H7" s="25">
        <v>0.9</v>
      </c>
      <c r="I7" s="24"/>
      <c r="J7" s="23">
        <v>778</v>
      </c>
      <c r="K7" s="23">
        <v>498</v>
      </c>
      <c r="L7" s="23"/>
      <c r="M7" s="23">
        <v>406</v>
      </c>
      <c r="N7" s="23">
        <v>88</v>
      </c>
    </row>
    <row r="8" spans="2:14" ht="15.75">
      <c r="B8" s="142"/>
      <c r="C8" s="29" t="s">
        <v>5</v>
      </c>
      <c r="D8" s="28">
        <v>647</v>
      </c>
      <c r="E8" s="28">
        <v>4</v>
      </c>
      <c r="F8" s="28"/>
      <c r="G8" s="26">
        <v>0.3</v>
      </c>
      <c r="H8" s="26">
        <v>0.1</v>
      </c>
      <c r="I8" s="27"/>
      <c r="J8" s="19">
        <v>37</v>
      </c>
      <c r="K8" s="19">
        <v>51</v>
      </c>
      <c r="L8" s="19"/>
      <c r="M8" s="19">
        <v>19</v>
      </c>
      <c r="N8" s="19">
        <v>9</v>
      </c>
    </row>
    <row r="9" spans="2:14" ht="15.75">
      <c r="B9" s="143"/>
      <c r="C9" s="29" t="s">
        <v>4</v>
      </c>
      <c r="D9" s="19"/>
      <c r="E9" s="19">
        <v>20</v>
      </c>
      <c r="F9" s="19"/>
      <c r="G9" s="19"/>
      <c r="H9" s="26"/>
      <c r="I9" s="19"/>
      <c r="J9" s="19">
        <v>1392</v>
      </c>
      <c r="K9" s="19">
        <v>1508</v>
      </c>
      <c r="L9" s="21"/>
      <c r="M9" s="21">
        <v>726</v>
      </c>
      <c r="N9" s="21">
        <v>267</v>
      </c>
    </row>
    <row r="10" spans="2:14" ht="15.75">
      <c r="B10" s="144" t="s">
        <v>8</v>
      </c>
      <c r="C10" s="124" t="s">
        <v>7</v>
      </c>
      <c r="D10" s="23">
        <v>1116</v>
      </c>
      <c r="E10" s="23">
        <v>4</v>
      </c>
      <c r="F10" s="23"/>
      <c r="G10" s="25">
        <v>2.1</v>
      </c>
      <c r="H10" s="25">
        <v>2.9</v>
      </c>
      <c r="I10" s="24"/>
      <c r="J10" s="23">
        <v>463</v>
      </c>
      <c r="K10" s="23">
        <v>2049</v>
      </c>
      <c r="L10" s="23"/>
      <c r="M10" s="23">
        <v>242</v>
      </c>
      <c r="N10" s="23">
        <v>363</v>
      </c>
    </row>
    <row r="11" spans="2:14" ht="15.75">
      <c r="B11" s="145"/>
      <c r="C11" s="124" t="s">
        <v>6</v>
      </c>
      <c r="D11" s="23">
        <v>1102</v>
      </c>
      <c r="E11" s="23">
        <v>6</v>
      </c>
      <c r="F11" s="23"/>
      <c r="G11" s="25">
        <v>5.0999999999999996</v>
      </c>
      <c r="H11" s="25">
        <v>1.6</v>
      </c>
      <c r="I11" s="24"/>
      <c r="J11" s="23">
        <v>1117</v>
      </c>
      <c r="K11" s="23">
        <v>1091</v>
      </c>
      <c r="L11" s="23"/>
      <c r="M11" s="23">
        <v>583</v>
      </c>
      <c r="N11" s="23">
        <v>193</v>
      </c>
    </row>
    <row r="12" spans="2:14" ht="15.75">
      <c r="B12" s="145"/>
      <c r="C12" s="124" t="s">
        <v>5</v>
      </c>
      <c r="D12" s="23">
        <v>980</v>
      </c>
      <c r="E12" s="23">
        <v>2</v>
      </c>
      <c r="F12" s="23"/>
      <c r="G12" s="25">
        <v>0.3</v>
      </c>
      <c r="H12" s="25">
        <v>0.1</v>
      </c>
      <c r="I12" s="24"/>
      <c r="J12" s="23">
        <v>64</v>
      </c>
      <c r="K12" s="23">
        <v>61</v>
      </c>
      <c r="L12" s="23"/>
      <c r="M12" s="23">
        <v>33</v>
      </c>
      <c r="N12" s="23">
        <v>11</v>
      </c>
    </row>
    <row r="13" spans="2:14" ht="15.75">
      <c r="B13" s="146"/>
      <c r="C13" s="78" t="s">
        <v>4</v>
      </c>
      <c r="D13" s="21"/>
      <c r="E13" s="21">
        <v>12</v>
      </c>
      <c r="F13" s="21"/>
      <c r="G13" s="22"/>
      <c r="H13" s="22"/>
      <c r="I13" s="22"/>
      <c r="J13" s="21">
        <v>1644</v>
      </c>
      <c r="K13" s="21">
        <v>3201</v>
      </c>
      <c r="L13" s="21"/>
      <c r="M13" s="21">
        <v>858</v>
      </c>
      <c r="N13" s="21">
        <v>567</v>
      </c>
    </row>
    <row r="14" spans="2:14" ht="15.75">
      <c r="B14" s="29" t="s">
        <v>52</v>
      </c>
      <c r="C14" s="20"/>
      <c r="D14" s="19"/>
      <c r="E14" s="19">
        <v>32</v>
      </c>
      <c r="F14" s="19"/>
      <c r="G14" s="19"/>
      <c r="H14" s="19"/>
      <c r="I14" s="19"/>
      <c r="J14" s="19">
        <v>3035</v>
      </c>
      <c r="K14" s="19">
        <v>4709</v>
      </c>
      <c r="L14" s="19"/>
      <c r="M14" s="19">
        <v>1584</v>
      </c>
      <c r="N14" s="19">
        <v>833</v>
      </c>
    </row>
    <row r="16" spans="2:14">
      <c r="B16" s="91" t="s">
        <v>53</v>
      </c>
    </row>
  </sheetData>
  <mergeCells count="7">
    <mergeCell ref="M4:N4"/>
    <mergeCell ref="B6:B9"/>
    <mergeCell ref="B10:B13"/>
    <mergeCell ref="B4:B5"/>
    <mergeCell ref="C4:C5"/>
    <mergeCell ref="G4:H4"/>
    <mergeCell ref="J4:K4"/>
  </mergeCells>
  <phoneticPr fontId="1"/>
  <pageMargins left="0.7" right="0.7" top="0.75" bottom="0.75" header="0.3" footer="0.3"/>
  <pageSetup paperSize="9" orientation="portrait"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13"/>
  <sheetViews>
    <sheetView zoomScale="115" zoomScaleNormal="115" workbookViewId="0">
      <selection activeCell="F13" sqref="F13"/>
    </sheetView>
  </sheetViews>
  <sheetFormatPr defaultColWidth="13" defaultRowHeight="13.5"/>
  <cols>
    <col min="4" max="4" width="10.375" customWidth="1"/>
    <col min="5" max="6" width="19.25" customWidth="1"/>
  </cols>
  <sheetData>
    <row r="1" spans="2:6">
      <c r="B1" s="72"/>
      <c r="C1" s="72"/>
      <c r="D1" s="72"/>
      <c r="E1" s="72"/>
      <c r="F1" s="72"/>
    </row>
    <row r="2" spans="2:6" s="132" customFormat="1" ht="15">
      <c r="B2" s="132" t="s">
        <v>70</v>
      </c>
    </row>
    <row r="3" spans="2:6">
      <c r="B3" s="72"/>
      <c r="C3" s="72"/>
      <c r="D3" s="72"/>
      <c r="E3" s="72"/>
      <c r="F3" s="72"/>
    </row>
    <row r="4" spans="2:6">
      <c r="B4" s="72"/>
      <c r="C4" s="72"/>
      <c r="D4" s="72"/>
      <c r="E4" s="72"/>
      <c r="F4" s="72"/>
    </row>
    <row r="5" spans="2:6">
      <c r="B5" s="72"/>
      <c r="C5" s="148" t="s">
        <v>36</v>
      </c>
      <c r="D5" s="148" t="s">
        <v>37</v>
      </c>
      <c r="E5" s="150" t="s">
        <v>38</v>
      </c>
      <c r="F5" s="150"/>
    </row>
    <row r="6" spans="2:6" ht="15">
      <c r="B6" s="72"/>
      <c r="C6" s="149"/>
      <c r="D6" s="149"/>
      <c r="E6" s="77" t="s">
        <v>68</v>
      </c>
      <c r="F6" s="77" t="s">
        <v>69</v>
      </c>
    </row>
    <row r="7" spans="2:6" ht="15">
      <c r="B7" s="72"/>
      <c r="C7" s="74" t="s">
        <v>40</v>
      </c>
      <c r="D7" s="74" t="s">
        <v>39</v>
      </c>
      <c r="E7" s="73">
        <v>772</v>
      </c>
      <c r="F7" s="73">
        <v>15044</v>
      </c>
    </row>
    <row r="8" spans="2:6" ht="15">
      <c r="B8" s="72"/>
      <c r="C8" s="74" t="s">
        <v>40</v>
      </c>
      <c r="D8" s="74" t="s">
        <v>37</v>
      </c>
      <c r="E8" s="73">
        <v>935</v>
      </c>
      <c r="F8" s="73">
        <v>2160</v>
      </c>
    </row>
    <row r="9" spans="2:6" ht="15">
      <c r="B9" s="72"/>
      <c r="C9" s="74" t="s">
        <v>41</v>
      </c>
      <c r="D9" s="74" t="s">
        <v>39</v>
      </c>
      <c r="E9" s="73">
        <v>1221</v>
      </c>
      <c r="F9" s="73">
        <v>7438</v>
      </c>
    </row>
    <row r="10" spans="2:6" ht="15">
      <c r="B10" s="72"/>
      <c r="C10" s="74" t="s">
        <v>41</v>
      </c>
      <c r="D10" s="74" t="s">
        <v>37</v>
      </c>
      <c r="E10" s="73">
        <v>1838</v>
      </c>
      <c r="F10" s="73">
        <v>2589</v>
      </c>
    </row>
    <row r="11" spans="2:6" ht="15">
      <c r="B11" s="72"/>
      <c r="C11" s="74" t="s">
        <v>42</v>
      </c>
      <c r="D11" s="74" t="s">
        <v>37</v>
      </c>
      <c r="E11" s="73">
        <v>1071</v>
      </c>
      <c r="F11" s="73">
        <v>2956</v>
      </c>
    </row>
    <row r="12" spans="2:6" ht="15">
      <c r="B12" s="72"/>
      <c r="C12" s="148" t="s">
        <v>43</v>
      </c>
      <c r="D12" s="148"/>
      <c r="E12" s="75">
        <v>1707</v>
      </c>
      <c r="F12" s="75">
        <v>17204</v>
      </c>
    </row>
    <row r="13" spans="2:6" ht="15">
      <c r="B13" s="72"/>
      <c r="C13" s="149" t="s">
        <v>44</v>
      </c>
      <c r="D13" s="149"/>
      <c r="E13" s="76">
        <v>4130</v>
      </c>
      <c r="F13" s="76">
        <v>12983</v>
      </c>
    </row>
  </sheetData>
  <mergeCells count="5">
    <mergeCell ref="C5:C6"/>
    <mergeCell ref="D5:D6"/>
    <mergeCell ref="E5:F5"/>
    <mergeCell ref="C12:D12"/>
    <mergeCell ref="C13:D13"/>
  </mergeCells>
  <phoneticPr fontId="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2E71-951A-492C-A88A-97E9E2412482}">
  <sheetPr>
    <pageSetUpPr fitToPage="1"/>
  </sheetPr>
  <dimension ref="A3:AD51"/>
  <sheetViews>
    <sheetView topLeftCell="B1" zoomScale="70" zoomScaleNormal="70" workbookViewId="0">
      <selection activeCell="Y5" sqref="Y5"/>
    </sheetView>
  </sheetViews>
  <sheetFormatPr defaultColWidth="8.875" defaultRowHeight="18.75"/>
  <cols>
    <col min="1" max="1" width="8.875" style="17"/>
    <col min="2" max="28" width="8.625" style="17" customWidth="1"/>
    <col min="29" max="29" width="7.25" style="17" customWidth="1"/>
    <col min="30" max="30" width="8.875" style="17"/>
    <col min="31" max="40" width="6.25" style="17" customWidth="1"/>
    <col min="41" max="16384" width="8.875" style="17"/>
  </cols>
  <sheetData>
    <row r="3" spans="1:30" s="133" customFormat="1" ht="34.15" customHeight="1">
      <c r="A3" s="135"/>
      <c r="B3" s="151" t="s">
        <v>71</v>
      </c>
      <c r="C3" s="152"/>
      <c r="D3" s="152"/>
      <c r="E3" s="152"/>
      <c r="F3" s="152"/>
      <c r="G3" s="152"/>
      <c r="H3" s="152"/>
      <c r="I3" s="152"/>
      <c r="J3" s="152"/>
      <c r="K3" s="152"/>
      <c r="L3" s="152"/>
      <c r="M3" s="152"/>
      <c r="N3" s="152"/>
      <c r="O3" s="152"/>
      <c r="P3" s="152"/>
      <c r="Q3" s="152"/>
      <c r="R3" s="152"/>
      <c r="S3" s="152"/>
      <c r="T3" s="152"/>
      <c r="U3" s="152"/>
      <c r="V3" s="152"/>
      <c r="W3" s="152"/>
      <c r="X3" s="152"/>
      <c r="Y3" s="152"/>
      <c r="Z3" s="136"/>
      <c r="AA3" s="95"/>
      <c r="AB3" s="95"/>
      <c r="AC3" s="95"/>
    </row>
    <row r="4" spans="1:30" ht="9" customHeight="1">
      <c r="A4" s="14"/>
      <c r="B4" s="86"/>
      <c r="C4" s="86"/>
      <c r="D4" s="86"/>
      <c r="E4" s="86"/>
      <c r="F4" s="86"/>
      <c r="G4" s="86"/>
      <c r="H4" s="86"/>
      <c r="I4" s="86"/>
      <c r="J4" s="86"/>
      <c r="K4" s="86"/>
      <c r="L4" s="86"/>
      <c r="M4" s="86"/>
      <c r="N4" s="86"/>
      <c r="O4" s="86"/>
      <c r="P4" s="86"/>
      <c r="Q4" s="86"/>
      <c r="R4" s="86"/>
      <c r="S4" s="127"/>
      <c r="T4" s="86"/>
      <c r="U4" s="86"/>
      <c r="V4" s="86"/>
      <c r="W4" s="86"/>
      <c r="X4" s="86"/>
      <c r="Y4" s="86"/>
      <c r="Z4" s="86"/>
      <c r="AA4" s="18"/>
      <c r="AB4" s="18"/>
      <c r="AC4" s="18"/>
    </row>
    <row r="5" spans="1:30" s="89" customFormat="1" ht="18" customHeight="1">
      <c r="A5" s="71"/>
      <c r="B5" s="41" t="s">
        <v>24</v>
      </c>
      <c r="C5" s="42"/>
      <c r="D5" s="42"/>
      <c r="E5" s="42"/>
      <c r="F5" s="42"/>
      <c r="G5" s="42"/>
      <c r="H5" s="42"/>
      <c r="I5" s="42"/>
      <c r="J5" s="42"/>
      <c r="K5" s="42"/>
      <c r="L5" s="42"/>
      <c r="M5" s="43"/>
      <c r="N5" s="43"/>
      <c r="O5" s="87"/>
      <c r="P5" s="88"/>
      <c r="Q5" s="88"/>
      <c r="R5" s="88"/>
      <c r="S5" s="88"/>
      <c r="T5" s="88"/>
      <c r="U5" s="88"/>
      <c r="V5" s="88"/>
      <c r="W5" s="88"/>
      <c r="X5" s="88"/>
      <c r="Y5" s="88"/>
      <c r="Z5" s="88"/>
      <c r="AA5" s="88"/>
      <c r="AB5" s="88"/>
      <c r="AC5" s="88"/>
    </row>
    <row r="6" spans="1:30">
      <c r="A6" s="4"/>
      <c r="B6" s="7"/>
      <c r="C6" s="13"/>
      <c r="D6" s="90">
        <v>1999</v>
      </c>
      <c r="E6" s="90">
        <v>2000</v>
      </c>
      <c r="F6" s="90">
        <v>2001</v>
      </c>
      <c r="G6" s="90">
        <v>2002</v>
      </c>
      <c r="H6" s="90">
        <v>2003</v>
      </c>
      <c r="I6" s="90">
        <v>2004</v>
      </c>
      <c r="J6" s="90">
        <v>2005</v>
      </c>
      <c r="K6" s="90">
        <v>2006</v>
      </c>
      <c r="L6" s="90">
        <v>2007</v>
      </c>
      <c r="M6" s="90">
        <v>2008</v>
      </c>
      <c r="N6" s="90">
        <v>2009</v>
      </c>
      <c r="O6" s="90">
        <v>2010</v>
      </c>
      <c r="P6" s="90">
        <v>2011</v>
      </c>
      <c r="Q6" s="90">
        <v>2012</v>
      </c>
      <c r="R6" s="90">
        <v>2013</v>
      </c>
      <c r="S6" s="90">
        <v>2014</v>
      </c>
      <c r="T6" s="90">
        <v>2015</v>
      </c>
      <c r="U6" s="90">
        <v>2016</v>
      </c>
      <c r="V6" s="90">
        <v>2017</v>
      </c>
      <c r="W6" s="90">
        <v>2018</v>
      </c>
      <c r="X6" s="90">
        <v>2019</v>
      </c>
      <c r="Y6" s="90">
        <v>2020</v>
      </c>
      <c r="Z6" s="38"/>
      <c r="AA6" s="18"/>
      <c r="AB6" s="18"/>
      <c r="AC6" s="18"/>
    </row>
    <row r="7" spans="1:30">
      <c r="A7" s="4"/>
      <c r="B7" s="5" t="s">
        <v>25</v>
      </c>
      <c r="C7" s="44"/>
      <c r="D7" s="45">
        <v>1653</v>
      </c>
      <c r="E7" s="45">
        <v>2703</v>
      </c>
      <c r="F7" s="45">
        <v>1223</v>
      </c>
      <c r="G7" s="45">
        <v>2673</v>
      </c>
      <c r="H7" s="45">
        <v>1715</v>
      </c>
      <c r="I7" s="45">
        <v>3950</v>
      </c>
      <c r="J7" s="45">
        <v>3212</v>
      </c>
      <c r="K7" s="45">
        <v>3358</v>
      </c>
      <c r="L7" s="45">
        <v>2856</v>
      </c>
      <c r="M7" s="45">
        <v>3815</v>
      </c>
      <c r="N7" s="45">
        <v>3145</v>
      </c>
      <c r="O7" s="45">
        <v>4906</v>
      </c>
      <c r="P7" s="45">
        <v>6641</v>
      </c>
      <c r="Q7" s="45">
        <v>3581</v>
      </c>
      <c r="R7" s="45">
        <v>5608</v>
      </c>
      <c r="S7" s="45">
        <v>2084</v>
      </c>
      <c r="T7" s="45">
        <v>2237</v>
      </c>
      <c r="U7" s="45">
        <v>5541</v>
      </c>
      <c r="V7" s="45">
        <v>4543</v>
      </c>
      <c r="W7" s="45">
        <v>4544</v>
      </c>
      <c r="X7" s="45">
        <v>2265</v>
      </c>
      <c r="Y7" s="45">
        <v>3035</v>
      </c>
      <c r="Z7" s="18"/>
      <c r="AA7" s="18"/>
      <c r="AB7" s="18"/>
      <c r="AC7" s="18"/>
      <c r="AD7" s="91"/>
    </row>
    <row r="8" spans="1:30">
      <c r="A8" s="4"/>
      <c r="B8" s="3" t="s">
        <v>26</v>
      </c>
      <c r="C8" s="46"/>
      <c r="D8" s="47">
        <v>6223</v>
      </c>
      <c r="E8" s="47">
        <v>10335</v>
      </c>
      <c r="F8" s="47">
        <v>12945</v>
      </c>
      <c r="G8" s="47">
        <v>8785</v>
      </c>
      <c r="H8" s="47">
        <v>8715</v>
      </c>
      <c r="I8" s="47">
        <v>10267</v>
      </c>
      <c r="J8" s="47">
        <v>6260</v>
      </c>
      <c r="K8" s="47">
        <v>6025</v>
      </c>
      <c r="L8" s="47">
        <v>8465</v>
      </c>
      <c r="M8" s="47">
        <v>9723</v>
      </c>
      <c r="N8" s="48">
        <v>10735</v>
      </c>
      <c r="O8" s="92">
        <v>7657</v>
      </c>
      <c r="P8" s="92">
        <v>4906</v>
      </c>
      <c r="Q8" s="92">
        <v>5407</v>
      </c>
      <c r="R8" s="92">
        <v>4229</v>
      </c>
      <c r="S8" s="92">
        <v>4351</v>
      </c>
      <c r="T8" s="92">
        <v>3636</v>
      </c>
      <c r="U8" s="92">
        <v>1804</v>
      </c>
      <c r="V8" s="92">
        <v>2374</v>
      </c>
      <c r="W8" s="93">
        <v>5949</v>
      </c>
      <c r="X8" s="47">
        <v>5832</v>
      </c>
      <c r="Y8" s="47">
        <v>4709</v>
      </c>
      <c r="Z8" s="94"/>
      <c r="AA8" s="18"/>
      <c r="AB8" s="18"/>
      <c r="AC8" s="18"/>
      <c r="AD8" s="91"/>
    </row>
    <row r="9" spans="1:30" ht="7.5" customHeight="1">
      <c r="A9" s="4"/>
      <c r="B9" s="18"/>
      <c r="C9" s="95"/>
      <c r="D9" s="95"/>
      <c r="E9" s="95"/>
      <c r="F9" s="95"/>
      <c r="G9" s="95"/>
      <c r="H9" s="95"/>
      <c r="I9" s="95"/>
      <c r="J9" s="95"/>
      <c r="K9" s="95"/>
      <c r="L9" s="95"/>
      <c r="M9" s="95"/>
      <c r="N9" s="95"/>
      <c r="O9" s="95"/>
      <c r="P9" s="95"/>
      <c r="Q9" s="95"/>
      <c r="R9" s="95"/>
      <c r="S9" s="95"/>
      <c r="T9" s="95"/>
      <c r="U9" s="95"/>
      <c r="V9" s="95"/>
      <c r="W9" s="18"/>
      <c r="X9" s="18"/>
      <c r="Y9" s="18"/>
      <c r="Z9" s="18"/>
      <c r="AA9" s="18"/>
      <c r="AB9" s="18"/>
      <c r="AC9" s="18"/>
    </row>
    <row r="10" spans="1:30" s="89" customFormat="1" ht="18" customHeight="1">
      <c r="A10" s="71"/>
      <c r="B10" s="12" t="s">
        <v>27</v>
      </c>
      <c r="C10" s="49"/>
      <c r="D10" s="50"/>
      <c r="E10" s="50"/>
      <c r="F10" s="50"/>
      <c r="G10" s="50"/>
      <c r="H10" s="50"/>
      <c r="I10" s="50"/>
      <c r="J10" s="50"/>
      <c r="K10" s="50"/>
      <c r="L10" s="50"/>
      <c r="M10" s="51"/>
      <c r="N10" s="50"/>
      <c r="O10" s="96"/>
      <c r="P10" s="96"/>
      <c r="Q10" s="96"/>
      <c r="R10" s="96"/>
      <c r="S10" s="96"/>
      <c r="T10" s="96"/>
      <c r="U10" s="96"/>
      <c r="V10" s="96"/>
      <c r="W10" s="96"/>
      <c r="X10" s="96"/>
      <c r="Y10" s="18"/>
      <c r="Z10" s="18"/>
      <c r="AA10" s="88"/>
      <c r="AB10" s="88"/>
      <c r="AC10" s="88"/>
    </row>
    <row r="11" spans="1:30">
      <c r="A11" s="4"/>
      <c r="B11" s="7"/>
      <c r="C11" s="6">
        <v>1998</v>
      </c>
      <c r="D11" s="6">
        <v>1999</v>
      </c>
      <c r="E11" s="6">
        <v>2000</v>
      </c>
      <c r="F11" s="6">
        <v>2001</v>
      </c>
      <c r="G11" s="6">
        <v>2002</v>
      </c>
      <c r="H11" s="6">
        <v>2003</v>
      </c>
      <c r="I11" s="6">
        <v>2004</v>
      </c>
      <c r="J11" s="6">
        <v>2005</v>
      </c>
      <c r="K11" s="6">
        <v>2006</v>
      </c>
      <c r="L11" s="6">
        <v>2007</v>
      </c>
      <c r="M11" s="6">
        <v>2008</v>
      </c>
      <c r="N11" s="6">
        <v>2009</v>
      </c>
      <c r="O11" s="6">
        <v>2010</v>
      </c>
      <c r="P11" s="6">
        <v>2011</v>
      </c>
      <c r="Q11" s="6">
        <v>2012</v>
      </c>
      <c r="R11" s="90">
        <v>2013</v>
      </c>
      <c r="S11" s="90">
        <v>2014</v>
      </c>
      <c r="T11" s="90">
        <v>2015</v>
      </c>
      <c r="U11" s="90">
        <v>2016</v>
      </c>
      <c r="V11" s="90">
        <v>2017</v>
      </c>
      <c r="W11" s="90">
        <v>2018</v>
      </c>
      <c r="X11" s="90">
        <v>2019</v>
      </c>
      <c r="Y11" s="90">
        <v>2020</v>
      </c>
      <c r="Z11" s="18"/>
      <c r="AA11" s="18"/>
      <c r="AB11" s="18"/>
      <c r="AC11" s="18"/>
    </row>
    <row r="12" spans="1:30">
      <c r="A12" s="4"/>
      <c r="B12" s="5" t="s">
        <v>25</v>
      </c>
      <c r="C12" s="97">
        <v>421</v>
      </c>
      <c r="D12" s="97">
        <v>384</v>
      </c>
      <c r="E12" s="97">
        <v>376</v>
      </c>
      <c r="F12" s="97">
        <v>388</v>
      </c>
      <c r="G12" s="97">
        <v>365</v>
      </c>
      <c r="H12" s="97">
        <v>304</v>
      </c>
      <c r="I12" s="97">
        <v>295</v>
      </c>
      <c r="J12" s="97">
        <v>297</v>
      </c>
      <c r="K12" s="97">
        <v>296</v>
      </c>
      <c r="L12" s="97">
        <v>337</v>
      </c>
      <c r="M12" s="97">
        <v>330</v>
      </c>
      <c r="N12" s="97">
        <v>430</v>
      </c>
      <c r="O12" s="97">
        <v>364</v>
      </c>
      <c r="P12" s="97">
        <v>491</v>
      </c>
      <c r="Q12" s="97">
        <v>534</v>
      </c>
      <c r="R12" s="97">
        <v>488</v>
      </c>
      <c r="S12" s="97">
        <v>434</v>
      </c>
      <c r="T12" s="97">
        <v>396</v>
      </c>
      <c r="U12" s="97">
        <v>341</v>
      </c>
      <c r="V12" s="97">
        <v>312</v>
      </c>
      <c r="W12" s="97">
        <v>276</v>
      </c>
      <c r="X12" s="125">
        <v>218</v>
      </c>
      <c r="Y12" s="98">
        <v>308</v>
      </c>
      <c r="Z12" s="18"/>
      <c r="AA12" s="18"/>
      <c r="AB12" s="18"/>
      <c r="AC12" s="18"/>
    </row>
    <row r="13" spans="1:30">
      <c r="A13" s="4"/>
      <c r="B13" s="3" t="s">
        <v>26</v>
      </c>
      <c r="C13" s="99">
        <v>361</v>
      </c>
      <c r="D13" s="99">
        <v>358</v>
      </c>
      <c r="E13" s="99">
        <v>346</v>
      </c>
      <c r="F13" s="99">
        <v>338</v>
      </c>
      <c r="G13" s="99">
        <v>373</v>
      </c>
      <c r="H13" s="99">
        <v>335</v>
      </c>
      <c r="I13" s="99">
        <v>366</v>
      </c>
      <c r="J13" s="99">
        <v>479</v>
      </c>
      <c r="K13" s="99">
        <v>438</v>
      </c>
      <c r="L13" s="99">
        <v>369</v>
      </c>
      <c r="M13" s="99">
        <v>435</v>
      </c>
      <c r="N13" s="99">
        <v>356</v>
      </c>
      <c r="O13" s="100">
        <v>439</v>
      </c>
      <c r="P13" s="100">
        <v>648</v>
      </c>
      <c r="Q13" s="100">
        <v>579</v>
      </c>
      <c r="R13" s="100">
        <v>380</v>
      </c>
      <c r="S13" s="100">
        <v>364</v>
      </c>
      <c r="T13" s="100">
        <v>350</v>
      </c>
      <c r="U13" s="100">
        <v>357</v>
      </c>
      <c r="V13" s="100">
        <v>399</v>
      </c>
      <c r="W13" s="100">
        <v>394</v>
      </c>
      <c r="X13" s="100">
        <v>387</v>
      </c>
      <c r="Y13" s="101">
        <v>377</v>
      </c>
      <c r="Z13" s="18"/>
      <c r="AA13" s="18"/>
      <c r="AB13" s="18"/>
      <c r="AC13" s="18"/>
    </row>
    <row r="14" spans="1:30" ht="7.5" customHeight="1">
      <c r="A14" s="4"/>
      <c r="B14" s="18"/>
      <c r="C14" s="95"/>
      <c r="D14" s="95"/>
      <c r="E14" s="95"/>
      <c r="F14" s="95"/>
      <c r="G14" s="95"/>
      <c r="H14" s="95"/>
      <c r="I14" s="95"/>
      <c r="J14" s="95"/>
      <c r="K14" s="95"/>
      <c r="L14" s="95"/>
      <c r="M14" s="95"/>
      <c r="N14" s="95"/>
      <c r="O14" s="95"/>
      <c r="P14" s="95"/>
      <c r="Q14" s="95"/>
      <c r="R14" s="95"/>
      <c r="S14" s="95"/>
      <c r="T14" s="95"/>
      <c r="U14" s="95"/>
      <c r="V14" s="95"/>
      <c r="W14" s="95"/>
      <c r="X14" s="95"/>
      <c r="Y14" s="18"/>
      <c r="Z14" s="18"/>
      <c r="AA14" s="18"/>
      <c r="AB14" s="18"/>
      <c r="AC14" s="18"/>
    </row>
    <row r="15" spans="1:30" s="89" customFormat="1" ht="18" customHeight="1">
      <c r="A15" s="71"/>
      <c r="B15" s="11" t="s">
        <v>28</v>
      </c>
      <c r="C15" s="49"/>
      <c r="D15" s="50"/>
      <c r="E15" s="50"/>
      <c r="F15" s="50"/>
      <c r="G15" s="50"/>
      <c r="H15" s="50"/>
      <c r="I15" s="50"/>
      <c r="J15" s="50"/>
      <c r="K15" s="50"/>
      <c r="L15" s="50"/>
      <c r="M15" s="51"/>
      <c r="N15" s="50"/>
      <c r="O15" s="96"/>
      <c r="P15" s="96"/>
      <c r="Q15" s="96"/>
      <c r="R15" s="96"/>
      <c r="S15" s="96"/>
      <c r="T15" s="96"/>
      <c r="U15" s="96"/>
      <c r="V15" s="96"/>
      <c r="W15" s="96"/>
      <c r="X15" s="96"/>
      <c r="Y15" s="18"/>
      <c r="Z15" s="18"/>
      <c r="AA15" s="88"/>
      <c r="AB15" s="88"/>
      <c r="AC15" s="88"/>
    </row>
    <row r="16" spans="1:30">
      <c r="A16" s="4"/>
      <c r="B16" s="7"/>
      <c r="C16" s="6">
        <v>1998</v>
      </c>
      <c r="D16" s="6">
        <v>1999</v>
      </c>
      <c r="E16" s="6">
        <v>2000</v>
      </c>
      <c r="F16" s="6">
        <v>2001</v>
      </c>
      <c r="G16" s="6">
        <v>2002</v>
      </c>
      <c r="H16" s="6">
        <v>2003</v>
      </c>
      <c r="I16" s="6">
        <v>2004</v>
      </c>
      <c r="J16" s="6">
        <v>2005</v>
      </c>
      <c r="K16" s="6">
        <v>2006</v>
      </c>
      <c r="L16" s="6">
        <v>2007</v>
      </c>
      <c r="M16" s="6">
        <v>2008</v>
      </c>
      <c r="N16" s="6">
        <v>2009</v>
      </c>
      <c r="O16" s="6">
        <v>2010</v>
      </c>
      <c r="P16" s="6">
        <v>2011</v>
      </c>
      <c r="Q16" s="6">
        <v>2012</v>
      </c>
      <c r="R16" s="90">
        <v>2013</v>
      </c>
      <c r="S16" s="90">
        <v>2014</v>
      </c>
      <c r="T16" s="90">
        <v>2015</v>
      </c>
      <c r="U16" s="90">
        <v>2016</v>
      </c>
      <c r="V16" s="90">
        <v>2017</v>
      </c>
      <c r="W16" s="90">
        <v>2018</v>
      </c>
      <c r="X16" s="90">
        <v>2019</v>
      </c>
      <c r="Y16" s="90">
        <v>2020</v>
      </c>
      <c r="Z16" s="18"/>
      <c r="AA16" s="18"/>
      <c r="AB16" s="18"/>
      <c r="AC16" s="18"/>
    </row>
    <row r="17" spans="1:29">
      <c r="A17" s="4"/>
      <c r="B17" s="5" t="s">
        <v>25</v>
      </c>
      <c r="C17" s="52">
        <v>220</v>
      </c>
      <c r="D17" s="52">
        <v>200</v>
      </c>
      <c r="E17" s="52">
        <v>196</v>
      </c>
      <c r="F17" s="52">
        <v>202</v>
      </c>
      <c r="G17" s="52">
        <v>191</v>
      </c>
      <c r="H17" s="52">
        <v>159</v>
      </c>
      <c r="I17" s="52">
        <v>154</v>
      </c>
      <c r="J17" s="52">
        <v>155</v>
      </c>
      <c r="K17" s="52">
        <v>154</v>
      </c>
      <c r="L17" s="52">
        <v>176</v>
      </c>
      <c r="M17" s="52">
        <v>172</v>
      </c>
      <c r="N17" s="52">
        <v>224</v>
      </c>
      <c r="O17" s="52">
        <v>190</v>
      </c>
      <c r="P17" s="52">
        <v>256</v>
      </c>
      <c r="Q17" s="52">
        <v>279</v>
      </c>
      <c r="R17" s="52">
        <v>255</v>
      </c>
      <c r="S17" s="52">
        <v>226</v>
      </c>
      <c r="T17" s="52">
        <v>207</v>
      </c>
      <c r="U17" s="52">
        <v>178</v>
      </c>
      <c r="V17" s="52">
        <v>163</v>
      </c>
      <c r="W17" s="52">
        <v>144</v>
      </c>
      <c r="X17" s="126">
        <v>114</v>
      </c>
      <c r="Y17" s="98">
        <v>161</v>
      </c>
      <c r="Z17" s="18"/>
      <c r="AA17" s="18"/>
      <c r="AB17" s="18"/>
      <c r="AC17" s="18"/>
    </row>
    <row r="18" spans="1:29">
      <c r="A18" s="4"/>
      <c r="B18" s="3" t="s">
        <v>26</v>
      </c>
      <c r="C18" s="53">
        <v>64</v>
      </c>
      <c r="D18" s="53">
        <v>63</v>
      </c>
      <c r="E18" s="53">
        <v>61</v>
      </c>
      <c r="F18" s="53">
        <v>60</v>
      </c>
      <c r="G18" s="53">
        <v>66</v>
      </c>
      <c r="H18" s="53">
        <v>59</v>
      </c>
      <c r="I18" s="53">
        <v>65</v>
      </c>
      <c r="J18" s="53">
        <v>85</v>
      </c>
      <c r="K18" s="53">
        <v>77</v>
      </c>
      <c r="L18" s="53">
        <v>65</v>
      </c>
      <c r="M18" s="53">
        <v>77</v>
      </c>
      <c r="N18" s="53">
        <v>63</v>
      </c>
      <c r="O18" s="53">
        <v>78</v>
      </c>
      <c r="P18" s="53">
        <v>115</v>
      </c>
      <c r="Q18" s="53">
        <v>103</v>
      </c>
      <c r="R18" s="53">
        <v>67</v>
      </c>
      <c r="S18" s="53">
        <v>64</v>
      </c>
      <c r="T18" s="53">
        <v>62</v>
      </c>
      <c r="U18" s="53">
        <v>63</v>
      </c>
      <c r="V18" s="53">
        <v>71</v>
      </c>
      <c r="W18" s="53">
        <v>70</v>
      </c>
      <c r="X18" s="53">
        <v>69</v>
      </c>
      <c r="Y18" s="101">
        <v>67</v>
      </c>
      <c r="Z18" s="18"/>
      <c r="AA18" s="18"/>
      <c r="AB18" s="18"/>
      <c r="AC18" s="18"/>
    </row>
    <row r="19" spans="1:29">
      <c r="A19" s="4"/>
      <c r="B19" s="102" t="s">
        <v>29</v>
      </c>
      <c r="C19" s="103">
        <v>283</v>
      </c>
      <c r="D19" s="103">
        <v>264</v>
      </c>
      <c r="E19" s="103">
        <v>258</v>
      </c>
      <c r="F19" s="103">
        <v>262</v>
      </c>
      <c r="G19" s="103">
        <v>257</v>
      </c>
      <c r="H19" s="103">
        <v>218</v>
      </c>
      <c r="I19" s="103">
        <v>219</v>
      </c>
      <c r="J19" s="103">
        <v>240</v>
      </c>
      <c r="K19" s="103">
        <v>232</v>
      </c>
      <c r="L19" s="103">
        <v>241</v>
      </c>
      <c r="M19" s="103">
        <v>249</v>
      </c>
      <c r="N19" s="103">
        <v>288</v>
      </c>
      <c r="O19" s="103">
        <v>268</v>
      </c>
      <c r="P19" s="103">
        <v>371</v>
      </c>
      <c r="Q19" s="103">
        <v>381</v>
      </c>
      <c r="R19" s="103">
        <v>322</v>
      </c>
      <c r="S19" s="103">
        <v>291</v>
      </c>
      <c r="T19" s="103">
        <v>269</v>
      </c>
      <c r="U19" s="103">
        <v>241</v>
      </c>
      <c r="V19" s="103">
        <v>233</v>
      </c>
      <c r="W19" s="103">
        <v>214</v>
      </c>
      <c r="X19" s="103">
        <v>182</v>
      </c>
      <c r="Y19" s="104">
        <v>228</v>
      </c>
      <c r="Z19" s="18"/>
      <c r="AA19" s="18"/>
      <c r="AB19" s="18"/>
      <c r="AC19" s="18"/>
    </row>
    <row r="20" spans="1:29" ht="7.5" customHeight="1">
      <c r="A20" s="4"/>
      <c r="B20" s="18"/>
      <c r="C20" s="95"/>
      <c r="D20" s="95"/>
      <c r="E20" s="95"/>
      <c r="F20" s="95"/>
      <c r="G20" s="95"/>
      <c r="H20" s="95"/>
      <c r="I20" s="95"/>
      <c r="J20" s="95"/>
      <c r="K20" s="95"/>
      <c r="L20" s="95"/>
      <c r="M20" s="95"/>
      <c r="N20" s="95"/>
      <c r="O20" s="95"/>
      <c r="P20" s="95"/>
      <c r="Q20" s="95"/>
      <c r="R20" s="95"/>
      <c r="S20" s="95"/>
      <c r="T20" s="95"/>
      <c r="U20" s="95"/>
      <c r="V20" s="95"/>
      <c r="W20" s="18"/>
      <c r="X20" s="18"/>
      <c r="Y20" s="18"/>
      <c r="Z20" s="18"/>
      <c r="AA20" s="18"/>
      <c r="AB20" s="18"/>
      <c r="AC20" s="18"/>
    </row>
    <row r="21" spans="1:29" s="89" customFormat="1" ht="18" customHeight="1">
      <c r="A21" s="71"/>
      <c r="B21" s="54" t="s">
        <v>30</v>
      </c>
      <c r="C21" s="55"/>
      <c r="D21" s="56"/>
      <c r="E21" s="56"/>
      <c r="F21" s="56"/>
      <c r="G21" s="56"/>
      <c r="H21" s="56"/>
      <c r="I21" s="56"/>
      <c r="J21" s="56"/>
      <c r="K21" s="56"/>
      <c r="L21" s="56"/>
      <c r="M21" s="51"/>
      <c r="N21" s="50"/>
      <c r="O21" s="96"/>
      <c r="P21" s="96"/>
      <c r="Q21" s="96"/>
      <c r="R21" s="96"/>
      <c r="S21" s="96"/>
      <c r="T21" s="96"/>
      <c r="U21" s="96"/>
      <c r="V21" s="96"/>
      <c r="W21" s="88"/>
      <c r="X21" s="88"/>
      <c r="Y21" s="88"/>
      <c r="Z21" s="88"/>
      <c r="AA21" s="88"/>
      <c r="AB21" s="88"/>
      <c r="AC21" s="88"/>
    </row>
    <row r="22" spans="1:29">
      <c r="A22" s="4"/>
      <c r="B22" s="7"/>
      <c r="C22" s="6">
        <v>1998</v>
      </c>
      <c r="D22" s="6">
        <v>1999</v>
      </c>
      <c r="E22" s="6">
        <v>2000</v>
      </c>
      <c r="F22" s="6">
        <v>2001</v>
      </c>
      <c r="G22" s="6">
        <v>2002</v>
      </c>
      <c r="H22" s="6">
        <v>2003</v>
      </c>
      <c r="I22" s="6">
        <v>2004</v>
      </c>
      <c r="J22" s="6">
        <v>2005</v>
      </c>
      <c r="K22" s="6">
        <v>2006</v>
      </c>
      <c r="L22" s="6">
        <v>2007</v>
      </c>
      <c r="M22" s="6">
        <v>2008</v>
      </c>
      <c r="N22" s="6">
        <v>2009</v>
      </c>
      <c r="O22" s="6">
        <v>2010</v>
      </c>
      <c r="P22" s="6">
        <v>2011</v>
      </c>
      <c r="Q22" s="6">
        <v>2012</v>
      </c>
      <c r="R22" s="90">
        <v>2013</v>
      </c>
      <c r="S22" s="90">
        <v>2014</v>
      </c>
      <c r="T22" s="90">
        <v>2015</v>
      </c>
      <c r="U22" s="90">
        <v>2016</v>
      </c>
      <c r="V22" s="90">
        <v>2017</v>
      </c>
      <c r="W22" s="90">
        <v>2018</v>
      </c>
      <c r="X22" s="90">
        <v>2019</v>
      </c>
      <c r="Y22" s="90">
        <v>2020</v>
      </c>
      <c r="Z22" s="90">
        <v>2021</v>
      </c>
      <c r="AA22" s="18"/>
      <c r="AB22" s="18"/>
      <c r="AC22" s="18"/>
    </row>
    <row r="23" spans="1:29">
      <c r="A23" s="4"/>
      <c r="B23" s="5" t="s">
        <v>25</v>
      </c>
      <c r="C23" s="45">
        <v>2248</v>
      </c>
      <c r="D23" s="45">
        <v>3371</v>
      </c>
      <c r="E23" s="45">
        <v>1728</v>
      </c>
      <c r="F23" s="45">
        <v>3342</v>
      </c>
      <c r="G23" s="45">
        <v>2261</v>
      </c>
      <c r="H23" s="45">
        <v>4669</v>
      </c>
      <c r="I23" s="45">
        <v>3845</v>
      </c>
      <c r="J23" s="45">
        <v>4009</v>
      </c>
      <c r="K23" s="45">
        <v>3452</v>
      </c>
      <c r="L23" s="45">
        <v>4554</v>
      </c>
      <c r="M23" s="45">
        <v>3806</v>
      </c>
      <c r="N23" s="45">
        <v>5852</v>
      </c>
      <c r="O23" s="45">
        <v>7703</v>
      </c>
      <c r="P23" s="45">
        <v>4449</v>
      </c>
      <c r="Q23" s="45">
        <v>6733</v>
      </c>
      <c r="R23" s="45">
        <v>2791</v>
      </c>
      <c r="S23" s="45">
        <v>2906</v>
      </c>
      <c r="T23" s="105">
        <v>6520</v>
      </c>
      <c r="U23" s="45">
        <v>5361</v>
      </c>
      <c r="V23" s="45">
        <v>5334</v>
      </c>
      <c r="W23" s="106">
        <v>2779</v>
      </c>
      <c r="X23" s="106">
        <v>3572</v>
      </c>
      <c r="Y23" s="107">
        <v>4713</v>
      </c>
      <c r="Z23" s="107">
        <v>4713</v>
      </c>
      <c r="AA23" s="18"/>
      <c r="AB23" s="18"/>
      <c r="AC23" s="18"/>
    </row>
    <row r="24" spans="1:29">
      <c r="A24" s="4"/>
      <c r="B24" s="3" t="s">
        <v>26</v>
      </c>
      <c r="C24" s="47">
        <v>7238</v>
      </c>
      <c r="D24" s="47">
        <v>11780</v>
      </c>
      <c r="E24" s="47">
        <v>14652</v>
      </c>
      <c r="F24" s="47">
        <v>10047</v>
      </c>
      <c r="G24" s="47">
        <v>10004</v>
      </c>
      <c r="H24" s="47">
        <v>11681</v>
      </c>
      <c r="I24" s="47">
        <v>7285</v>
      </c>
      <c r="J24" s="47">
        <v>7137</v>
      </c>
      <c r="K24" s="47">
        <v>9793</v>
      </c>
      <c r="L24" s="47">
        <v>11114</v>
      </c>
      <c r="M24" s="47">
        <v>12298</v>
      </c>
      <c r="N24" s="47">
        <v>8818</v>
      </c>
      <c r="O24" s="47">
        <v>5860</v>
      </c>
      <c r="P24" s="47">
        <v>6624</v>
      </c>
      <c r="Q24" s="47">
        <v>5253</v>
      </c>
      <c r="R24" s="47">
        <v>5188</v>
      </c>
      <c r="S24" s="47">
        <v>4382</v>
      </c>
      <c r="T24" s="108">
        <v>2344</v>
      </c>
      <c r="U24" s="47">
        <v>2980</v>
      </c>
      <c r="V24" s="47">
        <v>6974</v>
      </c>
      <c r="W24" s="108">
        <v>6839</v>
      </c>
      <c r="X24" s="108">
        <v>5591</v>
      </c>
      <c r="Y24" s="109">
        <v>4946</v>
      </c>
      <c r="Z24" s="109">
        <v>4946</v>
      </c>
      <c r="AA24" s="18"/>
      <c r="AB24" s="18"/>
      <c r="AC24" s="18"/>
    </row>
    <row r="25" spans="1:29" ht="7.5" customHeight="1">
      <c r="A25" s="4"/>
      <c r="B25" s="18"/>
      <c r="C25" s="95"/>
      <c r="D25" s="95"/>
      <c r="E25" s="95"/>
      <c r="F25" s="95"/>
      <c r="G25" s="95"/>
      <c r="H25" s="95"/>
      <c r="I25" s="95"/>
      <c r="J25" s="95"/>
      <c r="K25" s="95"/>
      <c r="L25" s="95"/>
      <c r="M25" s="95"/>
      <c r="N25" s="95"/>
      <c r="O25" s="95"/>
      <c r="P25" s="95"/>
      <c r="Q25" s="95"/>
      <c r="R25" s="95"/>
      <c r="S25" s="95"/>
      <c r="T25" s="95"/>
      <c r="U25" s="95"/>
      <c r="V25" s="110"/>
      <c r="W25" s="110"/>
      <c r="X25" s="110"/>
      <c r="Y25" s="110"/>
      <c r="Z25" s="110"/>
      <c r="AA25" s="18"/>
      <c r="AB25" s="18"/>
      <c r="AC25" s="18"/>
    </row>
    <row r="26" spans="1:29" s="89" customFormat="1" ht="18" customHeight="1">
      <c r="A26" s="71"/>
      <c r="B26" s="54" t="s">
        <v>31</v>
      </c>
      <c r="C26" s="55"/>
      <c r="D26" s="56"/>
      <c r="E26" s="56"/>
      <c r="F26" s="56"/>
      <c r="G26" s="56"/>
      <c r="H26" s="56"/>
      <c r="I26" s="56"/>
      <c r="J26" s="56"/>
      <c r="K26" s="56"/>
      <c r="L26" s="56"/>
      <c r="M26" s="51"/>
      <c r="N26" s="50"/>
      <c r="O26" s="96"/>
      <c r="P26" s="96"/>
      <c r="Q26" s="96"/>
      <c r="R26" s="96"/>
      <c r="S26" s="96"/>
      <c r="T26" s="96"/>
      <c r="U26" s="96"/>
      <c r="V26" s="111"/>
      <c r="W26" s="112"/>
      <c r="X26" s="112"/>
      <c r="Y26" s="112"/>
      <c r="Z26" s="112"/>
      <c r="AA26" s="88"/>
      <c r="AB26" s="88"/>
      <c r="AC26" s="88"/>
    </row>
    <row r="27" spans="1:29">
      <c r="A27" s="4"/>
      <c r="B27" s="7"/>
      <c r="C27" s="6">
        <v>1998</v>
      </c>
      <c r="D27" s="6">
        <v>1999</v>
      </c>
      <c r="E27" s="6">
        <v>2000</v>
      </c>
      <c r="F27" s="6">
        <v>2001</v>
      </c>
      <c r="G27" s="6">
        <v>2002</v>
      </c>
      <c r="H27" s="6">
        <v>2003</v>
      </c>
      <c r="I27" s="6">
        <v>2004</v>
      </c>
      <c r="J27" s="6">
        <v>2005</v>
      </c>
      <c r="K27" s="6">
        <v>2006</v>
      </c>
      <c r="L27" s="6">
        <v>2007</v>
      </c>
      <c r="M27" s="6">
        <v>2008</v>
      </c>
      <c r="N27" s="6">
        <v>2009</v>
      </c>
      <c r="O27" s="6">
        <v>2010</v>
      </c>
      <c r="P27" s="6">
        <v>2011</v>
      </c>
      <c r="Q27" s="6">
        <v>2012</v>
      </c>
      <c r="R27" s="90">
        <v>2013</v>
      </c>
      <c r="S27" s="90">
        <v>2014</v>
      </c>
      <c r="T27" s="90">
        <v>2015</v>
      </c>
      <c r="U27" s="90">
        <v>2016</v>
      </c>
      <c r="V27" s="90">
        <v>2017</v>
      </c>
      <c r="W27" s="90">
        <v>2018</v>
      </c>
      <c r="X27" s="90">
        <v>2019</v>
      </c>
      <c r="Y27" s="90">
        <v>2020</v>
      </c>
      <c r="Z27" s="90">
        <v>2021</v>
      </c>
      <c r="AA27" s="18"/>
      <c r="AB27" s="18"/>
      <c r="AC27" s="18"/>
    </row>
    <row r="28" spans="1:29">
      <c r="A28" s="4"/>
      <c r="B28" s="5" t="s">
        <v>25</v>
      </c>
      <c r="C28" s="45">
        <v>1173</v>
      </c>
      <c r="D28" s="45">
        <v>1760</v>
      </c>
      <c r="E28" s="45">
        <v>902</v>
      </c>
      <c r="F28" s="45">
        <v>1744</v>
      </c>
      <c r="G28" s="45">
        <v>1180</v>
      </c>
      <c r="H28" s="45">
        <v>2437</v>
      </c>
      <c r="I28" s="45">
        <v>2007</v>
      </c>
      <c r="J28" s="45">
        <v>2093</v>
      </c>
      <c r="K28" s="45">
        <v>1802</v>
      </c>
      <c r="L28" s="45">
        <v>2377</v>
      </c>
      <c r="M28" s="45">
        <v>1987</v>
      </c>
      <c r="N28" s="45">
        <v>3055</v>
      </c>
      <c r="O28" s="45">
        <v>4021</v>
      </c>
      <c r="P28" s="45">
        <v>2322</v>
      </c>
      <c r="Q28" s="45">
        <v>3514</v>
      </c>
      <c r="R28" s="45">
        <v>1457</v>
      </c>
      <c r="S28" s="45">
        <v>1517</v>
      </c>
      <c r="T28" s="45">
        <v>3403</v>
      </c>
      <c r="U28" s="45">
        <v>2798</v>
      </c>
      <c r="V28" s="45">
        <v>2784</v>
      </c>
      <c r="W28" s="45">
        <v>1451</v>
      </c>
      <c r="X28" s="45">
        <v>1865</v>
      </c>
      <c r="Y28" s="57">
        <v>2460</v>
      </c>
      <c r="Z28" s="57">
        <v>2460</v>
      </c>
      <c r="AA28" s="18"/>
      <c r="AB28" s="18"/>
      <c r="AC28" s="18"/>
    </row>
    <row r="29" spans="1:29">
      <c r="A29" s="4"/>
      <c r="B29" s="3" t="s">
        <v>26</v>
      </c>
      <c r="C29" s="47">
        <v>1281</v>
      </c>
      <c r="D29" s="47">
        <v>2085</v>
      </c>
      <c r="E29" s="47">
        <v>2593</v>
      </c>
      <c r="F29" s="47">
        <v>1778</v>
      </c>
      <c r="G29" s="47">
        <v>1771</v>
      </c>
      <c r="H29" s="47">
        <v>2068</v>
      </c>
      <c r="I29" s="47">
        <v>1289</v>
      </c>
      <c r="J29" s="47">
        <v>1263</v>
      </c>
      <c r="K29" s="47">
        <v>1733</v>
      </c>
      <c r="L29" s="47">
        <v>1967</v>
      </c>
      <c r="M29" s="47">
        <v>2177</v>
      </c>
      <c r="N29" s="47">
        <v>1561</v>
      </c>
      <c r="O29" s="47">
        <v>1037</v>
      </c>
      <c r="P29" s="47">
        <v>1172</v>
      </c>
      <c r="Q29" s="47">
        <v>930</v>
      </c>
      <c r="R29" s="47">
        <v>918</v>
      </c>
      <c r="S29" s="47">
        <v>776</v>
      </c>
      <c r="T29" s="47">
        <v>415</v>
      </c>
      <c r="U29" s="47">
        <v>528</v>
      </c>
      <c r="V29" s="47">
        <v>1234</v>
      </c>
      <c r="W29" s="47">
        <v>1211</v>
      </c>
      <c r="X29" s="47">
        <v>990</v>
      </c>
      <c r="Y29" s="58">
        <v>875</v>
      </c>
      <c r="Z29" s="58">
        <v>875</v>
      </c>
      <c r="AA29" s="18"/>
      <c r="AB29" s="18"/>
      <c r="AC29" s="18"/>
    </row>
    <row r="30" spans="1:29" ht="18" customHeight="1">
      <c r="A30" s="4"/>
      <c r="B30" s="102" t="s">
        <v>29</v>
      </c>
      <c r="C30" s="59">
        <v>2455</v>
      </c>
      <c r="D30" s="59">
        <v>3845</v>
      </c>
      <c r="E30" s="59">
        <v>3495</v>
      </c>
      <c r="F30" s="59">
        <v>3523</v>
      </c>
      <c r="G30" s="59">
        <v>2951</v>
      </c>
      <c r="H30" s="59">
        <v>4505</v>
      </c>
      <c r="I30" s="59">
        <v>3297</v>
      </c>
      <c r="J30" s="59">
        <v>3356</v>
      </c>
      <c r="K30" s="59">
        <v>3536</v>
      </c>
      <c r="L30" s="59">
        <v>4344</v>
      </c>
      <c r="M30" s="59">
        <v>4163</v>
      </c>
      <c r="N30" s="59">
        <v>4616</v>
      </c>
      <c r="O30" s="59">
        <v>5058</v>
      </c>
      <c r="P30" s="59">
        <v>3495</v>
      </c>
      <c r="Q30" s="59">
        <v>4444</v>
      </c>
      <c r="R30" s="59">
        <v>2375</v>
      </c>
      <c r="S30" s="59">
        <v>2293</v>
      </c>
      <c r="T30" s="59">
        <v>3818</v>
      </c>
      <c r="U30" s="59">
        <v>3326</v>
      </c>
      <c r="V30" s="59">
        <v>4018</v>
      </c>
      <c r="W30" s="59">
        <v>2661</v>
      </c>
      <c r="X30" s="59">
        <v>2854</v>
      </c>
      <c r="Y30" s="60">
        <v>3336</v>
      </c>
      <c r="Z30" s="60">
        <v>3336</v>
      </c>
      <c r="AA30" s="18"/>
      <c r="AB30" s="18"/>
      <c r="AC30" s="18"/>
    </row>
    <row r="31" spans="1:29" ht="18" customHeight="1">
      <c r="A31" s="4"/>
      <c r="B31" s="102" t="s">
        <v>32</v>
      </c>
      <c r="C31" s="59">
        <v>1217</v>
      </c>
      <c r="D31" s="59">
        <v>2022</v>
      </c>
      <c r="E31" s="59">
        <v>2532</v>
      </c>
      <c r="F31" s="59">
        <v>1718</v>
      </c>
      <c r="G31" s="59">
        <v>1705</v>
      </c>
      <c r="H31" s="59">
        <v>2008</v>
      </c>
      <c r="I31" s="59">
        <v>1225</v>
      </c>
      <c r="J31" s="59">
        <v>1178</v>
      </c>
      <c r="K31" s="59">
        <v>1656</v>
      </c>
      <c r="L31" s="59">
        <v>1902</v>
      </c>
      <c r="M31" s="59">
        <v>2100</v>
      </c>
      <c r="N31" s="59">
        <v>1498</v>
      </c>
      <c r="O31" s="59">
        <v>960</v>
      </c>
      <c r="P31" s="59">
        <v>1058</v>
      </c>
      <c r="Q31" s="113">
        <v>827</v>
      </c>
      <c r="R31" s="59">
        <v>851</v>
      </c>
      <c r="S31" s="59">
        <v>711</v>
      </c>
      <c r="T31" s="59">
        <v>353</v>
      </c>
      <c r="U31" s="59">
        <v>464</v>
      </c>
      <c r="V31" s="59">
        <v>1164</v>
      </c>
      <c r="W31" s="59">
        <v>1141</v>
      </c>
      <c r="X31" s="59">
        <v>921</v>
      </c>
      <c r="Y31" s="59">
        <v>809</v>
      </c>
      <c r="Z31" s="59"/>
      <c r="AB31" s="18"/>
      <c r="AC31" s="18"/>
    </row>
    <row r="32" spans="1:29" s="89" customFormat="1" ht="7.5" customHeight="1">
      <c r="A32" s="71"/>
      <c r="B32" s="18"/>
      <c r="C32" s="95"/>
      <c r="D32" s="95"/>
      <c r="E32" s="95"/>
      <c r="F32" s="95"/>
      <c r="G32" s="95"/>
      <c r="H32" s="95"/>
      <c r="I32" s="95"/>
      <c r="J32" s="95"/>
      <c r="K32" s="95"/>
      <c r="L32" s="95"/>
      <c r="M32" s="95"/>
      <c r="N32" s="95"/>
      <c r="O32" s="95"/>
      <c r="P32" s="95"/>
      <c r="Q32" s="95"/>
      <c r="R32" s="95"/>
      <c r="S32" s="95"/>
      <c r="T32" s="95"/>
      <c r="U32" s="95"/>
      <c r="V32" s="95"/>
      <c r="W32" s="18"/>
      <c r="X32" s="18"/>
      <c r="Y32" s="18"/>
      <c r="Z32" s="18"/>
      <c r="AA32" s="18"/>
      <c r="AB32" s="88"/>
      <c r="AC32" s="88"/>
    </row>
    <row r="33" spans="1:29">
      <c r="A33" s="4"/>
      <c r="B33" s="10" t="s">
        <v>33</v>
      </c>
      <c r="C33" s="8"/>
      <c r="D33" s="50"/>
      <c r="E33" s="50"/>
      <c r="F33" s="50"/>
      <c r="G33" s="50"/>
      <c r="H33" s="50"/>
      <c r="I33" s="50"/>
      <c r="J33" s="50"/>
      <c r="K33" s="50"/>
      <c r="L33" s="50"/>
      <c r="M33" s="50"/>
      <c r="N33" s="50"/>
      <c r="O33" s="96"/>
      <c r="P33" s="96"/>
      <c r="Q33" s="96"/>
      <c r="R33" s="96"/>
      <c r="S33" s="96"/>
      <c r="T33" s="96"/>
      <c r="U33" s="96"/>
      <c r="V33" s="96"/>
      <c r="W33" s="96"/>
      <c r="X33" s="96"/>
      <c r="Y33" s="96"/>
      <c r="Z33" s="88"/>
      <c r="AA33" s="88"/>
      <c r="AB33" s="18"/>
      <c r="AC33" s="18"/>
    </row>
    <row r="34" spans="1:29">
      <c r="A34" s="4"/>
      <c r="B34" s="7"/>
      <c r="C34" s="6">
        <v>1998</v>
      </c>
      <c r="D34" s="6">
        <v>1999</v>
      </c>
      <c r="E34" s="6">
        <v>2000</v>
      </c>
      <c r="F34" s="6">
        <v>2001</v>
      </c>
      <c r="G34" s="6">
        <v>2002</v>
      </c>
      <c r="H34" s="6">
        <v>2003</v>
      </c>
      <c r="I34" s="6">
        <v>2004</v>
      </c>
      <c r="J34" s="6">
        <v>2005</v>
      </c>
      <c r="K34" s="6">
        <v>2006</v>
      </c>
      <c r="L34" s="6">
        <v>2007</v>
      </c>
      <c r="M34" s="6">
        <v>2008</v>
      </c>
      <c r="N34" s="6">
        <v>2009</v>
      </c>
      <c r="O34" s="6">
        <v>2010</v>
      </c>
      <c r="P34" s="6">
        <v>2011</v>
      </c>
      <c r="Q34" s="6">
        <v>2012</v>
      </c>
      <c r="R34" s="90">
        <v>2013</v>
      </c>
      <c r="S34" s="90">
        <v>2014</v>
      </c>
      <c r="T34" s="90">
        <v>2015</v>
      </c>
      <c r="U34" s="90">
        <v>2016</v>
      </c>
      <c r="V34" s="90">
        <v>2017</v>
      </c>
      <c r="W34" s="90">
        <v>2018</v>
      </c>
      <c r="X34" s="90">
        <v>2019</v>
      </c>
      <c r="Y34" s="90">
        <v>2020</v>
      </c>
      <c r="Z34" s="18"/>
      <c r="AA34" s="18"/>
      <c r="AB34" s="18"/>
      <c r="AC34" s="18"/>
    </row>
    <row r="35" spans="1:29">
      <c r="A35" s="4"/>
      <c r="B35" s="5" t="s">
        <v>25</v>
      </c>
      <c r="C35" s="61">
        <v>18.7</v>
      </c>
      <c r="D35" s="61">
        <v>11.4</v>
      </c>
      <c r="E35" s="61">
        <v>21.8</v>
      </c>
      <c r="F35" s="61">
        <v>11.6</v>
      </c>
      <c r="G35" s="61">
        <v>16.2</v>
      </c>
      <c r="H35" s="61">
        <v>6.5</v>
      </c>
      <c r="I35" s="61">
        <v>7.7</v>
      </c>
      <c r="J35" s="61">
        <v>7.4</v>
      </c>
      <c r="K35" s="61">
        <v>8.6</v>
      </c>
      <c r="L35" s="61">
        <v>7.4</v>
      </c>
      <c r="M35" s="61">
        <v>8.6999999999999993</v>
      </c>
      <c r="N35" s="61">
        <v>7.3</v>
      </c>
      <c r="O35" s="61">
        <v>4.7</v>
      </c>
      <c r="P35" s="61">
        <v>11</v>
      </c>
      <c r="Q35" s="61">
        <v>7.9</v>
      </c>
      <c r="R35" s="61">
        <v>17.5</v>
      </c>
      <c r="S35" s="61">
        <v>14.9</v>
      </c>
      <c r="T35" s="61">
        <v>6.1</v>
      </c>
      <c r="U35" s="61">
        <v>6.4</v>
      </c>
      <c r="V35" s="61">
        <v>5.8</v>
      </c>
      <c r="W35" s="61">
        <v>9.9</v>
      </c>
      <c r="X35" s="61">
        <v>6.1</v>
      </c>
      <c r="Y35" s="62">
        <v>6.5</v>
      </c>
      <c r="Z35" s="18"/>
      <c r="AA35" s="18"/>
      <c r="AB35" s="18"/>
      <c r="AC35" s="18"/>
    </row>
    <row r="36" spans="1:29">
      <c r="A36" s="4"/>
      <c r="B36" s="3" t="s">
        <v>26</v>
      </c>
      <c r="C36" s="63">
        <v>5</v>
      </c>
      <c r="D36" s="63">
        <v>3</v>
      </c>
      <c r="E36" s="63">
        <v>2.4</v>
      </c>
      <c r="F36" s="63">
        <v>3.4</v>
      </c>
      <c r="G36" s="63">
        <v>3.7</v>
      </c>
      <c r="H36" s="63">
        <v>2.9</v>
      </c>
      <c r="I36" s="63">
        <v>5</v>
      </c>
      <c r="J36" s="63">
        <v>6.7</v>
      </c>
      <c r="K36" s="63">
        <v>4.5</v>
      </c>
      <c r="L36" s="63">
        <v>3.3</v>
      </c>
      <c r="M36" s="63">
        <v>3.5</v>
      </c>
      <c r="N36" s="63">
        <v>4</v>
      </c>
      <c r="O36" s="63">
        <v>7.5</v>
      </c>
      <c r="P36" s="63">
        <v>9.8000000000000007</v>
      </c>
      <c r="Q36" s="63">
        <v>11</v>
      </c>
      <c r="R36" s="63">
        <v>7.3</v>
      </c>
      <c r="S36" s="63">
        <v>8.3000000000000007</v>
      </c>
      <c r="T36" s="63">
        <v>14.9</v>
      </c>
      <c r="U36" s="63">
        <v>12</v>
      </c>
      <c r="V36" s="63">
        <v>5.7</v>
      </c>
      <c r="W36" s="63">
        <v>5.8</v>
      </c>
      <c r="X36" s="63">
        <v>6.9</v>
      </c>
      <c r="Y36" s="64">
        <v>7.6</v>
      </c>
      <c r="Z36" s="18"/>
      <c r="AA36" s="18"/>
      <c r="AB36" s="18"/>
      <c r="AC36" s="18"/>
    </row>
    <row r="37" spans="1:29" ht="18" customHeight="1">
      <c r="A37" s="4"/>
      <c r="B37" s="9" t="s">
        <v>34</v>
      </c>
      <c r="C37" s="65">
        <v>11.5</v>
      </c>
      <c r="D37" s="65">
        <v>6.9</v>
      </c>
      <c r="E37" s="65">
        <v>7.4</v>
      </c>
      <c r="F37" s="65">
        <v>7.4</v>
      </c>
      <c r="G37" s="65">
        <v>8.6999999999999993</v>
      </c>
      <c r="H37" s="65">
        <v>4.8</v>
      </c>
      <c r="I37" s="65">
        <v>6.6</v>
      </c>
      <c r="J37" s="65">
        <v>7.2</v>
      </c>
      <c r="K37" s="65">
        <v>6.6</v>
      </c>
      <c r="L37" s="65">
        <v>5.6</v>
      </c>
      <c r="M37" s="65">
        <v>6</v>
      </c>
      <c r="N37" s="65">
        <v>6.2</v>
      </c>
      <c r="O37" s="65">
        <v>5.3</v>
      </c>
      <c r="P37" s="65">
        <v>10.6</v>
      </c>
      <c r="Q37" s="114">
        <v>8.6</v>
      </c>
      <c r="R37" s="65">
        <v>13.6</v>
      </c>
      <c r="S37" s="65">
        <v>12.7</v>
      </c>
      <c r="T37" s="65">
        <v>7</v>
      </c>
      <c r="U37" s="65">
        <v>7.2</v>
      </c>
      <c r="V37" s="65">
        <v>5.8</v>
      </c>
      <c r="W37" s="65">
        <v>8</v>
      </c>
      <c r="X37" s="65">
        <v>6.4</v>
      </c>
      <c r="Y37" s="66">
        <v>6.8</v>
      </c>
      <c r="Z37" s="18"/>
      <c r="AA37" s="18"/>
      <c r="AB37" s="18"/>
      <c r="AC37" s="18"/>
    </row>
    <row r="38" spans="1:29" s="89" customFormat="1" ht="7.5" customHeight="1">
      <c r="A38" s="71"/>
      <c r="B38" s="18"/>
      <c r="C38" s="95"/>
      <c r="D38" s="95"/>
      <c r="E38" s="95"/>
      <c r="F38" s="95"/>
      <c r="G38" s="95"/>
      <c r="H38" s="95"/>
      <c r="I38" s="95"/>
      <c r="J38" s="95"/>
      <c r="K38" s="95"/>
      <c r="L38" s="95"/>
      <c r="M38" s="95"/>
      <c r="N38" s="95"/>
      <c r="O38" s="95"/>
      <c r="P38" s="95"/>
      <c r="Q38" s="95"/>
      <c r="R38" s="95"/>
      <c r="S38" s="95"/>
      <c r="T38" s="95"/>
      <c r="U38" s="95"/>
      <c r="V38" s="95"/>
      <c r="W38" s="18"/>
      <c r="X38" s="18"/>
      <c r="Y38" s="18"/>
      <c r="Z38" s="18"/>
      <c r="AA38" s="18"/>
      <c r="AB38" s="88"/>
      <c r="AC38" s="88"/>
    </row>
    <row r="39" spans="1:29">
      <c r="A39" s="4"/>
      <c r="B39" s="8" t="s">
        <v>35</v>
      </c>
      <c r="C39" s="49"/>
      <c r="D39" s="50"/>
      <c r="E39" s="50"/>
      <c r="F39" s="50"/>
      <c r="G39" s="50"/>
      <c r="H39" s="50"/>
      <c r="I39" s="50"/>
      <c r="J39" s="50"/>
      <c r="K39" s="50"/>
      <c r="L39" s="50"/>
      <c r="M39" s="50"/>
      <c r="N39" s="50"/>
      <c r="O39" s="96"/>
      <c r="P39" s="96"/>
      <c r="Q39" s="96"/>
      <c r="R39" s="96"/>
      <c r="S39" s="96"/>
      <c r="T39" s="96"/>
      <c r="U39" s="96"/>
      <c r="V39" s="96"/>
      <c r="W39" s="96"/>
      <c r="X39" s="96"/>
      <c r="Y39" s="96"/>
      <c r="Z39" s="88"/>
      <c r="AA39" s="88"/>
      <c r="AB39" s="115"/>
      <c r="AC39" s="115"/>
    </row>
    <row r="40" spans="1:29">
      <c r="A40" s="4"/>
      <c r="B40" s="7"/>
      <c r="C40" s="6">
        <v>1998</v>
      </c>
      <c r="D40" s="6">
        <v>1999</v>
      </c>
      <c r="E40" s="6">
        <v>2000</v>
      </c>
      <c r="F40" s="6">
        <v>2001</v>
      </c>
      <c r="G40" s="6">
        <v>2002</v>
      </c>
      <c r="H40" s="6">
        <v>2003</v>
      </c>
      <c r="I40" s="6">
        <v>2004</v>
      </c>
      <c r="J40" s="6">
        <v>2005</v>
      </c>
      <c r="K40" s="6">
        <v>2006</v>
      </c>
      <c r="L40" s="6">
        <v>2007</v>
      </c>
      <c r="M40" s="6">
        <v>2008</v>
      </c>
      <c r="N40" s="6">
        <v>2009</v>
      </c>
      <c r="O40" s="6">
        <v>2010</v>
      </c>
      <c r="P40" s="6">
        <v>2011</v>
      </c>
      <c r="Q40" s="6">
        <v>2012</v>
      </c>
      <c r="R40" s="90">
        <v>2013</v>
      </c>
      <c r="S40" s="90">
        <v>2014</v>
      </c>
      <c r="T40" s="90">
        <v>2015</v>
      </c>
      <c r="U40" s="90">
        <v>2016</v>
      </c>
      <c r="V40" s="90">
        <v>2017</v>
      </c>
      <c r="W40" s="90">
        <v>2018</v>
      </c>
      <c r="X40" s="90">
        <v>2019</v>
      </c>
      <c r="Y40" s="90">
        <v>2020</v>
      </c>
      <c r="Z40" s="18"/>
      <c r="AA40" s="116" t="s">
        <v>61</v>
      </c>
      <c r="AB40" s="117"/>
      <c r="AC40" s="117"/>
    </row>
    <row r="41" spans="1:29">
      <c r="A41" s="4"/>
      <c r="B41" s="5" t="s">
        <v>25</v>
      </c>
      <c r="C41" s="67">
        <v>0.21</v>
      </c>
      <c r="D41" s="67">
        <v>0.12</v>
      </c>
      <c r="E41" s="67">
        <v>0.25</v>
      </c>
      <c r="F41" s="67">
        <v>0.12</v>
      </c>
      <c r="G41" s="67">
        <v>0.18</v>
      </c>
      <c r="H41" s="67">
        <v>7.0000000000000007E-2</v>
      </c>
      <c r="I41" s="67">
        <v>0.08</v>
      </c>
      <c r="J41" s="67">
        <v>0.08</v>
      </c>
      <c r="K41" s="67">
        <v>0.09</v>
      </c>
      <c r="L41" s="67">
        <v>0.08</v>
      </c>
      <c r="M41" s="67">
        <v>0.09</v>
      </c>
      <c r="N41" s="67">
        <v>0.08</v>
      </c>
      <c r="O41" s="67">
        <v>0.05</v>
      </c>
      <c r="P41" s="67">
        <v>0.12</v>
      </c>
      <c r="Q41" s="67">
        <v>0.08</v>
      </c>
      <c r="R41" s="67">
        <v>0.19</v>
      </c>
      <c r="S41" s="67">
        <v>0.16</v>
      </c>
      <c r="T41" s="67">
        <v>0.06</v>
      </c>
      <c r="U41" s="67">
        <v>7.0000000000000007E-2</v>
      </c>
      <c r="V41" s="67">
        <v>0.06</v>
      </c>
      <c r="W41" s="67">
        <v>0.1</v>
      </c>
      <c r="X41" s="67">
        <v>0.06</v>
      </c>
      <c r="Y41" s="68">
        <v>7.0000000000000007E-2</v>
      </c>
      <c r="Z41" s="18"/>
      <c r="AA41" s="117">
        <v>7.0000000000000007E-2</v>
      </c>
      <c r="AB41" s="117"/>
      <c r="AC41" s="117"/>
    </row>
    <row r="42" spans="1:29" ht="18" customHeight="1">
      <c r="A42" s="18"/>
      <c r="B42" s="3" t="s">
        <v>26</v>
      </c>
      <c r="C42" s="69">
        <v>0.05</v>
      </c>
      <c r="D42" s="69">
        <v>0.03</v>
      </c>
      <c r="E42" s="69">
        <v>0.02</v>
      </c>
      <c r="F42" s="69">
        <v>0.03</v>
      </c>
      <c r="G42" s="69">
        <v>0.04</v>
      </c>
      <c r="H42" s="69">
        <v>0.03</v>
      </c>
      <c r="I42" s="69">
        <v>0.05</v>
      </c>
      <c r="J42" s="69">
        <v>7.0000000000000007E-2</v>
      </c>
      <c r="K42" s="69">
        <v>0.05</v>
      </c>
      <c r="L42" s="69">
        <v>0.03</v>
      </c>
      <c r="M42" s="69">
        <v>0.04</v>
      </c>
      <c r="N42" s="69">
        <v>0.04</v>
      </c>
      <c r="O42" s="69">
        <v>0.08</v>
      </c>
      <c r="P42" s="69">
        <v>0.1</v>
      </c>
      <c r="Q42" s="69">
        <v>0.12</v>
      </c>
      <c r="R42" s="69">
        <v>0.08</v>
      </c>
      <c r="S42" s="69">
        <v>0.09</v>
      </c>
      <c r="T42" s="69">
        <v>0.16</v>
      </c>
      <c r="U42" s="69">
        <v>0.13</v>
      </c>
      <c r="V42" s="69">
        <v>0.06</v>
      </c>
      <c r="W42" s="69">
        <v>0.06</v>
      </c>
      <c r="X42" s="69">
        <v>7.0000000000000007E-2</v>
      </c>
      <c r="Y42" s="70">
        <v>0.08</v>
      </c>
      <c r="Z42" s="18"/>
      <c r="AA42" s="118">
        <v>0.1</v>
      </c>
      <c r="AB42" s="119"/>
      <c r="AC42" s="119"/>
    </row>
    <row r="43" spans="1:29" ht="18" customHeight="1">
      <c r="A43" s="18"/>
      <c r="B43" s="102" t="s">
        <v>34</v>
      </c>
      <c r="C43" s="69">
        <v>0.12</v>
      </c>
      <c r="D43" s="69">
        <v>7.0000000000000007E-2</v>
      </c>
      <c r="E43" s="69">
        <v>0.08</v>
      </c>
      <c r="F43" s="69">
        <v>0.08</v>
      </c>
      <c r="G43" s="69">
        <v>0.09</v>
      </c>
      <c r="H43" s="69">
        <v>0.05</v>
      </c>
      <c r="I43" s="69">
        <v>7.0000000000000007E-2</v>
      </c>
      <c r="J43" s="69">
        <v>7.0000000000000007E-2</v>
      </c>
      <c r="K43" s="69">
        <v>7.0000000000000007E-2</v>
      </c>
      <c r="L43" s="69">
        <v>0.06</v>
      </c>
      <c r="M43" s="69">
        <v>0.06</v>
      </c>
      <c r="N43" s="69">
        <v>0.06</v>
      </c>
      <c r="O43" s="69">
        <v>0.05</v>
      </c>
      <c r="P43" s="69">
        <v>0.11</v>
      </c>
      <c r="Q43" s="69">
        <v>0.09</v>
      </c>
      <c r="R43" s="69">
        <v>0.15</v>
      </c>
      <c r="S43" s="69">
        <v>0.14000000000000001</v>
      </c>
      <c r="T43" s="69">
        <v>7.0000000000000007E-2</v>
      </c>
      <c r="U43" s="69">
        <v>0.08</v>
      </c>
      <c r="V43" s="69">
        <v>0.06</v>
      </c>
      <c r="W43" s="69">
        <v>0.08</v>
      </c>
      <c r="X43" s="69">
        <v>7.0000000000000007E-2</v>
      </c>
      <c r="Y43" s="70">
        <v>7.0000000000000007E-2</v>
      </c>
      <c r="Z43" s="18"/>
      <c r="AA43" s="18"/>
      <c r="AB43" s="18"/>
      <c r="AC43" s="18"/>
    </row>
    <row r="44" spans="1:29" ht="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row>
    <row r="45" spans="1:29" ht="15" customHeight="1">
      <c r="A45" s="18"/>
      <c r="B45" s="120" t="s">
        <v>54</v>
      </c>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8"/>
      <c r="AA45" s="18"/>
      <c r="AB45" s="18"/>
      <c r="AC45" s="18"/>
    </row>
    <row r="46" spans="1:29" ht="15" customHeight="1">
      <c r="A46" s="18"/>
      <c r="B46" s="120" t="s">
        <v>63</v>
      </c>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8"/>
      <c r="AA46" s="18"/>
      <c r="AB46" s="18"/>
      <c r="AC46" s="18"/>
    </row>
    <row r="47" spans="1:29" ht="15" customHeight="1">
      <c r="A47" s="18"/>
      <c r="B47" s="120" t="s">
        <v>64</v>
      </c>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8"/>
      <c r="AA47" s="18"/>
      <c r="AB47" s="18"/>
      <c r="AC47" s="18"/>
    </row>
    <row r="48" spans="1:29" ht="15" customHeight="1">
      <c r="A48" s="18"/>
      <c r="B48" s="120" t="s">
        <v>65</v>
      </c>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8"/>
      <c r="AA48" s="18"/>
      <c r="AB48" s="18"/>
      <c r="AC48" s="18"/>
    </row>
    <row r="49" spans="1:29">
      <c r="A49" s="18"/>
      <c r="B49" s="120" t="s">
        <v>62</v>
      </c>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8"/>
      <c r="AA49" s="18"/>
      <c r="AB49" s="18"/>
      <c r="AC49" s="18"/>
    </row>
    <row r="50" spans="1:29">
      <c r="B50" s="18" t="s">
        <v>55</v>
      </c>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row>
    <row r="51" spans="1:29">
      <c r="Y51" s="18"/>
      <c r="Z51" s="18"/>
      <c r="AA51" s="18"/>
    </row>
  </sheetData>
  <mergeCells count="1">
    <mergeCell ref="B3:Y3"/>
  </mergeCells>
  <phoneticPr fontId="1"/>
  <pageMargins left="0.70866141732283472" right="0.70866141732283472" top="0.74803149606299213" bottom="0.74803149606299213" header="0.31496062992125984" footer="0.31496062992125984"/>
  <pageSetup paperSize="9" scale="40"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表3-1</vt:lpstr>
      <vt:lpstr>表3-2</vt:lpstr>
      <vt:lpstr>補足表4-1</vt:lpstr>
      <vt:lpstr>補足表5-1</vt:lpstr>
      <vt:lpstr>補足表6-1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2022-08-09T06:39:08Z</dcterms:created>
  <dcterms:modified xsi:type="dcterms:W3CDTF">2022-08-09T06:39:17Z</dcterms:modified>
</cp:coreProperties>
</file>