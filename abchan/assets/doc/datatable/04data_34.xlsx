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08B760F2-1098-4A06-B6C8-DFD94B95858A}" xr6:coauthVersionLast="47" xr6:coauthVersionMax="47" xr10:uidLastSave="{00000000-0000-0000-0000-000000000000}"/>
  <bookViews>
    <workbookView xWindow="4395" yWindow="-75" windowWidth="18525" windowHeight="15150" firstSheet="6" activeTab="14" xr2:uid="{0C80E8A3-1111-476B-8022-94ED253B6B5E}"/>
  </bookViews>
  <sheets>
    <sheet name="表3-1" sheetId="1" r:id="rId1"/>
    <sheet name="表4-1" sheetId="3" r:id="rId2"/>
    <sheet name="補足表2-1" sheetId="4" r:id="rId3"/>
    <sheet name="補足表4-1" sheetId="5" r:id="rId4"/>
    <sheet name="補足表4-2" sheetId="2" r:id="rId5"/>
    <sheet name="補足表4-3" sheetId="7" r:id="rId6"/>
    <sheet name="補足表5-1" sheetId="8" r:id="rId7"/>
    <sheet name="補足表6-1" sheetId="9" r:id="rId8"/>
    <sheet name="補足表6-2" sheetId="10" r:id="rId9"/>
    <sheet name="補足表6-3" sheetId="11" r:id="rId10"/>
    <sheet name="補足表6-4" sheetId="12" r:id="rId11"/>
    <sheet name="補足表6-5" sheetId="13" r:id="rId12"/>
    <sheet name="補足表7-1" sheetId="14" r:id="rId13"/>
    <sheet name="補足表7-2" sheetId="15" r:id="rId14"/>
    <sheet name="補足表7-3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<sst xmlns="http://schemas.openxmlformats.org/spreadsheetml/2006/main" count="355" uniqueCount="205">
  <si>
    <t>2022年度（R4年度）マダラ本州太平洋北部系群の資源評価のデータセット</t>
    <phoneticPr fontId="2"/>
  </si>
  <si>
    <t>表3-1.　漁業種類別の漁獲量の推移（漁期年集計：トン）</t>
    <rPh sb="0" eb="1">
      <t>ヒョウ</t>
    </rPh>
    <phoneticPr fontId="2"/>
  </si>
  <si>
    <t>小底</t>
  </si>
  <si>
    <t>刺網</t>
  </si>
  <si>
    <t>延縄</t>
  </si>
  <si>
    <t>定置</t>
  </si>
  <si>
    <t>その他</t>
  </si>
  <si>
    <t>沖底</t>
    <rPh sb="0" eb="1">
      <t>オキ</t>
    </rPh>
    <rPh sb="1" eb="2">
      <t>ソコ</t>
    </rPh>
    <phoneticPr fontId="8"/>
  </si>
  <si>
    <t>計</t>
    <rPh sb="0" eb="1">
      <t>ケイ</t>
    </rPh>
    <phoneticPr fontId="8"/>
  </si>
  <si>
    <t>各県水試調べによる</t>
    <rPh sb="0" eb="1">
      <t>カク</t>
    </rPh>
    <rPh sb="1" eb="4">
      <t>ケンスイシ</t>
    </rPh>
    <rPh sb="4" eb="5">
      <t>シラ</t>
    </rPh>
    <phoneticPr fontId="8"/>
  </si>
  <si>
    <t>漁期年は4月～翌年3月</t>
    <rPh sb="0" eb="2">
      <t>ギョキ</t>
    </rPh>
    <rPh sb="2" eb="3">
      <t>ネン</t>
    </rPh>
    <rPh sb="5" eb="6">
      <t>ガツ</t>
    </rPh>
    <rPh sb="7" eb="9">
      <t>ヨクネン</t>
    </rPh>
    <rPh sb="10" eb="11">
      <t>ガツ</t>
    </rPh>
    <phoneticPr fontId="8"/>
  </si>
  <si>
    <t>表4-1.　マダラ本州太平洋北部系群の資源量解析結果</t>
    <rPh sb="0" eb="1">
      <t>ヒョウ</t>
    </rPh>
    <phoneticPr fontId="2"/>
  </si>
  <si>
    <r>
      <rPr>
        <sz val="10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</si>
  <si>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0"/>
        <rFont val="ＭＳ Ｐ明朝"/>
        <family val="1"/>
        <charset val="128"/>
      </rPr>
      <t>漁獲量
（百トン）</t>
    </r>
    <rPh sb="0" eb="3">
      <t>ギョカクリョウ</t>
    </rPh>
    <rPh sb="5" eb="6">
      <t>ヒャク</t>
    </rPh>
    <phoneticPr fontId="1"/>
  </si>
  <si>
    <r>
      <rPr>
        <sz val="10"/>
        <rFont val="ＭＳ Ｐ明朝"/>
        <family val="1"/>
        <charset val="128"/>
      </rPr>
      <t>資源量
（百トン）</t>
    </r>
    <rPh sb="0" eb="3">
      <t>シゲンリョウ</t>
    </rPh>
    <rPh sb="5" eb="6">
      <t>ヒャク</t>
    </rPh>
    <phoneticPr fontId="1"/>
  </si>
  <si>
    <r>
      <rPr>
        <sz val="10"/>
        <rFont val="ＭＳ Ｐ明朝"/>
        <family val="1"/>
        <charset val="128"/>
      </rPr>
      <t>親魚量
（百トン）</t>
    </r>
    <rPh sb="0" eb="3">
      <t>シンギョリョウ</t>
    </rPh>
    <rPh sb="5" eb="6">
      <t>ヒャク</t>
    </rPh>
    <phoneticPr fontId="1"/>
  </si>
  <si>
    <r>
      <rPr>
        <sz val="10"/>
        <rFont val="ＭＳ Ｐ明朝"/>
        <family val="1"/>
        <charset val="128"/>
      </rPr>
      <t>加入量（</t>
    </r>
    <r>
      <rPr>
        <sz val="10"/>
        <rFont val="Times New Roman"/>
        <family val="1"/>
      </rPr>
      <t>1</t>
    </r>
    <r>
      <rPr>
        <sz val="10"/>
        <rFont val="ＭＳ Ｐ明朝"/>
        <family val="1"/>
        <charset val="128"/>
      </rPr>
      <t>歳魚、百万尾）</t>
    </r>
    <rPh sb="0" eb="3">
      <t>カニュウリョウ</t>
    </rPh>
    <rPh sb="5" eb="7">
      <t>サイギョ</t>
    </rPh>
    <rPh sb="8" eb="10">
      <t>ヒャクマン</t>
    </rPh>
    <rPh sb="10" eb="11">
      <t>ビ</t>
    </rPh>
    <phoneticPr fontId="1"/>
  </si>
  <si>
    <r>
      <rPr>
        <sz val="10"/>
        <rFont val="ＭＳ Ｐ明朝"/>
        <family val="1"/>
        <charset val="128"/>
      </rPr>
      <t>漁獲割合
（</t>
    </r>
    <r>
      <rPr>
        <sz val="10"/>
        <rFont val="Times New Roman"/>
        <family val="1"/>
      </rPr>
      <t>%</t>
    </r>
    <r>
      <rPr>
        <sz val="10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1"/>
  </si>
  <si>
    <r>
      <t>F</t>
    </r>
    <r>
      <rPr>
        <sz val="10"/>
        <rFont val="ＭＳ Ｐ明朝"/>
        <family val="1"/>
        <charset val="128"/>
      </rPr>
      <t>単純平均</t>
    </r>
    <rPh sb="1" eb="3">
      <t>タンジュン</t>
    </rPh>
    <rPh sb="3" eb="5">
      <t>ヘイキン</t>
    </rPh>
    <phoneticPr fontId="1"/>
  </si>
  <si>
    <r>
      <rPr>
        <sz val="10"/>
        <rFont val="ＭＳ Ｐ明朝"/>
        <family val="1"/>
        <charset val="128"/>
      </rPr>
      <t>再生産成功率
（尾</t>
    </r>
    <r>
      <rPr>
        <sz val="10"/>
        <rFont val="Times New Roman"/>
        <family val="1"/>
      </rPr>
      <t>/kg</t>
    </r>
    <r>
      <rPr>
        <sz val="10"/>
        <rFont val="ＭＳ Ｐ明朝"/>
        <family val="1"/>
        <charset val="128"/>
      </rPr>
      <t>）</t>
    </r>
    <rPh sb="0" eb="3">
      <t>サイセイサン</t>
    </rPh>
    <rPh sb="3" eb="6">
      <t>セイコウリツ</t>
    </rPh>
    <rPh sb="8" eb="9">
      <t>ビ</t>
    </rPh>
    <phoneticPr fontId="1"/>
  </si>
  <si>
    <t>F/Fmsy</t>
  </si>
  <si>
    <t>%SPR</t>
  </si>
  <si>
    <t>再生産成功率は各漁期年における1歳魚の資源尾数を前年の親魚量で除した値である</t>
    <rPh sb="0" eb="3">
      <t>サイセイサン</t>
    </rPh>
    <rPh sb="3" eb="6">
      <t>セイコウリツ</t>
    </rPh>
    <rPh sb="7" eb="8">
      <t>カク</t>
    </rPh>
    <rPh sb="8" eb="10">
      <t>ギョキ</t>
    </rPh>
    <rPh sb="10" eb="11">
      <t>ネン</t>
    </rPh>
    <rPh sb="16" eb="18">
      <t>サイギョ</t>
    </rPh>
    <rPh sb="19" eb="21">
      <t>シゲン</t>
    </rPh>
    <rPh sb="21" eb="23">
      <t>ビスウ</t>
    </rPh>
    <rPh sb="24" eb="26">
      <t>ゼンネン</t>
    </rPh>
    <rPh sb="27" eb="30">
      <t>シンギョリョウ</t>
    </rPh>
    <rPh sb="31" eb="32">
      <t>ジョ</t>
    </rPh>
    <rPh sb="34" eb="35">
      <t>アタイ</t>
    </rPh>
    <phoneticPr fontId="1"/>
  </si>
  <si>
    <t>　年齢別漁獲尾数（千尾）</t>
    <rPh sb="1" eb="4">
      <t>ネンレイベツ</t>
    </rPh>
    <rPh sb="4" eb="6">
      <t>ギョカク</t>
    </rPh>
    <rPh sb="6" eb="8">
      <t>ビスウ</t>
    </rPh>
    <rPh sb="9" eb="11">
      <t>センビ</t>
    </rPh>
    <phoneticPr fontId="18"/>
  </si>
  <si>
    <t>年齢</t>
    <rPh sb="0" eb="2">
      <t>ネンレイ</t>
    </rPh>
    <phoneticPr fontId="18"/>
  </si>
  <si>
    <r>
      <t>6</t>
    </r>
    <r>
      <rPr>
        <sz val="11"/>
        <color theme="1"/>
        <rFont val="ＭＳ Ｐ明朝"/>
        <family val="1"/>
        <charset val="128"/>
      </rPr>
      <t>以上</t>
    </r>
    <rPh sb="1" eb="3">
      <t>イジョウ</t>
    </rPh>
    <phoneticPr fontId="18"/>
  </si>
  <si>
    <t>合計</t>
    <rPh sb="0" eb="2">
      <t>ゴウケイ</t>
    </rPh>
    <phoneticPr fontId="18"/>
  </si>
  <si>
    <r>
      <rPr>
        <sz val="12"/>
        <rFont val="ＭＳ 明朝"/>
        <family val="1"/>
        <charset val="128"/>
      </rPr>
      <t>　年齢別平均体重（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  <rPh sb="1" eb="4">
      <t>ネンレイベツ</t>
    </rPh>
    <rPh sb="4" eb="6">
      <t>ヘイキン</t>
    </rPh>
    <rPh sb="6" eb="8">
      <t>タイジュウ</t>
    </rPh>
    <phoneticPr fontId="8"/>
  </si>
  <si>
    <t>　年齢別成熟割合</t>
    <rPh sb="1" eb="4">
      <t>ネンレイベツ</t>
    </rPh>
    <rPh sb="4" eb="6">
      <t>セイジュク</t>
    </rPh>
    <rPh sb="6" eb="8">
      <t>ワリアイ</t>
    </rPh>
    <phoneticPr fontId="8"/>
  </si>
  <si>
    <r>
      <rPr>
        <sz val="12"/>
        <color theme="1"/>
        <rFont val="ＭＳ 明朝"/>
        <family val="1"/>
        <charset val="128"/>
      </rPr>
      <t>　漁獲死亡係数（</t>
    </r>
    <r>
      <rPr>
        <sz val="12"/>
        <color theme="1"/>
        <rFont val="Times New Roman"/>
        <family val="1"/>
      </rPr>
      <t>F</t>
    </r>
    <r>
      <rPr>
        <sz val="12"/>
        <color theme="1"/>
        <rFont val="ＭＳ 明朝"/>
        <family val="1"/>
        <charset val="128"/>
      </rPr>
      <t>）</t>
    </r>
    <rPh sb="1" eb="3">
      <t>ギョカク</t>
    </rPh>
    <rPh sb="3" eb="5">
      <t>シボウ</t>
    </rPh>
    <rPh sb="5" eb="7">
      <t>ケイスウ</t>
    </rPh>
    <phoneticPr fontId="18"/>
  </si>
  <si>
    <t>平均</t>
    <rPh sb="0" eb="2">
      <t>ヘイキン</t>
    </rPh>
    <phoneticPr fontId="18"/>
  </si>
  <si>
    <r>
      <rPr>
        <sz val="12"/>
        <rFont val="ＭＳ 明朝"/>
        <family val="1"/>
        <charset val="128"/>
      </rPr>
      <t>　チューニング指標値（調査現存量）</t>
    </r>
    <rPh sb="7" eb="10">
      <t>シヒョウチ</t>
    </rPh>
    <rPh sb="11" eb="13">
      <t>チョウサ</t>
    </rPh>
    <rPh sb="13" eb="16">
      <t>ゲンゾンリョウ</t>
    </rPh>
    <phoneticPr fontId="8"/>
  </si>
  <si>
    <r>
      <rPr>
        <sz val="12"/>
        <color theme="1"/>
        <rFont val="ＭＳ 明朝"/>
        <family val="1"/>
        <charset val="128"/>
      </rPr>
      <t>　チューニング</t>
    </r>
    <r>
      <rPr>
        <sz val="12"/>
        <color theme="1"/>
        <rFont val="Times New Roman"/>
        <family val="1"/>
      </rPr>
      <t>VPA</t>
    </r>
    <r>
      <rPr>
        <sz val="12"/>
        <color theme="1"/>
        <rFont val="ＭＳ 明朝"/>
        <family val="1"/>
        <charset val="128"/>
      </rPr>
      <t>によって推定した資源尾数（千尾）</t>
    </r>
    <rPh sb="14" eb="16">
      <t>スイテイ</t>
    </rPh>
    <rPh sb="18" eb="20">
      <t>シゲン</t>
    </rPh>
    <rPh sb="20" eb="22">
      <t>ビスウ</t>
    </rPh>
    <rPh sb="23" eb="25">
      <t>センビ</t>
    </rPh>
    <phoneticPr fontId="18"/>
  </si>
  <si>
    <r>
      <rPr>
        <sz val="12"/>
        <color theme="1"/>
        <rFont val="ＭＳ 明朝"/>
        <family val="1"/>
        <charset val="128"/>
      </rPr>
      <t>　チューニング</t>
    </r>
    <r>
      <rPr>
        <sz val="12"/>
        <color theme="1"/>
        <rFont val="Times New Roman"/>
        <family val="1"/>
      </rPr>
      <t>VPA</t>
    </r>
    <r>
      <rPr>
        <sz val="12"/>
        <color theme="1"/>
        <rFont val="ＭＳ 明朝"/>
        <family val="1"/>
        <charset val="128"/>
      </rPr>
      <t>によって推定した資源量（トン）</t>
    </r>
    <rPh sb="14" eb="16">
      <t>スイテイ</t>
    </rPh>
    <rPh sb="18" eb="20">
      <t>シゲン</t>
    </rPh>
    <rPh sb="20" eb="21">
      <t>リョウ</t>
    </rPh>
    <phoneticPr fontId="18"/>
  </si>
  <si>
    <t>注）資源尾数に各年各年齢の平均体重を乗じたもの。</t>
    <rPh sb="0" eb="1">
      <t>チュウ</t>
    </rPh>
    <rPh sb="2" eb="4">
      <t>シゲン</t>
    </rPh>
    <rPh sb="4" eb="6">
      <t>ビスウ</t>
    </rPh>
    <rPh sb="7" eb="9">
      <t>カクネン</t>
    </rPh>
    <rPh sb="9" eb="12">
      <t>カクネンレイ</t>
    </rPh>
    <rPh sb="13" eb="15">
      <t>ヘイキン</t>
    </rPh>
    <rPh sb="15" eb="17">
      <t>タイジュウ</t>
    </rPh>
    <rPh sb="18" eb="19">
      <t>ジョウ</t>
    </rPh>
    <phoneticPr fontId="8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</si>
  <si>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2-1.</t>
    </r>
    <r>
      <rPr>
        <sz val="16"/>
        <rFont val="ＭＳ 明朝"/>
        <family val="1"/>
        <charset val="128"/>
      </rPr>
      <t>　コホート解析に用いたデータ（</t>
    </r>
    <r>
      <rPr>
        <sz val="16"/>
        <rFont val="Times New Roman"/>
        <family val="1"/>
      </rPr>
      <t>2011</t>
    </r>
    <r>
      <rPr>
        <sz val="16"/>
        <rFont val="ＭＳ 明朝"/>
        <family val="1"/>
        <charset val="128"/>
      </rPr>
      <t>～</t>
    </r>
    <r>
      <rPr>
        <sz val="16"/>
        <rFont val="Times New Roman"/>
        <family val="1"/>
      </rPr>
      <t>2021</t>
    </r>
    <r>
      <rPr>
        <sz val="16"/>
        <rFont val="ＭＳ 明朝"/>
        <family val="1"/>
        <charset val="128"/>
      </rPr>
      <t>年漁期）</t>
    </r>
    <rPh sb="0" eb="3">
      <t>ホソクヒョウ</t>
    </rPh>
    <rPh sb="12" eb="14">
      <t>カイセキ</t>
    </rPh>
    <rPh sb="15" eb="16">
      <t>モチ</t>
    </rPh>
    <rPh sb="31" eb="32">
      <t>ネン</t>
    </rPh>
    <rPh sb="32" eb="34">
      <t>ギョキ</t>
    </rPh>
    <phoneticPr fontId="8"/>
  </si>
  <si>
    <t>年齢</t>
    <rPh sb="0" eb="2">
      <t>ネンレイ</t>
    </rPh>
    <phoneticPr fontId="8"/>
  </si>
  <si>
    <t>自然死亡係数</t>
    <rPh sb="0" eb="2">
      <t>シゼン</t>
    </rPh>
    <rPh sb="2" eb="4">
      <t>シボウ</t>
    </rPh>
    <rPh sb="4" eb="6">
      <t>ケイスウ</t>
    </rPh>
    <phoneticPr fontId="8"/>
  </si>
  <si>
    <t>成熟割合
（平均値）</t>
    <rPh sb="0" eb="2">
      <t>セイジュク</t>
    </rPh>
    <rPh sb="2" eb="4">
      <t>ワリアイ</t>
    </rPh>
    <rPh sb="6" eb="9">
      <t>ヘイキンチ</t>
    </rPh>
    <phoneticPr fontId="8"/>
  </si>
  <si>
    <r>
      <t>平均体重（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8"/>
  </si>
  <si>
    <r>
      <rPr>
        <sz val="11"/>
        <rFont val="ＭＳ Ｐ明朝"/>
        <family val="1"/>
        <charset val="128"/>
      </rPr>
      <t>選択率
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0" eb="3">
      <t>センタクリツ</t>
    </rPh>
    <rPh sb="5" eb="6">
      <t>チュウ</t>
    </rPh>
    <phoneticPr fontId="8"/>
  </si>
  <si>
    <t>6+</t>
    <phoneticPr fontId="8"/>
  </si>
  <si>
    <r>
      <rPr>
        <sz val="10"/>
        <rFont val="ＭＳ Ｐ明朝"/>
        <family val="1"/>
        <charset val="128"/>
      </rPr>
      <t>　　　　　注</t>
    </r>
    <r>
      <rPr>
        <sz val="10"/>
        <rFont val="Times New Roman"/>
        <family val="1"/>
      </rPr>
      <t>1</t>
    </r>
    <r>
      <rPr>
        <sz val="10"/>
        <rFont val="ＭＳ Ｐ明朝"/>
        <family val="1"/>
        <charset val="128"/>
      </rPr>
      <t>：</t>
    </r>
    <r>
      <rPr>
        <sz val="10"/>
        <rFont val="Times New Roman"/>
        <family val="1"/>
      </rPr>
      <t>MSY</t>
    </r>
    <r>
      <rPr>
        <sz val="10"/>
        <rFont val="ＭＳ Ｐ明朝"/>
        <family val="1"/>
        <charset val="128"/>
      </rPr>
      <t>を実現する水準の推定の際に使用した選択率は、令和</t>
    </r>
    <r>
      <rPr>
        <sz val="10"/>
        <rFont val="Times New Roman"/>
        <family val="1"/>
      </rPr>
      <t>2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2021</t>
    </r>
    <r>
      <rPr>
        <sz val="10"/>
        <rFont val="ＭＳ Ｐ明朝"/>
        <family val="1"/>
        <charset val="128"/>
      </rPr>
      <t>）年度での</t>
    </r>
    <r>
      <rPr>
        <sz val="10"/>
        <rFont val="Times New Roman"/>
        <family val="1"/>
      </rPr>
      <t>Fcurrent</t>
    </r>
    <rPh sb="5" eb="6">
      <t>チュウ</t>
    </rPh>
    <rPh sb="12" eb="14">
      <t>ジツゲン</t>
    </rPh>
    <rPh sb="16" eb="18">
      <t>スイジュン</t>
    </rPh>
    <rPh sb="19" eb="21">
      <t>スイテイ</t>
    </rPh>
    <rPh sb="22" eb="23">
      <t>サイ</t>
    </rPh>
    <rPh sb="24" eb="26">
      <t>シヨウ</t>
    </rPh>
    <rPh sb="28" eb="30">
      <t>センタク</t>
    </rPh>
    <rPh sb="30" eb="31">
      <t>リツ</t>
    </rPh>
    <rPh sb="33" eb="35">
      <t>レイワ</t>
    </rPh>
    <rPh sb="42" eb="44">
      <t>ネンド</t>
    </rPh>
    <phoneticPr fontId="8"/>
  </si>
  <si>
    <r>
      <rPr>
        <sz val="10"/>
        <rFont val="ＭＳ Ｐ明朝"/>
        <family val="1"/>
        <charset val="128"/>
      </rPr>
      <t>　　　　　の選択率（</t>
    </r>
    <r>
      <rPr>
        <sz val="10"/>
        <rFont val="Times New Roman"/>
        <family val="1"/>
      </rPr>
      <t>2017</t>
    </r>
    <r>
      <rPr>
        <sz val="10"/>
        <rFont val="ＭＳ Ｐ明朝"/>
        <family val="1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ＭＳ Ｐ明朝"/>
        <family val="1"/>
        <charset val="128"/>
      </rPr>
      <t>年漁期の平均</t>
    </r>
    <r>
      <rPr>
        <sz val="10"/>
        <rFont val="Times New Roman"/>
        <family val="1"/>
      </rPr>
      <t>F</t>
    </r>
    <r>
      <rPr>
        <sz val="10"/>
        <rFont val="ＭＳ Ｐ明朝"/>
        <family val="1"/>
        <charset val="128"/>
      </rPr>
      <t>の選択率）である。</t>
    </r>
    <rPh sb="19" eb="20">
      <t>ネン</t>
    </rPh>
    <rPh sb="20" eb="22">
      <t>ギョキ</t>
    </rPh>
    <rPh sb="23" eb="25">
      <t>ヘイキン</t>
    </rPh>
    <rPh sb="27" eb="30">
      <t>センタクリツ</t>
    </rPh>
    <phoneticPr fontId="8"/>
  </si>
  <si>
    <r>
      <rPr>
        <sz val="10"/>
        <rFont val="ＭＳ Ｐ明朝"/>
        <family val="1"/>
        <charset val="128"/>
      </rPr>
      <t>　　　　　注</t>
    </r>
    <r>
      <rPr>
        <sz val="10"/>
        <rFont val="Times New Roman"/>
        <family val="1"/>
      </rPr>
      <t>2</t>
    </r>
    <r>
      <rPr>
        <sz val="10"/>
        <rFont val="ＭＳ Ｐ明朝"/>
        <family val="1"/>
        <charset val="128"/>
      </rPr>
      <t>：令和</t>
    </r>
    <r>
      <rPr>
        <sz val="10"/>
        <rFont val="Times New Roman"/>
        <family val="1"/>
      </rPr>
      <t>2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2021</t>
    </r>
    <r>
      <rPr>
        <sz val="10"/>
        <rFont val="ＭＳ Ｐ明朝"/>
        <family val="1"/>
        <charset val="128"/>
      </rPr>
      <t>）年度資源評価での</t>
    </r>
    <r>
      <rPr>
        <sz val="10"/>
        <rFont val="Times New Roman"/>
        <family val="1"/>
      </rPr>
      <t>Fcurrent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2017</t>
    </r>
    <r>
      <rPr>
        <sz val="10"/>
        <rFont val="ＭＳ Ｐ明朝"/>
        <family val="1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ＭＳ Ｐ明朝"/>
        <family val="1"/>
        <charset val="128"/>
      </rPr>
      <t>年漁期の平均</t>
    </r>
    <r>
      <rPr>
        <sz val="10"/>
        <rFont val="Times New Roman"/>
        <family val="1"/>
      </rPr>
      <t>F</t>
    </r>
    <r>
      <rPr>
        <sz val="10"/>
        <rFont val="ＭＳ Ｐ明朝"/>
        <family val="1"/>
        <charset val="128"/>
      </rPr>
      <t>値）</t>
    </r>
    <rPh sb="5" eb="6">
      <t>チュウ</t>
    </rPh>
    <rPh sb="8" eb="10">
      <t>レイワ</t>
    </rPh>
    <rPh sb="17" eb="19">
      <t>ネンド</t>
    </rPh>
    <rPh sb="19" eb="21">
      <t>シゲン</t>
    </rPh>
    <rPh sb="21" eb="23">
      <t>ヒョウカ</t>
    </rPh>
    <rPh sb="50" eb="51">
      <t>チ</t>
    </rPh>
    <phoneticPr fontId="8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</si>
  <si>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4-1.</t>
    </r>
    <r>
      <rPr>
        <sz val="11"/>
        <rFont val="Yu Gothic"/>
        <family val="1"/>
        <charset val="128"/>
      </rPr>
      <t>　</t>
    </r>
    <r>
      <rPr>
        <sz val="11"/>
        <rFont val="ＭＳ 明朝"/>
        <family val="1"/>
        <charset val="128"/>
      </rPr>
      <t>最大持続生産量（</t>
    </r>
    <r>
      <rPr>
        <sz val="11"/>
        <rFont val="Times New Roman"/>
        <family val="1"/>
      </rPr>
      <t>MSY</t>
    </r>
    <r>
      <rPr>
        <sz val="11"/>
        <rFont val="ＭＳ 明朝"/>
        <family val="1"/>
        <charset val="128"/>
      </rPr>
      <t>）を実現する水準の推定に用いたパラメータ値（成松ほか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）</t>
    </r>
    <rPh sb="0" eb="3">
      <t>ホソクヒョウ</t>
    </rPh>
    <rPh sb="8" eb="10">
      <t>サイダイ</t>
    </rPh>
    <rPh sb="10" eb="12">
      <t>ジゾク</t>
    </rPh>
    <rPh sb="12" eb="15">
      <t>セイサンリョウ</t>
    </rPh>
    <rPh sb="21" eb="23">
      <t>ジツゲン</t>
    </rPh>
    <rPh sb="25" eb="27">
      <t>スイジュン</t>
    </rPh>
    <rPh sb="28" eb="30">
      <t>スイテイ</t>
    </rPh>
    <rPh sb="31" eb="32">
      <t>モチ</t>
    </rPh>
    <rPh sb="39" eb="40">
      <t>チ</t>
    </rPh>
    <rPh sb="41" eb="43">
      <t>ナリマツ</t>
    </rPh>
    <phoneticPr fontId="8"/>
  </si>
  <si>
    <t>補足表4-2.　将来の親魚量が目標・限界管理基準値案を上回る確率。太字は漁獲管理規則に基づく管理開始から10年目となる目標年の値を示す。</t>
    <phoneticPr fontId="2"/>
  </si>
  <si>
    <t>β</t>
  </si>
  <si>
    <t>F2018-2020</t>
  </si>
  <si>
    <t>β</t>
    <phoneticPr fontId="2"/>
  </si>
  <si>
    <t>F2018-2020</t>
    <phoneticPr fontId="2"/>
  </si>
  <si>
    <t>a)目標管理基準値案を上回る確率（%)</t>
    <phoneticPr fontId="2"/>
  </si>
  <si>
    <t>b)限界管理基準値案を上回る確率（%）</t>
    <phoneticPr fontId="2"/>
  </si>
  <si>
    <t>補足表4-3. 将来の親魚量および漁獲量の平均値の推移。太字は漁獲管理規則案に基づく管理開始から10年目となる目標年の値を示す。</t>
    <phoneticPr fontId="2"/>
  </si>
  <si>
    <t>a)親魚量の平均値の推移（千トン）</t>
    <phoneticPr fontId="2"/>
  </si>
  <si>
    <t>b)漁獲量の平均値の推移（千トン）</t>
    <phoneticPr fontId="2"/>
  </si>
  <si>
    <r>
      <t>補足表</t>
    </r>
    <r>
      <rPr>
        <sz val="10.5"/>
        <color rgb="FF000000"/>
        <rFont val="Times New Roman"/>
        <family val="1"/>
      </rPr>
      <t>5-1.</t>
    </r>
    <r>
      <rPr>
        <sz val="10.5"/>
        <color rgb="FF000000"/>
        <rFont val="ＭＳ 明朝"/>
        <family val="1"/>
        <charset val="128"/>
      </rPr>
      <t>　将来予測計算に用いたパラメータ</t>
    </r>
  </si>
  <si>
    <t>Fmsy</t>
  </si>
  <si>
    <r>
      <t>1</t>
    </r>
    <r>
      <rPr>
        <sz val="10.5"/>
        <color rgb="FF000000"/>
        <rFont val="ＭＳ 明朝"/>
        <family val="1"/>
        <charset val="128"/>
      </rPr>
      <t>歳</t>
    </r>
  </si>
  <si>
    <r>
      <t>2</t>
    </r>
    <r>
      <rPr>
        <sz val="10.5"/>
        <color rgb="FF000000"/>
        <rFont val="ＭＳ 明朝"/>
        <family val="1"/>
        <charset val="128"/>
      </rPr>
      <t>歳</t>
    </r>
  </si>
  <si>
    <r>
      <t>3</t>
    </r>
    <r>
      <rPr>
        <sz val="10.5"/>
        <color rgb="FF000000"/>
        <rFont val="ＭＳ 明朝"/>
        <family val="1"/>
        <charset val="128"/>
      </rPr>
      <t>歳</t>
    </r>
  </si>
  <si>
    <r>
      <t>0.02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0.72</t>
    </r>
  </si>
  <si>
    <r>
      <t>4</t>
    </r>
    <r>
      <rPr>
        <sz val="10.5"/>
        <color rgb="FF000000"/>
        <rFont val="ＭＳ 明朝"/>
        <family val="1"/>
        <charset val="128"/>
      </rPr>
      <t>歳</t>
    </r>
  </si>
  <si>
    <r>
      <t>0.34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0.96</t>
    </r>
  </si>
  <si>
    <r>
      <t>5</t>
    </r>
    <r>
      <rPr>
        <sz val="10.5"/>
        <color rgb="FF000000"/>
        <rFont val="ＭＳ 明朝"/>
        <family val="1"/>
        <charset val="128"/>
      </rPr>
      <t>歳</t>
    </r>
  </si>
  <si>
    <r>
      <t>6</t>
    </r>
    <r>
      <rPr>
        <sz val="10.5"/>
        <color rgb="FF000000"/>
        <rFont val="ＭＳ 明朝"/>
        <family val="1"/>
        <charset val="128"/>
      </rPr>
      <t>歳以上</t>
    </r>
  </si>
  <si>
    <r>
      <rPr>
        <sz val="10.5"/>
        <color rgb="FF000000"/>
        <rFont val="ＭＳ 明朝"/>
        <family val="1"/>
        <charset val="128"/>
      </rPr>
      <t>選択率（注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</si>
  <si>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rPr>
        <sz val="10.5"/>
        <color rgb="FF000000"/>
        <rFont val="ＭＳ 明朝"/>
        <family val="1"/>
        <charset val="128"/>
      </rPr>
      <t>平均体重（</t>
    </r>
    <r>
      <rPr>
        <sz val="10.5"/>
        <color rgb="FF000000"/>
        <rFont val="Times New Roman"/>
        <family val="1"/>
      </rPr>
      <t>g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</si>
  <si>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rPr>
        <sz val="10.5"/>
        <color rgb="FF000000"/>
        <rFont val="ＭＳ 明朝"/>
        <family val="1"/>
        <charset val="128"/>
      </rPr>
      <t>自然死亡係数</t>
    </r>
    <phoneticPr fontId="2"/>
  </si>
  <si>
    <r>
      <rPr>
        <sz val="10.5"/>
        <color rgb="FF000000"/>
        <rFont val="ＭＳ 明朝"/>
        <family val="1"/>
        <charset val="128"/>
      </rPr>
      <t>成熟割合（注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</si>
  <si>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t>Fmsy</t>
    </r>
    <r>
      <rPr>
        <sz val="10.5"/>
        <color rgb="FF000000"/>
        <rFont val="ＭＳ 明朝"/>
        <family val="1"/>
        <charset val="128"/>
      </rPr>
      <t>（注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</si>
  <si>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t>F2017-2019</t>
    </r>
    <r>
      <rPr>
        <sz val="10.5"/>
        <color rgb="FF000000"/>
        <rFont val="ＭＳ 明朝"/>
        <family val="1"/>
        <charset val="128"/>
      </rPr>
      <t>（注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明朝"/>
        <family val="1"/>
        <charset val="128"/>
      </rPr>
      <t>）</t>
    </r>
    <phoneticPr fontId="2"/>
  </si>
  <si>
    <t>a</t>
  </si>
  <si>
    <t>b</t>
  </si>
  <si>
    <t>S.D.</t>
  </si>
  <si>
    <t>ρ</t>
  </si>
  <si>
    <r>
      <rPr>
        <sz val="11"/>
        <color theme="1"/>
        <rFont val="ＭＳ 明朝"/>
        <family val="1"/>
        <charset val="128"/>
      </rPr>
      <t>再生産関係式</t>
    </r>
  </si>
  <si>
    <r>
      <rPr>
        <sz val="11"/>
        <color theme="1"/>
        <rFont val="ＭＳ 明朝"/>
        <family val="1"/>
        <charset val="128"/>
      </rPr>
      <t>最適化法</t>
    </r>
  </si>
  <si>
    <r>
      <rPr>
        <sz val="11"/>
        <color theme="1"/>
        <rFont val="ＭＳ 明朝"/>
        <family val="1"/>
        <charset val="128"/>
      </rPr>
      <t>自己相関</t>
    </r>
  </si>
  <si>
    <r>
      <rPr>
        <sz val="11"/>
        <color theme="1"/>
        <rFont val="ＭＳ 明朝"/>
        <family val="1"/>
        <charset val="128"/>
      </rPr>
      <t>リッカー型</t>
    </r>
  </si>
  <si>
    <r>
      <rPr>
        <sz val="11"/>
        <color theme="1"/>
        <rFont val="ＭＳ 明朝"/>
        <family val="1"/>
        <charset val="128"/>
      </rPr>
      <t>最小二乗法</t>
    </r>
  </si>
  <si>
    <r>
      <rPr>
        <sz val="11"/>
        <color theme="1"/>
        <rFont val="ＭＳ 明朝"/>
        <family val="1"/>
        <charset val="128"/>
      </rPr>
      <t>有</t>
    </r>
  </si>
  <si>
    <r>
      <t>補足表</t>
    </r>
    <r>
      <rPr>
        <sz val="10.5"/>
        <color rgb="FF000000"/>
        <rFont val="Times New Roman"/>
        <family val="1"/>
      </rPr>
      <t>6-2.</t>
    </r>
    <r>
      <rPr>
        <sz val="10.5"/>
        <color rgb="FF000000"/>
        <rFont val="ＭＳ 明朝"/>
        <family val="1"/>
        <charset val="128"/>
      </rPr>
      <t>　管理基準値案と</t>
    </r>
    <r>
      <rPr>
        <sz val="10.5"/>
        <color rgb="FF000000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</si>
  <si>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</si>
  <si>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</si>
  <si>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</si>
  <si>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</si>
  <si>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r>
      <t>10.9</t>
    </r>
    <r>
      <rPr>
        <sz val="10.5"/>
        <color rgb="FF000000"/>
        <rFont val="ＭＳ Ｐ明朝"/>
        <family val="1"/>
        <charset val="128"/>
      </rPr>
      <t>千トン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</si>
  <si>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）。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</si>
  <si>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</si>
  <si>
    <r>
      <t>3.2</t>
    </r>
    <r>
      <rPr>
        <sz val="10.5"/>
        <color rgb="FF000000"/>
        <rFont val="ＭＳ Ｐ明朝"/>
        <family val="1"/>
        <charset val="128"/>
      </rPr>
      <t>千トン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</si>
  <si>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）。</t>
    </r>
  </si>
  <si>
    <r>
      <t>SBban</t>
    </r>
    <r>
      <rPr>
        <sz val="10.5"/>
        <color rgb="FF000000"/>
        <rFont val="ＭＳ Ｐ明朝"/>
        <family val="1"/>
        <charset val="128"/>
      </rPr>
      <t>案</t>
    </r>
  </si>
  <si>
    <r>
      <t>0.4</t>
    </r>
    <r>
      <rPr>
        <sz val="10.5"/>
        <color rgb="FF000000"/>
        <rFont val="ＭＳ Ｐ明朝"/>
        <family val="1"/>
        <charset val="128"/>
      </rPr>
      <t>千トン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</si>
  <si>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</si>
  <si>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）。</t>
    </r>
  </si>
  <si>
    <r>
      <t>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を実現する漁獲圧（漁獲係数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Ｐ明朝"/>
        <family val="1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</si>
  <si>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2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3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歳以上）</t>
    </r>
  </si>
  <si>
    <r>
      <t>=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0.23, 0.75, 0.69, 0.95, 1.42, 1.42</t>
    </r>
    <r>
      <rPr>
        <sz val="10.5"/>
        <color rgb="FF000000"/>
        <rFont val="ＭＳ Ｐ明朝"/>
        <family val="1"/>
        <charset val="128"/>
      </rPr>
      <t>）</t>
    </r>
  </si>
  <si>
    <r>
      <t>%SPR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Ｐ明朝"/>
        <family val="1"/>
        <charset val="128"/>
      </rPr>
      <t>）</t>
    </r>
  </si>
  <si>
    <r>
      <t>Fmsy</t>
    </r>
    <r>
      <rPr>
        <sz val="10.5"/>
        <color rgb="FF000000"/>
        <rFont val="ＭＳ Ｐ明朝"/>
        <family val="1"/>
        <charset val="128"/>
      </rPr>
      <t>に対応する</t>
    </r>
    <r>
      <rPr>
        <sz val="10.5"/>
        <color rgb="FF000000"/>
        <rFont val="Times New Roman"/>
        <family val="1"/>
      </rPr>
      <t>%SPR</t>
    </r>
  </si>
  <si>
    <t>MSY</t>
  </si>
  <si>
    <r>
      <t>20.2</t>
    </r>
    <r>
      <rPr>
        <sz val="10.5"/>
        <color rgb="FF000000"/>
        <rFont val="ＭＳ Ｐ明朝"/>
        <family val="1"/>
        <charset val="128"/>
      </rPr>
      <t>千トン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</si>
  <si>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</si>
  <si>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rgb="FF000000"/>
        <rFont val="Times New Roman"/>
        <family val="1"/>
      </rPr>
      <t>6-3.</t>
    </r>
    <r>
      <rPr>
        <sz val="10.5"/>
        <color rgb="FF000000"/>
        <rFont val="ＭＳ 明朝"/>
        <family val="1"/>
        <charset val="128"/>
      </rPr>
      <t>　最新年の親魚量と漁獲圧</t>
    </r>
  </si>
  <si>
    <t>SB2021</t>
  </si>
  <si>
    <r>
      <t>5.6</t>
    </r>
    <r>
      <rPr>
        <sz val="10.5"/>
        <color rgb="FF000000"/>
        <rFont val="ＭＳ Ｐ明朝"/>
        <family val="1"/>
        <charset val="128"/>
      </rPr>
      <t>千トン</t>
    </r>
  </si>
  <si>
    <r>
      <t>2021</t>
    </r>
    <r>
      <rPr>
        <sz val="10.5"/>
        <color rgb="FF000000"/>
        <rFont val="ＭＳ Ｐ明朝"/>
        <family val="1"/>
        <charset val="128"/>
      </rPr>
      <t>年漁期の親魚量</t>
    </r>
  </si>
  <si>
    <t>F2021</t>
  </si>
  <si>
    <r>
      <t>2021</t>
    </r>
    <r>
      <rPr>
        <sz val="10.5"/>
        <color rgb="FF000000"/>
        <rFont val="ＭＳ Ｐ明朝"/>
        <family val="1"/>
        <charset val="128"/>
      </rPr>
      <t>年漁期の漁獲圧（漁獲係数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Ｐ明朝"/>
        <family val="1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</si>
  <si>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1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2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3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歳以上）</t>
    </r>
  </si>
  <si>
    <t>U2021</t>
  </si>
  <si>
    <r>
      <t>2021</t>
    </r>
    <r>
      <rPr>
        <sz val="10.5"/>
        <color rgb="FF000000"/>
        <rFont val="ＭＳ Ｐ明朝"/>
        <family val="1"/>
        <charset val="128"/>
      </rPr>
      <t>年漁期の漁獲割合</t>
    </r>
  </si>
  <si>
    <r>
      <t>%SPR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F2021</t>
    </r>
    <r>
      <rPr>
        <sz val="10.5"/>
        <color rgb="FF000000"/>
        <rFont val="ＭＳ Ｐ明朝"/>
        <family val="1"/>
        <charset val="128"/>
      </rPr>
      <t>）</t>
    </r>
  </si>
  <si>
    <r>
      <t>2021</t>
    </r>
    <r>
      <rPr>
        <sz val="10.5"/>
        <color rgb="FF000000"/>
        <rFont val="ＭＳ Ｐ明朝"/>
        <family val="1"/>
        <charset val="128"/>
      </rPr>
      <t>年漁期の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</si>
  <si>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F2018-2020</t>
    </r>
    <r>
      <rPr>
        <sz val="10.5"/>
        <color rgb="FF000000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</si>
  <si>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2018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ＭＳ Ｐ明朝"/>
        <family val="1"/>
        <charset val="128"/>
      </rPr>
      <t>年漁期）の漁獲圧に対応する</t>
    </r>
    <r>
      <rPr>
        <sz val="10.5"/>
        <color rgb="FF000000"/>
        <rFont val="Times New Roman"/>
        <family val="1"/>
      </rPr>
      <t>%SPR*</t>
    </r>
  </si>
  <si>
    <t>管理基準値案との比較</t>
  </si>
  <si>
    <t>SB2021/ SBmsy</t>
  </si>
  <si>
    <t xml:space="preserve"> (SBtarget)</t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</si>
  <si>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年漁期の親魚量の比</t>
    </r>
  </si>
  <si>
    <t>F2021/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</si>
  <si>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年漁期の漁獲圧の比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</si>
  <si>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</si>
  <si>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rgb="FF000000"/>
        <rFont val="ＭＳ Ｐ明朝"/>
        <family val="1"/>
        <charset val="128"/>
      </rPr>
      <t>を実現する水準を下回る</t>
    </r>
  </si>
  <si>
    <t>漁獲圧の水準</t>
  </si>
  <si>
    <r>
      <t>MSY</t>
    </r>
    <r>
      <rPr>
        <sz val="10.5"/>
        <color rgb="FF000000"/>
        <rFont val="ＭＳ Ｐ明朝"/>
        <family val="1"/>
        <charset val="128"/>
      </rPr>
      <t>を実現する水準を上回る</t>
    </r>
  </si>
  <si>
    <t>親魚量の動向</t>
  </si>
  <si>
    <t>横ばい</t>
  </si>
  <si>
    <r>
      <t>* 2021</t>
    </r>
    <r>
      <rPr>
        <sz val="11"/>
        <color theme="1"/>
        <rFont val="游明朝"/>
        <family val="1"/>
        <charset val="128"/>
      </rPr>
      <t>年漁期の選択率の下で</t>
    </r>
    <r>
      <rPr>
        <sz val="11"/>
        <color theme="1"/>
        <rFont val="Times New Roman"/>
        <family val="1"/>
      </rPr>
      <t>Fmsy</t>
    </r>
    <r>
      <rPr>
        <sz val="11"/>
        <color theme="1"/>
        <rFont val="游明朝"/>
        <family val="1"/>
        <charset val="128"/>
      </rPr>
      <t>の漁獲圧を与える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游明朝"/>
        <family val="1"/>
        <charset val="128"/>
      </rPr>
      <t>を</t>
    </r>
    <r>
      <rPr>
        <sz val="11"/>
        <color theme="1"/>
        <rFont val="Times New Roman"/>
        <family val="1"/>
      </rPr>
      <t>%SPR</t>
    </r>
    <r>
      <rPr>
        <sz val="11"/>
        <color theme="1"/>
        <rFont val="游明朝"/>
        <family val="1"/>
        <charset val="128"/>
      </rPr>
      <t>換算して算出し求めた比率。</t>
    </r>
    <phoneticPr fontId="2"/>
  </si>
  <si>
    <r>
      <t>補足表</t>
    </r>
    <r>
      <rPr>
        <sz val="10.5"/>
        <color rgb="FF000000"/>
        <rFont val="Times New Roman"/>
        <family val="1"/>
      </rPr>
      <t>6-4.</t>
    </r>
    <r>
      <rPr>
        <sz val="10.5"/>
        <color rgb="FF000000"/>
        <rFont val="ＭＳ 明朝"/>
        <family val="1"/>
        <charset val="128"/>
      </rPr>
      <t>　予測漁獲量と予測親魚量</t>
    </r>
  </si>
  <si>
    <r>
      <t>2023</t>
    </r>
    <r>
      <rPr>
        <sz val="10.5"/>
        <color rgb="FF000000"/>
        <rFont val="ＭＳ Ｐ明朝"/>
        <family val="1"/>
        <charset val="128"/>
      </rPr>
      <t>年漁期の親魚量（予測平均値）：</t>
    </r>
    <r>
      <rPr>
        <sz val="10.5"/>
        <color rgb="FF000000"/>
        <rFont val="Times New Roman"/>
        <family val="1"/>
      </rPr>
      <t>3.8</t>
    </r>
    <r>
      <rPr>
        <sz val="10.5"/>
        <color rgb="FF000000"/>
        <rFont val="ＭＳ Ｐ明朝"/>
        <family val="1"/>
        <charset val="128"/>
      </rPr>
      <t>千トン</t>
    </r>
  </si>
  <si>
    <r>
      <t>2023</t>
    </r>
    <r>
      <rPr>
        <sz val="10.5"/>
        <color rgb="FF000000"/>
        <rFont val="ＭＳ Ｐ明朝"/>
        <family val="1"/>
        <charset val="128"/>
      </rPr>
      <t>年漁期の</t>
    </r>
  </si>
  <si>
    <t>漁獲量</t>
  </si>
  <si>
    <t>（千トン）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</si>
  <si>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</si>
  <si>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</si>
  <si>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F/F2018-2020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</si>
  <si>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</si>
  <si>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</si>
  <si>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β=0.8</t>
  </si>
  <si>
    <t>β=0.6</t>
  </si>
  <si>
    <t>β=0.4</t>
  </si>
  <si>
    <t>β=0.2</t>
  </si>
  <si>
    <t>β=0</t>
  </si>
  <si>
    <r>
      <t>補足表</t>
    </r>
    <r>
      <rPr>
        <sz val="10.5"/>
        <color rgb="FF000000"/>
        <rFont val="Times New Roman"/>
        <family val="1"/>
      </rPr>
      <t>6-5.</t>
    </r>
    <r>
      <rPr>
        <sz val="10.5"/>
        <color rgb="FF000000"/>
        <rFont val="ＭＳ 明朝"/>
        <family val="1"/>
        <charset val="128"/>
      </rPr>
      <t xml:space="preserve"> 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を用いた将来予測結果</t>
    </r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</si>
  <si>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</si>
  <si>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r>
      <t>2033</t>
    </r>
    <r>
      <rPr>
        <sz val="10.5"/>
        <color rgb="FF000000"/>
        <rFont val="ＭＳ Ｐ明朝"/>
        <family val="1"/>
        <charset val="128"/>
      </rPr>
      <t>年漁期</t>
    </r>
  </si>
  <si>
    <t>の親魚量</t>
  </si>
  <si>
    <t>予測区間</t>
  </si>
  <si>
    <r>
      <t>2033</t>
    </r>
    <r>
      <rPr>
        <sz val="10.5"/>
        <color rgb="FF000000"/>
        <rFont val="ＭＳ Ｐ明朝"/>
        <family val="1"/>
        <charset val="128"/>
      </rPr>
      <t>年漁期に親魚量が以下の</t>
    </r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</si>
  <si>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</si>
  <si>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SBlimit</t>
  </si>
  <si>
    <t>案</t>
  </si>
  <si>
    <t>SBban</t>
  </si>
  <si>
    <t>4 – 14</t>
  </si>
  <si>
    <t>6 – 21</t>
  </si>
  <si>
    <t>9 – 31</t>
  </si>
  <si>
    <t>12 – 40</t>
  </si>
  <si>
    <t>13 – 42</t>
  </si>
  <si>
    <t>23 – 47</t>
  </si>
  <si>
    <t>2 – 10</t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</si>
  <si>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 xml:space="preserve"> 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を用いた将来予測結果（つづき）</t>
    </r>
  </si>
  <si>
    <t>考慮している不確実性：加入量</t>
  </si>
  <si>
    <r>
      <t>親魚量が管理基準値案を</t>
    </r>
    <r>
      <rPr>
        <sz val="10.5"/>
        <color rgb="FF000000"/>
        <rFont val="Times New Roman"/>
        <family val="1"/>
      </rPr>
      <t>50%</t>
    </r>
    <r>
      <rPr>
        <sz val="10.5"/>
        <color rgb="FF000000"/>
        <rFont val="ＭＳ Ｐ明朝"/>
        <family val="1"/>
        <charset val="128"/>
      </rPr>
      <t>以上の確率で上回る年（漁期年）</t>
    </r>
  </si>
  <si>
    <r>
      <t>2053</t>
    </r>
    <r>
      <rPr>
        <sz val="10.5"/>
        <color rgb="FF000000"/>
        <rFont val="ＭＳ Ｐ明朝"/>
        <family val="1"/>
        <charset val="128"/>
      </rPr>
      <t>年以降</t>
    </r>
  </si>
  <si>
    <r>
      <t>2023</t>
    </r>
    <r>
      <rPr>
        <sz val="10.5"/>
        <color rgb="FF000000"/>
        <rFont val="ＭＳ Ｐ明朝"/>
        <family val="1"/>
        <charset val="128"/>
      </rPr>
      <t>年</t>
    </r>
  </si>
  <si>
    <r>
      <t>2034</t>
    </r>
    <r>
      <rPr>
        <sz val="10.5"/>
        <color rgb="FF000000"/>
        <rFont val="ＭＳ Ｐ明朝"/>
        <family val="1"/>
        <charset val="128"/>
      </rPr>
      <t>年</t>
    </r>
  </si>
  <si>
    <r>
      <t>2028</t>
    </r>
    <r>
      <rPr>
        <sz val="10.5"/>
        <color rgb="FF000000"/>
        <rFont val="ＭＳ Ｐ明朝"/>
        <family val="1"/>
        <charset val="128"/>
      </rPr>
      <t>年</t>
    </r>
  </si>
  <si>
    <r>
      <t>2026</t>
    </r>
    <r>
      <rPr>
        <sz val="10.5"/>
        <color rgb="FF000000"/>
        <rFont val="ＭＳ Ｐ明朝"/>
        <family val="1"/>
        <charset val="128"/>
      </rPr>
      <t>年</t>
    </r>
  </si>
  <si>
    <r>
      <t>2025</t>
    </r>
    <r>
      <rPr>
        <sz val="10.5"/>
        <color rgb="FF000000"/>
        <rFont val="ＭＳ Ｐ明朝"/>
        <family val="1"/>
        <charset val="128"/>
      </rPr>
      <t>年</t>
    </r>
  </si>
  <si>
    <r>
      <rPr>
        <sz val="19"/>
        <color theme="1"/>
        <rFont val="ＭＳ Ｐ明朝"/>
        <family val="1"/>
        <charset val="128"/>
      </rPr>
      <t>補足表</t>
    </r>
    <r>
      <rPr>
        <sz val="19"/>
        <color theme="1"/>
        <rFont val="Times New Roman"/>
        <family val="1"/>
      </rPr>
      <t>7-1.</t>
    </r>
    <r>
      <rPr>
        <sz val="19"/>
        <color theme="1"/>
        <rFont val="ＭＳ Ｐ明朝"/>
        <family val="1"/>
        <charset val="128"/>
      </rPr>
      <t>　トロール調査から推定した年齢別現存尾数（千尾）</t>
    </r>
    <rPh sb="0" eb="2">
      <t>ホソク</t>
    </rPh>
    <rPh sb="2" eb="3">
      <t>ヒョウ</t>
    </rPh>
    <rPh sb="11" eb="13">
      <t>チョウサ</t>
    </rPh>
    <rPh sb="15" eb="17">
      <t>スイテイ</t>
    </rPh>
    <rPh sb="19" eb="22">
      <t>ネンレイベツ</t>
    </rPh>
    <rPh sb="22" eb="24">
      <t>ゲンソン</t>
    </rPh>
    <rPh sb="24" eb="25">
      <t>オ</t>
    </rPh>
    <rPh sb="25" eb="26">
      <t>スウ</t>
    </rPh>
    <rPh sb="27" eb="29">
      <t>センビ</t>
    </rPh>
    <phoneticPr fontId="18"/>
  </si>
  <si>
    <r>
      <rPr>
        <sz val="12"/>
        <color theme="1" tint="4.9989318521683403E-2"/>
        <rFont val="ＭＳ Ｐ明朝"/>
        <family val="1"/>
        <charset val="128"/>
      </rPr>
      <t>年齢</t>
    </r>
    <rPh sb="0" eb="2">
      <t>ネンレイ</t>
    </rPh>
    <phoneticPr fontId="6"/>
  </si>
  <si>
    <r>
      <rPr>
        <sz val="12"/>
        <color theme="1" tint="4.9989318521683403E-2"/>
        <rFont val="ＭＳ Ｐ明朝"/>
        <family val="1"/>
        <charset val="128"/>
      </rPr>
      <t>年齢</t>
    </r>
    <rPh sb="0" eb="2">
      <t>ネンレイ</t>
    </rPh>
    <phoneticPr fontId="18"/>
  </si>
  <si>
    <r>
      <t>6</t>
    </r>
    <r>
      <rPr>
        <sz val="12"/>
        <color theme="1" tint="4.9989318521683403E-2"/>
        <rFont val="ＭＳ Ｐ明朝"/>
        <family val="1"/>
        <charset val="128"/>
      </rPr>
      <t>以上</t>
    </r>
    <r>
      <rPr>
        <sz val="12"/>
        <color theme="1" tint="4.9989318521683403E-2"/>
        <rFont val="ＭＳ 明朝"/>
        <family val="1"/>
        <charset val="128"/>
      </rPr>
      <t/>
    </r>
    <rPh sb="1" eb="3">
      <t>イジョウ</t>
    </rPh>
    <phoneticPr fontId="6"/>
  </si>
  <si>
    <r>
      <t>6</t>
    </r>
    <r>
      <rPr>
        <sz val="12"/>
        <color theme="1" tint="4.9989318521683403E-2"/>
        <rFont val="ＭＳ Ｐ明朝"/>
        <family val="1"/>
        <charset val="128"/>
      </rPr>
      <t>以上</t>
    </r>
    <r>
      <rPr>
        <sz val="12"/>
        <color theme="1" tint="4.9989318521683403E-2"/>
        <rFont val="ＭＳ 明朝"/>
        <family val="1"/>
        <charset val="128"/>
      </rPr>
      <t/>
    </r>
    <rPh sb="1" eb="3">
      <t>イジョウ</t>
    </rPh>
    <phoneticPr fontId="18"/>
  </si>
  <si>
    <r>
      <rPr>
        <sz val="12"/>
        <color theme="1" tint="4.9989318521683403E-2"/>
        <rFont val="ＭＳ Ｐ明朝"/>
        <family val="1"/>
        <charset val="128"/>
      </rPr>
      <t>合計</t>
    </r>
    <rPh sb="0" eb="2">
      <t>ゴウケイ</t>
    </rPh>
    <phoneticPr fontId="18"/>
  </si>
  <si>
    <r>
      <rPr>
        <sz val="14"/>
        <color theme="1" tint="4.9989318521683403E-2"/>
        <rFont val="ＭＳ Ｐ明朝"/>
        <family val="1"/>
        <charset val="128"/>
      </rPr>
      <t>注）</t>
    </r>
    <r>
      <rPr>
        <sz val="14"/>
        <color theme="1" tint="4.9989318521683403E-2"/>
        <rFont val="Times New Roman"/>
        <family val="1"/>
      </rPr>
      <t>10</t>
    </r>
    <r>
      <rPr>
        <sz val="14"/>
        <color theme="1" tint="4.9989318521683403E-2"/>
        <rFont val="ＭＳ Ｐ明朝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11</t>
    </r>
    <r>
      <rPr>
        <sz val="14"/>
        <color theme="1" tint="4.9989318521683403E-2"/>
        <rFont val="ＭＳ Ｐ明朝"/>
        <family val="1"/>
        <charset val="128"/>
      </rPr>
      <t>月時点の値に年齢別の生残率を乗じ、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Ｐ明朝"/>
        <family val="1"/>
        <charset val="128"/>
      </rPr>
      <t>月の値を推定したもの。</t>
    </r>
    <rPh sb="0" eb="1">
      <t>チュウ</t>
    </rPh>
    <rPh sb="7" eb="8">
      <t>ガツ</t>
    </rPh>
    <rPh sb="8" eb="10">
      <t>ジテン</t>
    </rPh>
    <rPh sb="11" eb="12">
      <t>アタイ</t>
    </rPh>
    <rPh sb="13" eb="15">
      <t>ネンレイ</t>
    </rPh>
    <rPh sb="15" eb="16">
      <t>ベツ</t>
    </rPh>
    <rPh sb="17" eb="19">
      <t>セイザン</t>
    </rPh>
    <rPh sb="19" eb="20">
      <t>リツ</t>
    </rPh>
    <rPh sb="21" eb="22">
      <t>ジョウ</t>
    </rPh>
    <rPh sb="25" eb="26">
      <t>ガツ</t>
    </rPh>
    <rPh sb="27" eb="28">
      <t>アタイ</t>
    </rPh>
    <rPh sb="29" eb="31">
      <t>スイテイ</t>
    </rPh>
    <phoneticPr fontId="8"/>
  </si>
  <si>
    <r>
      <rPr>
        <sz val="14"/>
        <color theme="1" tint="4.9989318521683403E-2"/>
        <rFont val="ＭＳ Ｐ明朝"/>
        <family val="1"/>
        <charset val="128"/>
      </rPr>
      <t>　　トロール調査による面積ー密度法による推定値。</t>
    </r>
    <rPh sb="20" eb="23">
      <t>スイテイチ</t>
    </rPh>
    <phoneticPr fontId="4"/>
  </si>
  <si>
    <r>
      <rPr>
        <sz val="14"/>
        <color theme="1" tint="4.9989318521683403E-2"/>
        <rFont val="ＭＳ Ｐ明朝"/>
        <family val="1"/>
        <charset val="128"/>
      </rPr>
      <t>　　トロール調査による面積ー密度法による推定値。</t>
    </r>
    <rPh sb="20" eb="23">
      <t>スイテイチ</t>
    </rPh>
    <phoneticPr fontId="8"/>
  </si>
  <si>
    <r>
      <rPr>
        <sz val="14"/>
        <color theme="1" tint="4.9989318521683403E-2"/>
        <rFont val="ＭＳ Ｐ明朝"/>
        <family val="1"/>
        <charset val="128"/>
      </rPr>
      <t>　　採集効率（</t>
    </r>
    <r>
      <rPr>
        <sz val="14"/>
        <color theme="1" tint="4.9989318521683403E-2"/>
        <rFont val="Times New Roman"/>
        <family val="1"/>
      </rPr>
      <t>Q</t>
    </r>
    <r>
      <rPr>
        <sz val="14"/>
        <color theme="1" tint="4.9989318521683403E-2"/>
        <rFont val="ＭＳ Ｐ明朝"/>
        <family val="1"/>
        <charset val="128"/>
      </rPr>
      <t>）は</t>
    </r>
    <r>
      <rPr>
        <sz val="14"/>
        <color theme="1" tint="4.9989318521683403E-2"/>
        <rFont val="Times New Roman"/>
        <family val="1"/>
      </rPr>
      <t>1996</t>
    </r>
    <r>
      <rPr>
        <sz val="14"/>
        <color theme="1" tint="4.9989318521683403E-2"/>
        <rFont val="ＭＳ Ｐ明朝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2011</t>
    </r>
    <r>
      <rPr>
        <sz val="14"/>
        <color theme="1" tint="4.9989318521683403E-2"/>
        <rFont val="ＭＳ Ｐ明朝"/>
        <family val="1"/>
        <charset val="128"/>
      </rPr>
      <t>年は</t>
    </r>
    <r>
      <rPr>
        <sz val="14"/>
        <color theme="1" tint="4.9989318521683403E-2"/>
        <rFont val="Times New Roman"/>
        <family val="1"/>
      </rPr>
      <t>1</t>
    </r>
    <r>
      <rPr>
        <sz val="14"/>
        <color theme="1" tint="4.9989318521683403E-2"/>
        <rFont val="ＭＳ Ｐ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0.64</t>
    </r>
    <r>
      <rPr>
        <sz val="14"/>
        <color theme="1" tint="4.9989318521683403E-2"/>
        <rFont val="ＭＳ Ｐ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2</t>
    </r>
    <r>
      <rPr>
        <sz val="14"/>
        <color theme="1" tint="4.9989318521683403E-2"/>
        <rFont val="ＭＳ Ｐ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0.54</t>
    </r>
    <r>
      <rPr>
        <sz val="14"/>
        <color theme="1" tint="4.9989318521683403E-2"/>
        <rFont val="ＭＳ Ｐ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3</t>
    </r>
    <r>
      <rPr>
        <sz val="14"/>
        <color theme="1" tint="4.9989318521683403E-2"/>
        <rFont val="ＭＳ Ｐ明朝"/>
        <family val="1"/>
        <charset val="128"/>
      </rPr>
      <t>歳魚以上</t>
    </r>
    <r>
      <rPr>
        <sz val="14"/>
        <color theme="1" tint="4.9989318521683403E-2"/>
        <rFont val="Times New Roman"/>
        <family val="1"/>
      </rPr>
      <t>0.12</t>
    </r>
    <r>
      <rPr>
        <sz val="14"/>
        <color theme="1" tint="4.9989318521683403E-2"/>
        <rFont val="ＭＳ Ｐ明朝"/>
        <family val="1"/>
        <charset val="128"/>
      </rPr>
      <t>、</t>
    </r>
    <r>
      <rPr>
        <sz val="11"/>
        <rFont val="Times New Roman"/>
        <family val="1"/>
      </rPr>
      <t/>
    </r>
    <rPh sb="19" eb="20">
      <t>ネン</t>
    </rPh>
    <rPh sb="22" eb="23">
      <t>サイ</t>
    </rPh>
    <rPh sb="30" eb="31">
      <t>サイ</t>
    </rPh>
    <rPh sb="38" eb="39">
      <t>サイ</t>
    </rPh>
    <phoneticPr fontId="8"/>
  </si>
  <si>
    <r>
      <rPr>
        <sz val="14"/>
        <color theme="1" tint="4.9989318521683403E-2"/>
        <rFont val="ＭＳ Ｐ明朝"/>
        <family val="1"/>
        <charset val="128"/>
      </rPr>
      <t>　　</t>
    </r>
    <r>
      <rPr>
        <sz val="14"/>
        <color theme="1" tint="4.9989318521683403E-2"/>
        <rFont val="Times New Roman"/>
        <family val="1"/>
      </rPr>
      <t>2012</t>
    </r>
    <r>
      <rPr>
        <sz val="14"/>
        <color theme="1" tint="4.9989318521683403E-2"/>
        <rFont val="ＭＳ Ｐ明朝"/>
        <family val="1"/>
        <charset val="128"/>
      </rPr>
      <t>年以降は</t>
    </r>
    <r>
      <rPr>
        <sz val="14"/>
        <color theme="1" tint="4.9989318521683403E-2"/>
        <rFont val="Times New Roman"/>
        <family val="1"/>
      </rPr>
      <t>1</t>
    </r>
    <r>
      <rPr>
        <sz val="14"/>
        <color theme="1" tint="4.9989318521683403E-2"/>
        <rFont val="ＭＳ Ｐ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0.38</t>
    </r>
    <r>
      <rPr>
        <sz val="14"/>
        <color theme="1" tint="4.9989318521683403E-2"/>
        <rFont val="ＭＳ Ｐ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2</t>
    </r>
    <r>
      <rPr>
        <sz val="14"/>
        <color theme="1" tint="4.9989318521683403E-2"/>
        <rFont val="ＭＳ Ｐ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0.72</t>
    </r>
    <r>
      <rPr>
        <sz val="14"/>
        <color theme="1" tint="4.9989318521683403E-2"/>
        <rFont val="ＭＳ Ｐ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3</t>
    </r>
    <r>
      <rPr>
        <sz val="14"/>
        <color theme="1" tint="4.9989318521683403E-2"/>
        <rFont val="ＭＳ Ｐ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0.22</t>
    </r>
    <r>
      <rPr>
        <sz val="14"/>
        <color theme="1" tint="4.9989318521683403E-2"/>
        <rFont val="ＭＳ Ｐ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Ｐ明朝"/>
        <family val="1"/>
        <charset val="128"/>
      </rPr>
      <t>歳以上</t>
    </r>
    <r>
      <rPr>
        <sz val="14"/>
        <color theme="1" tint="4.9989318521683403E-2"/>
        <rFont val="Times New Roman"/>
        <family val="1"/>
      </rPr>
      <t>0.12</t>
    </r>
    <r>
      <rPr>
        <sz val="14"/>
        <color theme="1" tint="4.9989318521683403E-2"/>
        <rFont val="ＭＳ Ｐ明朝"/>
        <family val="1"/>
        <charset val="128"/>
      </rPr>
      <t>とした。</t>
    </r>
    <phoneticPr fontId="8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</si>
  <si>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7-2.</t>
    </r>
    <r>
      <rPr>
        <sz val="16"/>
        <color theme="1"/>
        <rFont val="ＭＳ 明朝"/>
        <family val="1"/>
        <charset val="128"/>
      </rPr>
      <t>　トロール調査から推定した年齢別現存量（トン）</t>
    </r>
    <rPh sb="0" eb="2">
      <t>ホソク</t>
    </rPh>
    <rPh sb="2" eb="3">
      <t>ヒョウ</t>
    </rPh>
    <rPh sb="12" eb="14">
      <t>チョウサ</t>
    </rPh>
    <rPh sb="16" eb="18">
      <t>スイテイ</t>
    </rPh>
    <rPh sb="20" eb="23">
      <t>ネンレイベツ</t>
    </rPh>
    <rPh sb="23" eb="25">
      <t>ゲンゾン</t>
    </rPh>
    <rPh sb="25" eb="26">
      <t>リョウ</t>
    </rPh>
    <phoneticPr fontId="6"/>
  </si>
  <si>
    <r>
      <rPr>
        <sz val="12"/>
        <color theme="1" tint="4.9989318521683403E-2"/>
        <rFont val="ＭＳ Ｐ明朝"/>
        <family val="1"/>
        <charset val="128"/>
      </rPr>
      <t>計</t>
    </r>
    <rPh sb="0" eb="1">
      <t>ケイ</t>
    </rPh>
    <phoneticPr fontId="6"/>
  </si>
  <si>
    <r>
      <rPr>
        <sz val="14"/>
        <color theme="1" tint="4.9989318521683403E-2"/>
        <rFont val="ＭＳ Ｐ明朝"/>
        <family val="1"/>
        <charset val="128"/>
      </rPr>
      <t>注）</t>
    </r>
    <r>
      <rPr>
        <sz val="14"/>
        <color theme="1" tint="4.9989318521683403E-2"/>
        <rFont val="Times New Roman"/>
        <family val="1"/>
      </rPr>
      <t>10</t>
    </r>
    <r>
      <rPr>
        <sz val="14"/>
        <color theme="1" tint="4.9989318521683403E-2"/>
        <rFont val="ＭＳ Ｐ明朝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11</t>
    </r>
    <r>
      <rPr>
        <sz val="14"/>
        <color theme="1" tint="4.9989318521683403E-2"/>
        <rFont val="ＭＳ Ｐ明朝"/>
        <family val="1"/>
        <charset val="128"/>
      </rPr>
      <t>月時点の値から推定した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Ｐ明朝"/>
        <family val="1"/>
        <charset val="128"/>
      </rPr>
      <t>月の現存尾数に各年の各年齢の平均体重を乗じたもの。</t>
    </r>
    <rPh sb="0" eb="1">
      <t>チュウ</t>
    </rPh>
    <rPh sb="7" eb="8">
      <t>ガツ</t>
    </rPh>
    <rPh sb="8" eb="10">
      <t>ジテン</t>
    </rPh>
    <rPh sb="11" eb="12">
      <t>アタイ</t>
    </rPh>
    <rPh sb="14" eb="16">
      <t>スイテイ</t>
    </rPh>
    <rPh sb="19" eb="20">
      <t>ガツ</t>
    </rPh>
    <rPh sb="21" eb="23">
      <t>ゲンゾン</t>
    </rPh>
    <rPh sb="23" eb="25">
      <t>ビスウ</t>
    </rPh>
    <rPh sb="26" eb="28">
      <t>カクネン</t>
    </rPh>
    <rPh sb="29" eb="32">
      <t>カクネンレイ</t>
    </rPh>
    <rPh sb="33" eb="35">
      <t>ヘイキン</t>
    </rPh>
    <rPh sb="35" eb="37">
      <t>タイジュウ</t>
    </rPh>
    <rPh sb="38" eb="39">
      <t>ジョウ</t>
    </rPh>
    <phoneticPr fontId="4"/>
  </si>
  <si>
    <t>　　親魚量は各年、各年齢の資源尾数に各年、各年齢の成熟率を乗じたものである。</t>
    <rPh sb="2" eb="5">
      <t>シンギョリョウ</t>
    </rPh>
    <rPh sb="6" eb="8">
      <t>カクネン</t>
    </rPh>
    <rPh sb="9" eb="12">
      <t>カクネンレイ</t>
    </rPh>
    <rPh sb="13" eb="15">
      <t>シゲン</t>
    </rPh>
    <rPh sb="15" eb="17">
      <t>ビスウ</t>
    </rPh>
    <rPh sb="18" eb="20">
      <t>カクネン</t>
    </rPh>
    <rPh sb="21" eb="24">
      <t>カクネンレイ</t>
    </rPh>
    <rPh sb="25" eb="27">
      <t>セイジュク</t>
    </rPh>
    <rPh sb="27" eb="28">
      <t>リツ</t>
    </rPh>
    <rPh sb="29" eb="30">
      <t>ジョウ</t>
    </rPh>
    <phoneticPr fontId="4"/>
  </si>
  <si>
    <t>補足表7-3.　トロール調査により得られたマダラの現存尾数および変動係数（CV）、信頼区間の年変化</t>
    <rPh sb="43" eb="45">
      <t>クカン</t>
    </rPh>
    <rPh sb="46" eb="47">
      <t>ネン</t>
    </rPh>
    <rPh sb="47" eb="49">
      <t>ヘンカ</t>
    </rPh>
    <phoneticPr fontId="2"/>
  </si>
  <si>
    <r>
      <rPr>
        <sz val="11"/>
        <rFont val="ＭＳ Ｐ明朝"/>
        <family val="1"/>
        <charset val="128"/>
      </rPr>
      <t>年</t>
    </r>
    <rPh sb="0" eb="1">
      <t>ネン</t>
    </rPh>
    <phoneticPr fontId="4"/>
  </si>
  <si>
    <r>
      <rPr>
        <sz val="11"/>
        <rFont val="ＭＳ Ｐ明朝"/>
        <family val="1"/>
        <charset val="128"/>
      </rPr>
      <t>調査地点数</t>
    </r>
    <rPh sb="0" eb="2">
      <t>チョウサ</t>
    </rPh>
    <rPh sb="2" eb="4">
      <t>チテン</t>
    </rPh>
    <rPh sb="4" eb="5">
      <t>スウ</t>
    </rPh>
    <phoneticPr fontId="4"/>
  </si>
  <si>
    <r>
      <rPr>
        <sz val="11"/>
        <rFont val="ＭＳ Ｐ明朝"/>
        <family val="1"/>
        <charset val="128"/>
      </rPr>
      <t>現存尾数（千尾）</t>
    </r>
    <rPh sb="0" eb="2">
      <t>ゲンゾン</t>
    </rPh>
    <rPh sb="2" eb="3">
      <t>オ</t>
    </rPh>
    <rPh sb="3" eb="4">
      <t>カズ</t>
    </rPh>
    <rPh sb="5" eb="7">
      <t>センビ</t>
    </rPh>
    <phoneticPr fontId="4"/>
  </si>
  <si>
    <r>
      <rPr>
        <sz val="11"/>
        <rFont val="ＭＳ Ｐ明朝"/>
        <family val="1"/>
        <charset val="128"/>
      </rPr>
      <t>現存尾数の</t>
    </r>
    <r>
      <rPr>
        <sz val="11"/>
        <rFont val="Times New Roman"/>
        <family val="1"/>
      </rPr>
      <t>CV</t>
    </r>
    <rPh sb="0" eb="2">
      <t>ゲンゾン</t>
    </rPh>
    <rPh sb="2" eb="3">
      <t>オ</t>
    </rPh>
    <rPh sb="3" eb="4">
      <t>カズ</t>
    </rPh>
    <phoneticPr fontId="4"/>
  </si>
  <si>
    <r>
      <rPr>
        <sz val="11"/>
        <rFont val="ＭＳ Ｐ明朝"/>
        <family val="1"/>
        <charset val="128"/>
      </rPr>
      <t>現存尾数の</t>
    </r>
    <r>
      <rPr>
        <sz val="11"/>
        <rFont val="Times New Roman"/>
        <family val="1"/>
      </rPr>
      <t>SE</t>
    </r>
    <r>
      <rPr>
        <sz val="11"/>
        <rFont val="ＭＳ Ｐ明朝"/>
        <family val="1"/>
        <charset val="128"/>
      </rPr>
      <t>（千尾）</t>
    </r>
    <rPh sb="0" eb="2">
      <t>ゲンゾン</t>
    </rPh>
    <rPh sb="2" eb="3">
      <t>オ</t>
    </rPh>
    <rPh sb="3" eb="4">
      <t>カズ</t>
    </rPh>
    <rPh sb="8" eb="10">
      <t>センビ</t>
    </rPh>
    <phoneticPr fontId="4"/>
  </si>
  <si>
    <r>
      <t>95%</t>
    </r>
    <r>
      <rPr>
        <sz val="11"/>
        <rFont val="ＭＳ Ｐ明朝"/>
        <family val="1"/>
        <charset val="128"/>
      </rPr>
      <t>信頼区間（下限、千尾）</t>
    </r>
    <rPh sb="3" eb="5">
      <t>シンライ</t>
    </rPh>
    <rPh sb="5" eb="7">
      <t>クカン</t>
    </rPh>
    <rPh sb="8" eb="10">
      <t>カゲン</t>
    </rPh>
    <rPh sb="11" eb="13">
      <t>センビ</t>
    </rPh>
    <phoneticPr fontId="4"/>
  </si>
  <si>
    <r>
      <t>95%</t>
    </r>
    <r>
      <rPr>
        <sz val="11"/>
        <rFont val="ＭＳ Ｐ明朝"/>
        <family val="1"/>
        <charset val="128"/>
      </rPr>
      <t>信頼区間（上限、千尾）</t>
    </r>
    <rPh sb="3" eb="5">
      <t>シンライ</t>
    </rPh>
    <rPh sb="5" eb="7">
      <t>クカン</t>
    </rPh>
    <rPh sb="8" eb="10">
      <t>ジョウゲン</t>
    </rPh>
    <rPh sb="11" eb="13">
      <t>センビ</t>
    </rPh>
    <phoneticPr fontId="4"/>
  </si>
  <si>
    <r>
      <rPr>
        <sz val="10"/>
        <rFont val="ＭＳ Ｐ明朝"/>
        <family val="1"/>
        <charset val="128"/>
      </rPr>
      <t>注）</t>
    </r>
    <r>
      <rPr>
        <sz val="10"/>
        <rFont val="Times New Roman"/>
        <family val="1"/>
      </rPr>
      <t>CV</t>
    </r>
    <r>
      <rPr>
        <sz val="10"/>
        <rFont val="ＭＳ Ｐ明朝"/>
        <family val="1"/>
        <charset val="128"/>
      </rPr>
      <t>、信頼区間は各年齢に分けて求めた資源尾数、</t>
    </r>
    <r>
      <rPr>
        <sz val="10"/>
        <rFont val="Times New Roman"/>
        <family val="1"/>
      </rPr>
      <t>SE</t>
    </r>
    <r>
      <rPr>
        <sz val="10"/>
        <rFont val="ＭＳ Ｐ明朝"/>
        <family val="1"/>
        <charset val="128"/>
      </rPr>
      <t>から求めたものである。</t>
    </r>
    <rPh sb="0" eb="1">
      <t>チュウ</t>
    </rPh>
    <rPh sb="5" eb="7">
      <t>シンライ</t>
    </rPh>
    <rPh sb="7" eb="9">
      <t>クカン</t>
    </rPh>
    <rPh sb="10" eb="13">
      <t>カクネンレイ</t>
    </rPh>
    <rPh sb="14" eb="15">
      <t>ワ</t>
    </rPh>
    <rPh sb="17" eb="18">
      <t>モト</t>
    </rPh>
    <rPh sb="20" eb="22">
      <t>シゲン</t>
    </rPh>
    <rPh sb="22" eb="23">
      <t>オ</t>
    </rPh>
    <rPh sb="23" eb="24">
      <t>カズ</t>
    </rPh>
    <rPh sb="29" eb="30">
      <t>モト</t>
    </rPh>
    <phoneticPr fontId="4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</si>
  <si>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2-1.</t>
    </r>
    <r>
      <rPr>
        <sz val="16"/>
        <rFont val="ＭＳ 明朝"/>
        <family val="1"/>
        <charset val="128"/>
      </rPr>
      <t>　コホート解析に用いたデータ（</t>
    </r>
    <r>
      <rPr>
        <sz val="16"/>
        <rFont val="Times New Roman"/>
        <family val="1"/>
      </rPr>
      <t>1996</t>
    </r>
    <r>
      <rPr>
        <sz val="16"/>
        <rFont val="ＭＳ 明朝"/>
        <family val="1"/>
        <charset val="128"/>
      </rPr>
      <t>～</t>
    </r>
    <r>
      <rPr>
        <sz val="16"/>
        <rFont val="Times New Roman"/>
        <family val="1"/>
      </rPr>
      <t>2010</t>
    </r>
    <r>
      <rPr>
        <sz val="16"/>
        <rFont val="ＭＳ 明朝"/>
        <family val="1"/>
        <charset val="128"/>
      </rPr>
      <t>年漁期）</t>
    </r>
    <rPh sb="0" eb="3">
      <t>ホソクヒョウ</t>
    </rPh>
    <rPh sb="12" eb="14">
      <t>カイセキ</t>
    </rPh>
    <rPh sb="15" eb="16">
      <t>モチ</t>
    </rPh>
    <rPh sb="31" eb="32">
      <t>ネン</t>
    </rPh>
    <rPh sb="32" eb="34">
      <t>ギョキ</t>
    </rPh>
    <phoneticPr fontId="8"/>
  </si>
  <si>
    <r>
      <t xml:space="preserve">Fcurrent
</t>
    </r>
    <r>
      <rPr>
        <sz val="11"/>
        <rFont val="ＭＳ Ｐ明朝"/>
        <family val="1"/>
        <charset val="128"/>
      </rPr>
      <t>（注2）</t>
    </r>
    <rPh sb="10" eb="11">
      <t>チュウ</t>
    </rPh>
    <phoneticPr fontId="8"/>
  </si>
  <si>
    <t>注1：　令和2年度研究機関会議でMSYを実現する水準の推定の際に使用した選択率（すなわち、令和2年度度資源評価でのFcurrentの選択率）。</t>
  </si>
  <si>
    <t>注2：　令和2年度研究機関会議で推定されたFmsy（すなわち、令和2年度資源評価でのFcurrentにFmsy/Fcurrentを掛けたもの）。</t>
  </si>
  <si>
    <t>注3：　上記の選択率の下で、今回の資源評価で推定された2018～2020年漁期の年齢別の平均Fと同じ漁獲圧を与えるF値を%SPR換算して算出した。このF値は2022年漁期の漁獲量の仮定に使用した。</t>
  </si>
  <si>
    <t>注4：　将来予測における3、4歳の成熟割合（Maa）はそれぞれ以下の式による。なお、Nはそれぞれの年齢における資源尾数である。</t>
    <phoneticPr fontId="2"/>
  </si>
  <si>
    <t>補足表6-1.　再生産関係式のパラメータ</t>
  </si>
  <si>
    <r>
      <t>3歳：Maa=-5.24*10</t>
    </r>
    <r>
      <rPr>
        <vertAlign val="superscript"/>
        <sz val="11"/>
        <color theme="1"/>
        <rFont val="游ゴシック"/>
        <family val="3"/>
        <charset val="128"/>
        <scheme val="minor"/>
      </rPr>
      <t>(-8)</t>
    </r>
    <r>
      <rPr>
        <sz val="11"/>
        <color theme="1"/>
        <rFont val="游ゴシック"/>
        <family val="2"/>
        <charset val="128"/>
        <scheme val="minor"/>
      </rPr>
      <t>Nage3+0.48　(0.72≥Maa≥0.02)</t>
    </r>
    <phoneticPr fontId="2"/>
  </si>
  <si>
    <r>
      <t>4歳：Maa=-5.67*10</t>
    </r>
    <r>
      <rPr>
        <vertAlign val="superscript"/>
        <sz val="11"/>
        <color theme="1"/>
        <rFont val="游ゴシック"/>
        <family val="3"/>
        <charset val="128"/>
        <scheme val="minor"/>
      </rPr>
      <t>(-8)</t>
    </r>
    <r>
      <rPr>
        <sz val="11"/>
        <color theme="1"/>
        <rFont val="游ゴシック"/>
        <family val="2"/>
        <charset val="128"/>
        <scheme val="minor"/>
      </rPr>
      <t>Nage4+0.87　(0.96≥Maa≥0.34)</t>
    </r>
    <phoneticPr fontId="2"/>
  </si>
  <si>
    <r>
      <t>1.15 × 10</t>
    </r>
    <r>
      <rPr>
        <vertAlign val="superscript"/>
        <sz val="11"/>
        <color theme="1"/>
        <rFont val="Times New Roman"/>
        <family val="1"/>
      </rPr>
      <t>(-4)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</si>
</sst>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¥&quot;#,##0;&quot;¥&quot;\-#,##0"/>
    <numFmt numFmtId="176" formatCode="0_ "/>
    <numFmt numFmtId="177" formatCode="#,##0_);[Red]\(#,##0\)"/>
    <numFmt numFmtId="178" formatCode="0_);[Red]\(0\)"/>
    <numFmt numFmtId="179" formatCode="#,##0_ "/>
    <numFmt numFmtId="180" formatCode="#,##0.00_ "/>
    <numFmt numFmtId="181" formatCode="0.00_);[Red]\(0.00\)"/>
    <numFmt numFmtId="182" formatCode="0.0_);[Red]\(0.0\)"/>
    <numFmt numFmtId="183" formatCode="0.0_ "/>
    <numFmt numFmtId="184" formatCode="0.00_ "/>
    <numFmt numFmtId="185" formatCode="0.000_);[Red]\(0.000\)"/>
    <numFmt numFmtId="186" formatCode="0.0%"/>
    <numFmt numFmtId="187" formatCode="#,##0.000_ "/>
    <numFmt numFmtId="188" formatCode="0.000_ "/>
  </numFmts>
  <fonts count="60"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游明朝"/>
      <family val="1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6"/>
      <name val="Osaka"/>
      <family val="3"/>
      <charset val="128"/>
    </font>
    <font>
      <sz val="16"/>
      <name val="ＭＳ 明朝"/>
      <family val="1"/>
      <charset val="128"/>
    </font>
    <font>
      <sz val="10"/>
      <name val="ＭＳ 明朝"/>
      <family val="1"/>
      <charset val="128"/>
    </font>
    <font>
      <sz val="10"/>
      <color indexed="8"/>
      <name val="Times New Roman"/>
      <family val="1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9"/>
      <color theme="1"/>
      <name val="ＭＳ Ｐゴシック"/>
      <family val="3"/>
      <charset val="128"/>
    </font>
    <font>
      <sz val="12"/>
      <color theme="1"/>
      <name val="Osaka"/>
      <family val="3"/>
      <charset val="128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28"/>
    </font>
    <font>
      <sz val="16"/>
      <name val="Times New Roman"/>
      <family val="1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Yu Gothic"/>
      <family val="1"/>
      <charset val="128"/>
    </font>
    <font>
      <sz val="10"/>
      <name val="Times New Roman"/>
      <family val="1"/>
      <charset val="128"/>
    </font>
    <font>
      <sz val="11"/>
      <name val="Times New Roman"/>
      <family val="1"/>
      <charset val="128"/>
    </font>
    <font>
      <sz val="10.5"/>
      <color theme="1"/>
      <name val="ＭＳ 明朝"/>
      <family val="1"/>
      <charset val="128"/>
    </font>
    <font>
      <b/>
      <sz val="11"/>
      <color theme="1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theme="1"/>
      <name val="游明朝"/>
      <family val="1"/>
      <charset val="128"/>
    </font>
    <font>
      <sz val="10.5"/>
      <color theme="1"/>
      <name val="Times New Roman"/>
      <family val="1"/>
    </font>
    <font>
      <sz val="10.5"/>
      <color rgb="FF000000"/>
      <name val="ＭＳ ゴシック"/>
      <family val="3"/>
      <charset val="128"/>
    </font>
    <font>
      <sz val="11"/>
      <color theme="1"/>
      <name val="游明朝"/>
      <family val="1"/>
      <charset val="128"/>
    </font>
    <font>
      <sz val="19"/>
      <color theme="1"/>
      <name val="Times New Roman"/>
      <family val="1"/>
    </font>
    <font>
      <sz val="19"/>
      <color theme="1"/>
      <name val="ＭＳ Ｐ明朝"/>
      <family val="1"/>
      <charset val="128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12"/>
      <color theme="1" tint="4.9989318521683403E-2"/>
      <name val="Times New Roman"/>
      <family val="1"/>
    </font>
    <font>
      <sz val="12"/>
      <color theme="1" tint="4.9989318521683403E-2"/>
      <name val="ＭＳ Ｐ明朝"/>
      <family val="1"/>
      <charset val="128"/>
    </font>
    <font>
      <sz val="12"/>
      <color theme="1" tint="4.9989318521683403E-2"/>
      <name val="ＭＳ 明朝"/>
      <family val="1"/>
      <charset val="128"/>
    </font>
    <font>
      <sz val="14"/>
      <color theme="1" tint="4.9989318521683403E-2"/>
      <name val="Times New Roman"/>
      <family val="1"/>
    </font>
    <font>
      <sz val="14"/>
      <color theme="1" tint="4.9989318521683403E-2"/>
      <name val="ＭＳ Ｐ明朝"/>
      <family val="1"/>
      <charset val="128"/>
    </font>
    <font>
      <sz val="11"/>
      <color theme="1" tint="4.9989318521683403E-2"/>
      <name val="Times New Roman"/>
      <family val="1"/>
    </font>
    <font>
      <sz val="16"/>
      <color theme="1"/>
      <name val="ＭＳ 明朝"/>
      <family val="1"/>
      <charset val="128"/>
    </font>
    <font>
      <sz val="16"/>
      <color theme="1"/>
      <name val="Times New Roman"/>
      <family val="1"/>
    </font>
    <font>
      <sz val="16"/>
      <color theme="1"/>
      <name val="Times New Roman"/>
      <family val="1"/>
      <charset val="128"/>
    </font>
    <font>
      <sz val="11"/>
      <color rgb="FFFF0000"/>
      <name val="Times New Roman"/>
      <family val="1"/>
    </font>
    <font>
      <sz val="10"/>
      <color theme="1" tint="4.9989318521683403E-2"/>
      <name val="Times New Roman"/>
      <family val="1"/>
    </font>
    <font>
      <sz val="16"/>
      <name val="Times New Roman"/>
      <family val="1"/>
      <charset val="128"/>
    </font>
    <font>
      <vertAlign val="superscript"/>
      <sz val="11"/>
      <color theme="1"/>
      <name val="游ゴシック"/>
      <family val="3"/>
      <charset val="128"/>
      <scheme val="minor"/>
    </font>
    <font>
      <vertAlign val="superscript"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29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2" borderId="1" xfId="0" applyFont="1" applyFill="1" applyBorder="1" applyAlignment="1"/>
    <xf numFmtId="176" fontId="7" fillId="2" borderId="1" xfId="0" applyNumberFormat="1" applyFont="1" applyFill="1" applyBorder="1" applyAlignment="1">
      <alignment horizontal="right"/>
    </xf>
    <xf numFmtId="0" fontId="6" fillId="2" borderId="0" xfId="0" applyFont="1" applyFill="1" applyAlignment="1"/>
    <xf numFmtId="177" fontId="7" fillId="2" borderId="0" xfId="0" applyNumberFormat="1" applyFont="1" applyFill="1" applyAlignment="1"/>
    <xf numFmtId="177" fontId="7" fillId="2" borderId="1" xfId="0" applyNumberFormat="1" applyFont="1" applyFill="1" applyBorder="1" applyAlignment="1"/>
    <xf numFmtId="0" fontId="6" fillId="2" borderId="2" xfId="0" applyFont="1" applyFill="1" applyBorder="1" applyAlignment="1"/>
    <xf numFmtId="177" fontId="7" fillId="2" borderId="2" xfId="0" applyNumberFormat="1" applyFont="1" applyFill="1" applyBorder="1" applyAlignment="1"/>
    <xf numFmtId="0" fontId="7" fillId="2" borderId="2" xfId="0" applyFont="1" applyFill="1" applyBorder="1" applyAlignment="1"/>
    <xf numFmtId="178" fontId="7" fillId="2" borderId="1" xfId="0" applyNumberFormat="1" applyFont="1" applyFill="1" applyBorder="1" applyAlignment="1">
      <alignment horizontal="right"/>
    </xf>
    <xf numFmtId="177" fontId="7" fillId="2" borderId="3" xfId="1" applyNumberFormat="1" applyFont="1" applyFill="1" applyBorder="1"/>
    <xf numFmtId="177" fontId="7" fillId="2" borderId="0" xfId="1" applyNumberFormat="1" applyFont="1" applyFill="1" applyProtection="1">
      <protection locked="0"/>
    </xf>
    <xf numFmtId="177" fontId="7" fillId="2" borderId="0" xfId="1" applyNumberFormat="1" applyFont="1" applyFill="1"/>
    <xf numFmtId="0" fontId="10" fillId="2" borderId="2" xfId="0" applyFont="1" applyFill="1" applyBorder="1" applyAlignment="1"/>
    <xf numFmtId="176" fontId="11" fillId="2" borderId="1" xfId="0" applyNumberFormat="1" applyFont="1" applyFill="1" applyBorder="1" applyAlignment="1">
      <alignment horizontal="right"/>
    </xf>
    <xf numFmtId="179" fontId="7" fillId="2" borderId="0" xfId="0" applyNumberFormat="1" applyFont="1" applyFill="1" applyAlignment="1"/>
    <xf numFmtId="177" fontId="11" fillId="2" borderId="0" xfId="0" applyNumberFormat="1" applyFont="1" applyFill="1" applyAlignment="1"/>
    <xf numFmtId="177" fontId="11" fillId="2" borderId="2" xfId="0" applyNumberFormat="1" applyFont="1" applyFill="1" applyBorder="1" applyAlignment="1"/>
    <xf numFmtId="0" fontId="12" fillId="2" borderId="2" xfId="0" applyFont="1" applyFill="1" applyBorder="1" applyAlignment="1"/>
    <xf numFmtId="0" fontId="10" fillId="2" borderId="0" xfId="0" applyFont="1" applyFill="1" applyAlignment="1"/>
    <xf numFmtId="0" fontId="13" fillId="2" borderId="0" xfId="0" applyFont="1" applyFill="1" applyAlignment="1"/>
    <xf numFmtId="177" fontId="14" fillId="2" borderId="0" xfId="0" applyNumberFormat="1" applyFont="1" applyFill="1" applyAlignment="1"/>
    <xf numFmtId="177" fontId="13" fillId="2" borderId="0" xfId="0" applyNumberFormat="1" applyFont="1" applyFill="1" applyAlignment="1"/>
    <xf numFmtId="0" fontId="0" fillId="0" borderId="1" xfId="0" applyBorder="1">
      <alignment vertical="center"/>
    </xf>
    <xf numFmtId="178" fontId="0" fillId="0" borderId="0" xfId="0" applyNumberFormat="1">
      <alignment vertical="center"/>
    </xf>
    <xf numFmtId="0" fontId="15" fillId="2" borderId="1" xfId="0" applyFont="1" applyFill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/>
    <xf numFmtId="179" fontId="15" fillId="2" borderId="0" xfId="0" applyNumberFormat="1" applyFont="1" applyFill="1" applyAlignment="1"/>
    <xf numFmtId="178" fontId="15" fillId="2" borderId="0" xfId="0" applyNumberFormat="1" applyFont="1" applyFill="1" applyAlignment="1"/>
    <xf numFmtId="180" fontId="15" fillId="2" borderId="0" xfId="0" applyNumberFormat="1" applyFont="1" applyFill="1" applyAlignment="1"/>
    <xf numFmtId="0" fontId="15" fillId="2" borderId="0" xfId="0" applyFont="1" applyFill="1" applyAlignment="1"/>
    <xf numFmtId="181" fontId="15" fillId="2" borderId="0" xfId="0" applyNumberFormat="1" applyFont="1" applyFill="1" applyAlignment="1"/>
    <xf numFmtId="182" fontId="15" fillId="2" borderId="0" xfId="0" applyNumberFormat="1" applyFont="1" applyFill="1" applyAlignment="1"/>
    <xf numFmtId="183" fontId="15" fillId="2" borderId="0" xfId="0" applyNumberFormat="1" applyFont="1" applyFill="1" applyAlignment="1"/>
    <xf numFmtId="0" fontId="16" fillId="2" borderId="1" xfId="0" applyFont="1" applyFill="1" applyBorder="1" applyAlignment="1"/>
    <xf numFmtId="179" fontId="15" fillId="2" borderId="1" xfId="0" applyNumberFormat="1" applyFont="1" applyFill="1" applyBorder="1" applyAlignment="1"/>
    <xf numFmtId="178" fontId="15" fillId="2" borderId="1" xfId="0" applyNumberFormat="1" applyFont="1" applyFill="1" applyBorder="1" applyAlignment="1"/>
    <xf numFmtId="180" fontId="15" fillId="2" borderId="1" xfId="0" applyNumberFormat="1" applyFont="1" applyFill="1" applyBorder="1" applyAlignment="1"/>
    <xf numFmtId="183" fontId="15" fillId="2" borderId="1" xfId="0" applyNumberFormat="1" applyFont="1" applyFill="1" applyBorder="1" applyAlignment="1"/>
    <xf numFmtId="181" fontId="15" fillId="2" borderId="1" xfId="0" applyNumberFormat="1" applyFont="1" applyFill="1" applyBorder="1" applyAlignment="1"/>
    <xf numFmtId="182" fontId="15" fillId="2" borderId="1" xfId="0" applyNumberFormat="1" applyFont="1" applyFill="1" applyBorder="1" applyAlignment="1"/>
    <xf numFmtId="182" fontId="0" fillId="0" borderId="0" xfId="0" applyNumberFormat="1">
      <alignment vertical="center"/>
    </xf>
    <xf numFmtId="182" fontId="0" fillId="0" borderId="0" xfId="0" applyNumberFormat="1" applyAlignment="1">
      <alignment vertical="center" wrapText="1"/>
    </xf>
    <xf numFmtId="181" fontId="0" fillId="0" borderId="0" xfId="0" applyNumberFormat="1">
      <alignment vertical="center"/>
    </xf>
    <xf numFmtId="0" fontId="0" fillId="2" borderId="0" xfId="0" applyFill="1" applyAlignment="1"/>
    <xf numFmtId="0" fontId="7" fillId="2" borderId="0" xfId="0" applyFont="1" applyFill="1" applyAlignment="1"/>
    <xf numFmtId="0" fontId="20" fillId="2" borderId="2" xfId="0" applyFont="1" applyFill="1" applyBorder="1" applyAlignment="1">
      <alignment horizontal="center" vertical="center"/>
    </xf>
    <xf numFmtId="5" fontId="13" fillId="2" borderId="2" xfId="0" applyNumberFormat="1" applyFont="1" applyFill="1" applyBorder="1" applyAlignment="1">
      <alignment horizontal="center" vertical="center" wrapText="1"/>
    </xf>
    <xf numFmtId="179" fontId="13" fillId="2" borderId="2" xfId="0" applyNumberFormat="1" applyFont="1" applyFill="1" applyBorder="1" applyAlignment="1">
      <alignment horizontal="center" vertical="center" wrapText="1"/>
    </xf>
    <xf numFmtId="179" fontId="30" fillId="2" borderId="0" xfId="0" applyNumberFormat="1" applyFont="1" applyFill="1" applyAlignment="1">
      <alignment horizontal="center"/>
    </xf>
    <xf numFmtId="185" fontId="30" fillId="2" borderId="0" xfId="0" applyNumberFormat="1" applyFont="1" applyFill="1" applyAlignment="1">
      <alignment horizontal="center"/>
    </xf>
    <xf numFmtId="181" fontId="30" fillId="2" borderId="0" xfId="0" applyNumberFormat="1" applyFont="1" applyFill="1" applyAlignment="1">
      <alignment horizontal="center"/>
    </xf>
    <xf numFmtId="179" fontId="30" fillId="2" borderId="1" xfId="0" applyNumberFormat="1" applyFont="1" applyFill="1" applyBorder="1" applyAlignment="1">
      <alignment horizontal="center"/>
    </xf>
    <xf numFmtId="185" fontId="30" fillId="2" borderId="1" xfId="0" applyNumberFormat="1" applyFont="1" applyFill="1" applyBorder="1" applyAlignment="1">
      <alignment horizontal="center"/>
    </xf>
    <xf numFmtId="181" fontId="30" fillId="2" borderId="1" xfId="0" applyNumberFormat="1" applyFont="1" applyFill="1" applyBorder="1" applyAlignment="1">
      <alignment horizontal="center"/>
    </xf>
    <xf numFmtId="0" fontId="33" fillId="2" borderId="0" xfId="0" applyFont="1" applyFill="1" applyAlignment="1">
      <alignment horizontal="left"/>
    </xf>
    <xf numFmtId="0" fontId="33" fillId="2" borderId="0" xfId="0" applyFont="1" applyFill="1" applyAlignment="1"/>
    <xf numFmtId="0" fontId="30" fillId="2" borderId="0" xfId="0" applyFont="1" applyFill="1" applyAlignment="1"/>
    <xf numFmtId="0" fontId="34" fillId="2" borderId="1" xfId="0" applyFont="1" applyFill="1" applyBorder="1" applyAlignment="1"/>
    <xf numFmtId="0" fontId="16" fillId="3" borderId="4" xfId="0" applyFont="1" applyFill="1" applyBorder="1" applyAlignment="1">
      <alignment horizontal="center" vertical="center"/>
    </xf>
    <xf numFmtId="0" fontId="16" fillId="3" borderId="4" xfId="0" applyFont="1" applyFill="1" applyBorder="1">
      <alignment vertical="center"/>
    </xf>
    <xf numFmtId="0" fontId="36" fillId="3" borderId="4" xfId="0" applyFont="1" applyFill="1" applyBorder="1">
      <alignment vertical="center"/>
    </xf>
    <xf numFmtId="0" fontId="16" fillId="0" borderId="4" xfId="0" applyFont="1" applyBorder="1">
      <alignment vertical="center"/>
    </xf>
    <xf numFmtId="0" fontId="36" fillId="0" borderId="4" xfId="0" applyFont="1" applyBorder="1">
      <alignment vertical="center"/>
    </xf>
    <xf numFmtId="0" fontId="16" fillId="3" borderId="4" xfId="0" applyFont="1" applyFill="1" applyBorder="1" applyAlignment="1">
      <alignment horizontal="center" vertical="center" wrapText="1"/>
    </xf>
    <xf numFmtId="183" fontId="16" fillId="0" borderId="4" xfId="0" applyNumberFormat="1" applyFont="1" applyBorder="1">
      <alignment vertical="center"/>
    </xf>
    <xf numFmtId="183" fontId="36" fillId="0" borderId="4" xfId="0" applyNumberFormat="1" applyFont="1" applyBorder="1">
      <alignment vertical="center"/>
    </xf>
    <xf numFmtId="183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183" fontId="16" fillId="0" borderId="0" xfId="0" applyNumberFormat="1" applyFont="1">
      <alignment vertical="center"/>
    </xf>
    <xf numFmtId="0" fontId="16" fillId="0" borderId="0" xfId="0" applyFont="1">
      <alignment vertical="center"/>
    </xf>
    <xf numFmtId="178" fontId="16" fillId="3" borderId="11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0" fontId="37" fillId="4" borderId="7" xfId="0" applyFont="1" applyFill="1" applyBorder="1" applyAlignment="1">
      <alignment horizontal="center" vertical="center" wrapText="1"/>
    </xf>
    <xf numFmtId="0" fontId="37" fillId="4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justify" vertical="center" wrapText="1"/>
    </xf>
    <xf numFmtId="0" fontId="37" fillId="0" borderId="13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35" fillId="0" borderId="0" xfId="0" applyFont="1" applyAlignment="1">
      <alignment horizontal="left" vertical="center"/>
    </xf>
    <xf numFmtId="186" fontId="4" fillId="0" borderId="10" xfId="0" applyNumberFormat="1" applyFont="1" applyBorder="1" applyAlignment="1">
      <alignment horizontal="center" vertical="center" wrapText="1"/>
    </xf>
    <xf numFmtId="0" fontId="37" fillId="4" borderId="7" xfId="0" applyFont="1" applyFill="1" applyBorder="1" applyAlignment="1">
      <alignment horizontal="justify" vertical="center" wrapText="1"/>
    </xf>
    <xf numFmtId="0" fontId="37" fillId="4" borderId="8" xfId="0" applyFont="1" applyFill="1" applyBorder="1" applyAlignment="1">
      <alignment horizontal="justify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0" fontId="37" fillId="0" borderId="9" xfId="0" applyFont="1" applyBorder="1" applyAlignment="1">
      <alignment horizontal="justify" vertical="center" wrapText="1"/>
    </xf>
    <xf numFmtId="0" fontId="39" fillId="0" borderId="0" xfId="0" applyFont="1" applyAlignment="1">
      <alignment horizontal="justify" vertical="center"/>
    </xf>
    <xf numFmtId="0" fontId="40" fillId="0" borderId="0" xfId="0" applyFont="1" applyAlignment="1">
      <alignment horizontal="justify" vertical="center"/>
    </xf>
    <xf numFmtId="0" fontId="38" fillId="0" borderId="0" xfId="0" applyFont="1" applyAlignment="1">
      <alignment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37" fillId="4" borderId="13" xfId="0" applyFont="1" applyFill="1" applyBorder="1" applyAlignment="1">
      <alignment horizontal="center" vertical="center" wrapText="1"/>
    </xf>
    <xf numFmtId="0" fontId="37" fillId="4" borderId="2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37" fillId="4" borderId="13" xfId="0" applyFont="1" applyFill="1" applyBorder="1" applyAlignment="1">
      <alignment horizontal="center" vertical="center"/>
    </xf>
    <xf numFmtId="0" fontId="0" fillId="4" borderId="22" xfId="0" applyFill="1" applyBorder="1">
      <alignment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right" vertical="center"/>
    </xf>
    <xf numFmtId="0" fontId="4" fillId="5" borderId="9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37" fillId="4" borderId="12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 wrapText="1"/>
    </xf>
    <xf numFmtId="9" fontId="4" fillId="4" borderId="13" xfId="0" applyNumberFormat="1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37" fillId="4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5" borderId="10" xfId="0" applyFont="1" applyFill="1" applyBorder="1">
      <alignment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44" fillId="2" borderId="0" xfId="0" applyFont="1" applyFill="1" applyAlignment="1"/>
    <xf numFmtId="0" fontId="44" fillId="2" borderId="1" xfId="0" applyFont="1" applyFill="1" applyBorder="1" applyAlignment="1"/>
    <xf numFmtId="0" fontId="45" fillId="2" borderId="1" xfId="0" applyFont="1" applyFill="1" applyBorder="1" applyAlignment="1"/>
    <xf numFmtId="0" fontId="45" fillId="2" borderId="0" xfId="0" applyFont="1" applyFill="1" applyAlignment="1"/>
    <xf numFmtId="178" fontId="46" fillId="2" borderId="27" xfId="0" applyNumberFormat="1" applyFont="1" applyFill="1" applyBorder="1" applyAlignment="1">
      <alignment horizontal="right"/>
    </xf>
    <xf numFmtId="178" fontId="46" fillId="2" borderId="27" xfId="0" applyNumberFormat="1" applyFont="1" applyFill="1" applyBorder="1" applyAlignment="1"/>
    <xf numFmtId="0" fontId="46" fillId="2" borderId="0" xfId="0" applyFont="1" applyFill="1" applyAlignment="1"/>
    <xf numFmtId="177" fontId="46" fillId="2" borderId="0" xfId="0" applyNumberFormat="1" applyFont="1" applyFill="1" applyAlignment="1">
      <alignment horizontal="right"/>
    </xf>
    <xf numFmtId="0" fontId="46" fillId="2" borderId="0" xfId="0" applyFont="1" applyFill="1" applyAlignment="1">
      <alignment horizontal="right"/>
    </xf>
    <xf numFmtId="0" fontId="46" fillId="2" borderId="28" xfId="0" applyFont="1" applyFill="1" applyBorder="1" applyAlignment="1">
      <alignment horizontal="right"/>
    </xf>
    <xf numFmtId="177" fontId="46" fillId="2" borderId="28" xfId="0" applyNumberFormat="1" applyFont="1" applyFill="1" applyBorder="1" applyAlignment="1">
      <alignment horizontal="right"/>
    </xf>
    <xf numFmtId="0" fontId="46" fillId="2" borderId="1" xfId="0" applyFont="1" applyFill="1" applyBorder="1" applyAlignment="1">
      <alignment horizontal="right"/>
    </xf>
    <xf numFmtId="177" fontId="46" fillId="2" borderId="1" xfId="0" applyNumberFormat="1" applyFont="1" applyFill="1" applyBorder="1" applyAlignment="1">
      <alignment horizontal="right"/>
    </xf>
    <xf numFmtId="177" fontId="46" fillId="2" borderId="0" xfId="0" applyNumberFormat="1" applyFont="1" applyFill="1" applyAlignment="1"/>
    <xf numFmtId="177" fontId="46" fillId="2" borderId="28" xfId="0" applyNumberFormat="1" applyFont="1" applyFill="1" applyBorder="1" applyAlignment="1"/>
    <xf numFmtId="0" fontId="49" fillId="2" borderId="0" xfId="0" applyFont="1" applyFill="1">
      <alignment vertical="center"/>
    </xf>
    <xf numFmtId="0" fontId="51" fillId="2" borderId="0" xfId="0" applyFont="1" applyFill="1">
      <alignment vertical="center"/>
    </xf>
    <xf numFmtId="177" fontId="0" fillId="0" borderId="0" xfId="0" applyNumberFormat="1">
      <alignment vertical="center"/>
    </xf>
    <xf numFmtId="0" fontId="46" fillId="2" borderId="29" xfId="0" applyFont="1" applyFill="1" applyBorder="1" applyAlignment="1">
      <alignment horizontal="right"/>
    </xf>
    <xf numFmtId="177" fontId="46" fillId="2" borderId="29" xfId="0" applyNumberFormat="1" applyFont="1" applyFill="1" applyBorder="1" applyAlignment="1">
      <alignment horizontal="right"/>
    </xf>
    <xf numFmtId="177" fontId="47" fillId="2" borderId="0" xfId="0" applyNumberFormat="1" applyFont="1" applyFill="1" applyAlignment="1">
      <alignment horizontal="left"/>
    </xf>
    <xf numFmtId="0" fontId="49" fillId="2" borderId="0" xfId="0" applyFont="1" applyFill="1" applyAlignment="1"/>
    <xf numFmtId="0" fontId="56" fillId="2" borderId="0" xfId="0" applyFont="1" applyFill="1" applyAlignment="1"/>
    <xf numFmtId="0" fontId="51" fillId="2" borderId="0" xfId="0" applyFont="1" applyFill="1" applyAlignment="1"/>
    <xf numFmtId="0" fontId="50" fillId="2" borderId="0" xfId="0" applyFont="1" applyFill="1" applyAlignment="1"/>
    <xf numFmtId="0" fontId="30" fillId="2" borderId="27" xfId="0" applyFont="1" applyFill="1" applyBorder="1">
      <alignment vertical="center"/>
    </xf>
    <xf numFmtId="176" fontId="30" fillId="2" borderId="27" xfId="0" applyNumberFormat="1" applyFont="1" applyFill="1" applyBorder="1">
      <alignment vertical="center"/>
    </xf>
    <xf numFmtId="0" fontId="30" fillId="2" borderId="0" xfId="0" applyFont="1" applyFill="1">
      <alignment vertical="center"/>
    </xf>
    <xf numFmtId="179" fontId="30" fillId="2" borderId="0" xfId="0" applyNumberFormat="1" applyFont="1" applyFill="1">
      <alignment vertical="center"/>
    </xf>
    <xf numFmtId="187" fontId="30" fillId="2" borderId="0" xfId="0" applyNumberFormat="1" applyFont="1" applyFill="1">
      <alignment vertical="center"/>
    </xf>
    <xf numFmtId="0" fontId="30" fillId="2" borderId="1" xfId="0" applyFont="1" applyFill="1" applyBorder="1">
      <alignment vertical="center"/>
    </xf>
    <xf numFmtId="179" fontId="30" fillId="2" borderId="1" xfId="0" applyNumberFormat="1" applyFont="1" applyFill="1" applyBorder="1">
      <alignment vertical="center"/>
    </xf>
    <xf numFmtId="188" fontId="30" fillId="2" borderId="0" xfId="0" applyNumberFormat="1" applyFont="1" applyFill="1">
      <alignment vertical="center"/>
    </xf>
    <xf numFmtId="0" fontId="31" fillId="2" borderId="0" xfId="0" applyFont="1" applyFill="1">
      <alignment vertical="center"/>
    </xf>
    <xf numFmtId="179" fontId="16" fillId="2" borderId="0" xfId="0" applyNumberFormat="1" applyFont="1" applyFill="1">
      <alignment vertical="center"/>
    </xf>
    <xf numFmtId="187" fontId="16" fillId="2" borderId="0" xfId="0" applyNumberFormat="1" applyFont="1" applyFill="1">
      <alignment vertical="center"/>
    </xf>
    <xf numFmtId="179" fontId="16" fillId="2" borderId="1" xfId="0" applyNumberFormat="1" applyFont="1" applyFill="1" applyBorder="1">
      <alignment vertical="center"/>
    </xf>
    <xf numFmtId="0" fontId="7" fillId="2" borderId="0" xfId="0" applyFont="1" applyFill="1">
      <alignment vertical="center"/>
    </xf>
    <xf numFmtId="179" fontId="0" fillId="0" borderId="0" xfId="0" applyNumberFormat="1">
      <alignment vertical="center"/>
    </xf>
    <xf numFmtId="0" fontId="57" fillId="0" borderId="0" xfId="0" applyFont="1" applyAlignment="1"/>
    <xf numFmtId="0" fontId="0" fillId="0" borderId="0" xfId="0" applyAlignment="1"/>
    <xf numFmtId="0" fontId="29" fillId="0" borderId="0" xfId="0" applyFont="1" applyAlignment="1"/>
    <xf numFmtId="0" fontId="9" fillId="0" borderId="0" xfId="0" applyFont="1" applyAlignment="1"/>
    <xf numFmtId="0" fontId="17" fillId="0" borderId="0" xfId="0" applyFont="1">
      <alignment vertical="center"/>
    </xf>
    <xf numFmtId="179" fontId="17" fillId="0" borderId="0" xfId="0" applyNumberFormat="1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>
      <alignment vertical="center"/>
    </xf>
    <xf numFmtId="0" fontId="19" fillId="0" borderId="0" xfId="0" applyFont="1">
      <alignment vertical="center"/>
    </xf>
    <xf numFmtId="0" fontId="20" fillId="0" borderId="2" xfId="0" applyFont="1" applyBorder="1" applyAlignment="1">
      <alignment horizontal="right"/>
    </xf>
    <xf numFmtId="0" fontId="16" fillId="0" borderId="2" xfId="0" applyFont="1" applyBorder="1" applyAlignment="1">
      <alignment horizontal="right"/>
    </xf>
    <xf numFmtId="178" fontId="16" fillId="0" borderId="2" xfId="0" applyNumberFormat="1" applyFont="1" applyBorder="1" applyAlignment="1"/>
    <xf numFmtId="176" fontId="16" fillId="0" borderId="2" xfId="0" applyNumberFormat="1" applyFont="1" applyBorder="1" applyAlignment="1"/>
    <xf numFmtId="0" fontId="20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179" fontId="16" fillId="0" borderId="0" xfId="0" applyNumberFormat="1" applyFont="1" applyAlignment="1"/>
    <xf numFmtId="0" fontId="16" fillId="0" borderId="1" xfId="0" applyFont="1" applyBorder="1" applyAlignment="1">
      <alignment horizontal="center"/>
    </xf>
    <xf numFmtId="179" fontId="16" fillId="0" borderId="1" xfId="0" applyNumberFormat="1" applyFont="1" applyBorder="1" applyAlignment="1"/>
    <xf numFmtId="0" fontId="21" fillId="0" borderId="1" xfId="0" applyFont="1" applyBorder="1" applyAlignment="1">
      <alignment horizontal="right"/>
    </xf>
    <xf numFmtId="179" fontId="16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center"/>
    </xf>
    <xf numFmtId="0" fontId="22" fillId="0" borderId="0" xfId="0" applyFont="1" applyAlignment="1"/>
    <xf numFmtId="0" fontId="16" fillId="0" borderId="0" xfId="0" applyFont="1" applyAlignment="1"/>
    <xf numFmtId="0" fontId="23" fillId="0" borderId="0" xfId="0" applyFont="1" applyAlignment="1"/>
    <xf numFmtId="179" fontId="24" fillId="0" borderId="0" xfId="0" applyNumberFormat="1" applyFont="1" applyAlignment="1"/>
    <xf numFmtId="0" fontId="22" fillId="0" borderId="0" xfId="0" applyFont="1" applyAlignment="1">
      <alignment horizontal="center"/>
    </xf>
    <xf numFmtId="0" fontId="25" fillId="0" borderId="0" xfId="0" applyFont="1" applyAlignment="1"/>
    <xf numFmtId="0" fontId="15" fillId="0" borderId="1" xfId="0" applyFont="1" applyBorder="1" applyAlignment="1"/>
    <xf numFmtId="0" fontId="15" fillId="0" borderId="1" xfId="0" applyFont="1" applyBorder="1" applyAlignment="1">
      <alignment horizontal="left"/>
    </xf>
    <xf numFmtId="179" fontId="7" fillId="0" borderId="0" xfId="0" applyNumberFormat="1" applyFont="1" applyAlignment="1">
      <alignment horizontal="right"/>
    </xf>
    <xf numFmtId="179" fontId="7" fillId="0" borderId="0" xfId="0" applyNumberFormat="1" applyFont="1" applyAlignment="1">
      <alignment horizontal="center"/>
    </xf>
    <xf numFmtId="0" fontId="19" fillId="0" borderId="1" xfId="0" applyFont="1" applyBorder="1" applyAlignment="1"/>
    <xf numFmtId="0" fontId="19" fillId="0" borderId="1" xfId="0" applyFont="1" applyBorder="1" applyAlignment="1">
      <alignment horizontal="left"/>
    </xf>
    <xf numFmtId="0" fontId="7" fillId="0" borderId="2" xfId="0" applyFont="1" applyBorder="1" applyAlignment="1"/>
    <xf numFmtId="0" fontId="7" fillId="0" borderId="0" xfId="0" applyFont="1" applyAlignment="1"/>
    <xf numFmtId="184" fontId="7" fillId="0" borderId="0" xfId="0" applyNumberFormat="1" applyFont="1" applyAlignment="1"/>
    <xf numFmtId="184" fontId="7" fillId="0" borderId="1" xfId="0" applyNumberFormat="1" applyFont="1" applyBorder="1" applyAlignment="1"/>
    <xf numFmtId="0" fontId="26" fillId="0" borderId="0" xfId="0" applyFont="1" applyAlignment="1"/>
    <xf numFmtId="0" fontId="16" fillId="0" borderId="0" xfId="0" applyFont="1" applyAlignment="1">
      <alignment horizontal="right"/>
    </xf>
    <xf numFmtId="179" fontId="16" fillId="0" borderId="0" xfId="0" applyNumberFormat="1" applyFont="1" applyAlignment="1">
      <alignment horizontal="right"/>
    </xf>
    <xf numFmtId="0" fontId="26" fillId="0" borderId="0" xfId="0" applyFont="1" applyAlignment="1">
      <alignment horizontal="center"/>
    </xf>
    <xf numFmtId="0" fontId="27" fillId="0" borderId="0" xfId="0" applyFont="1">
      <alignment vertical="center"/>
    </xf>
    <xf numFmtId="0" fontId="27" fillId="0" borderId="1" xfId="0" applyFont="1" applyBorder="1">
      <alignment vertical="center"/>
    </xf>
    <xf numFmtId="177" fontId="27" fillId="0" borderId="0" xfId="0" applyNumberFormat="1" applyFont="1" applyAlignment="1">
      <alignment horizontal="right" vertical="center"/>
    </xf>
    <xf numFmtId="179" fontId="27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178" fontId="16" fillId="0" borderId="2" xfId="0" applyNumberFormat="1" applyFont="1" applyBorder="1" applyAlignment="1">
      <alignment horizontal="right"/>
    </xf>
    <xf numFmtId="181" fontId="16" fillId="0" borderId="0" xfId="0" applyNumberFormat="1" applyFont="1" applyAlignment="1"/>
    <xf numFmtId="181" fontId="16" fillId="0" borderId="0" xfId="0" applyNumberFormat="1" applyFont="1" applyAlignment="1">
      <alignment horizontal="right"/>
    </xf>
    <xf numFmtId="181" fontId="16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right"/>
    </xf>
    <xf numFmtId="179" fontId="7" fillId="0" borderId="0" xfId="0" applyNumberFormat="1" applyFont="1" applyAlignment="1"/>
    <xf numFmtId="179" fontId="7" fillId="0" borderId="1" xfId="0" applyNumberFormat="1" applyFont="1" applyBorder="1" applyAlignment="1"/>
    <xf numFmtId="0" fontId="20" fillId="0" borderId="0" xfId="0" applyFont="1" applyAlignment="1">
      <alignment horizontal="right"/>
    </xf>
    <xf numFmtId="0" fontId="28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20" fillId="0" borderId="1" xfId="0" applyFont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28" fillId="0" borderId="1" xfId="0" applyFont="1" applyBorder="1">
      <alignment vertical="center"/>
    </xf>
    <xf numFmtId="0" fontId="28" fillId="0" borderId="1" xfId="0" applyFont="1" applyBorder="1" applyAlignment="1">
      <alignment horizontal="left" vertical="center"/>
    </xf>
    <xf numFmtId="177" fontId="16" fillId="0" borderId="0" xfId="0" applyNumberFormat="1" applyFont="1" applyAlignment="1"/>
    <xf numFmtId="177" fontId="16" fillId="0" borderId="2" xfId="0" applyNumberFormat="1" applyFont="1" applyBorder="1" applyAlignment="1">
      <alignment horizontal="right"/>
    </xf>
    <xf numFmtId="0" fontId="20" fillId="0" borderId="0" xfId="0" applyFont="1" applyAlignment="1"/>
    <xf numFmtId="0" fontId="20" fillId="0" borderId="0" xfId="0" applyFont="1" applyAlignment="1">
      <alignment horizontal="left"/>
    </xf>
    <xf numFmtId="179" fontId="34" fillId="2" borderId="2" xfId="0" applyNumberFormat="1" applyFont="1" applyFill="1" applyBorder="1" applyAlignment="1">
      <alignment horizontal="center" vertical="center" wrapText="1"/>
    </xf>
    <xf numFmtId="179" fontId="30" fillId="0" borderId="2" xfId="0" applyNumberFormat="1" applyFont="1" applyBorder="1" applyAlignment="1">
      <alignment horizontal="center" vertical="center" wrapText="1"/>
    </xf>
    <xf numFmtId="181" fontId="30" fillId="0" borderId="0" xfId="0" applyNumberFormat="1" applyFont="1" applyAlignment="1">
      <alignment horizontal="center"/>
    </xf>
    <xf numFmtId="181" fontId="16" fillId="0" borderId="0" xfId="0" applyNumberFormat="1" applyFont="1">
      <alignment vertical="center"/>
    </xf>
    <xf numFmtId="0" fontId="20" fillId="0" borderId="0" xfId="0" applyFont="1">
      <alignment vertical="center"/>
    </xf>
    <xf numFmtId="0" fontId="37" fillId="0" borderId="0" xfId="0" applyFont="1">
      <alignment vertical="center"/>
    </xf>
    <xf numFmtId="183" fontId="20" fillId="0" borderId="0" xfId="0" applyNumberFormat="1" applyFont="1">
      <alignment vertical="center"/>
    </xf>
    <xf numFmtId="0" fontId="4" fillId="0" borderId="30" xfId="0" applyFont="1" applyBorder="1" applyAlignment="1">
      <alignment horizontal="center" vertical="center" wrapText="1"/>
    </xf>
    <xf numFmtId="178" fontId="16" fillId="0" borderId="11" xfId="0" applyNumberFormat="1" applyFont="1" applyBorder="1">
      <alignment vertical="center"/>
    </xf>
    <xf numFmtId="177" fontId="16" fillId="0" borderId="11" xfId="0" applyNumberFormat="1" applyFont="1" applyBorder="1">
      <alignment vertical="center"/>
    </xf>
    <xf numFmtId="181" fontId="16" fillId="0" borderId="11" xfId="0" applyNumberFormat="1" applyFont="1" applyBorder="1">
      <alignment vertical="center"/>
    </xf>
    <xf numFmtId="0" fontId="37" fillId="0" borderId="0" xfId="0" applyFont="1" applyAlignment="1">
      <alignment horizontal="left" vertical="center"/>
    </xf>
    <xf numFmtId="184" fontId="4" fillId="0" borderId="10" xfId="0" applyNumberFormat="1" applyFont="1" applyBorder="1" applyAlignment="1">
      <alignment horizontal="right" vertical="center"/>
    </xf>
    <xf numFmtId="0" fontId="49" fillId="0" borderId="0" xfId="0" applyFont="1">
      <alignment vertical="center"/>
    </xf>
    <xf numFmtId="0" fontId="51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 applyAlignment="1"/>
    <xf numFmtId="0" fontId="55" fillId="0" borderId="1" xfId="0" applyFont="1" applyBorder="1" applyAlignment="1"/>
    <xf numFmtId="0" fontId="49" fillId="0" borderId="0" xfId="0" applyFont="1" applyAlignment="1"/>
    <xf numFmtId="0" fontId="51" fillId="0" borderId="0" xfId="0" applyFont="1" applyAlignment="1"/>
    <xf numFmtId="0" fontId="56" fillId="0" borderId="0" xfId="0" applyFont="1" applyAlignment="1"/>
    <xf numFmtId="0" fontId="23" fillId="0" borderId="2" xfId="0" applyFont="1" applyBorder="1" applyAlignment="1"/>
    <xf numFmtId="179" fontId="23" fillId="0" borderId="0" xfId="0" applyNumberFormat="1" applyFont="1" applyAlignment="1"/>
    <xf numFmtId="179" fontId="23" fillId="0" borderId="1" xfId="0" applyNumberFormat="1" applyFont="1" applyBorder="1" applyAlignment="1"/>
    <xf numFmtId="0" fontId="4" fillId="0" borderId="0" xfId="0" applyFont="1" applyAlignment="1">
      <alignment horizontal="center" vertical="center" wrapText="1"/>
    </xf>
    <xf numFmtId="184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8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center" wrapText="1"/>
    </xf>
    <xf numFmtId="0" fontId="37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horizontal="left" vertical="center" wrapText="1"/>
    </xf>
    <xf numFmtId="0" fontId="37" fillId="0" borderId="17" xfId="0" applyFont="1" applyBorder="1" applyAlignment="1">
      <alignment horizontal="left" vertical="center" wrapText="1"/>
    </xf>
    <xf numFmtId="0" fontId="37" fillId="0" borderId="13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37" fillId="0" borderId="19" xfId="0" applyFont="1" applyBorder="1" applyAlignment="1">
      <alignment horizontal="justify" vertical="center" wrapText="1"/>
    </xf>
    <xf numFmtId="0" fontId="37" fillId="0" borderId="8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1"/>
    </xf>
    <xf numFmtId="0" fontId="3" fillId="4" borderId="19" xfId="0" applyFont="1" applyFill="1" applyBorder="1" applyAlignment="1">
      <alignment horizontal="justify" vertical="center" wrapText="1"/>
    </xf>
    <xf numFmtId="0" fontId="3" fillId="4" borderId="20" xfId="0" applyFont="1" applyFill="1" applyBorder="1" applyAlignment="1">
      <alignment horizontal="justify" vertical="center" wrapText="1"/>
    </xf>
    <xf numFmtId="0" fontId="3" fillId="4" borderId="8" xfId="0" applyFont="1" applyFill="1" applyBorder="1" applyAlignment="1">
      <alignment horizontal="justify" vertical="center" wrapText="1"/>
    </xf>
    <xf numFmtId="0" fontId="37" fillId="0" borderId="14" xfId="0" applyFont="1" applyBorder="1" applyAlignment="1">
      <alignment horizontal="justify" vertical="center" wrapText="1"/>
    </xf>
    <xf numFmtId="0" fontId="37" fillId="0" borderId="9" xfId="0" applyFont="1" applyBorder="1" applyAlignment="1">
      <alignment horizontal="justify" vertical="center" wrapText="1"/>
    </xf>
    <xf numFmtId="0" fontId="5" fillId="0" borderId="19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4" fillId="4" borderId="19" xfId="0" applyFont="1" applyFill="1" applyBorder="1" applyAlignment="1">
      <alignment horizontal="justify" vertical="center"/>
    </xf>
    <xf numFmtId="0" fontId="4" fillId="4" borderId="20" xfId="0" applyFont="1" applyFill="1" applyBorder="1" applyAlignment="1">
      <alignment horizontal="justify" vertical="center"/>
    </xf>
    <xf numFmtId="0" fontId="4" fillId="4" borderId="8" xfId="0" applyFont="1" applyFill="1" applyBorder="1" applyAlignment="1">
      <alignment horizontal="justify" vertical="center"/>
    </xf>
    <xf numFmtId="0" fontId="37" fillId="4" borderId="14" xfId="0" applyFont="1" applyFill="1" applyBorder="1" applyAlignment="1">
      <alignment horizontal="center" vertical="center"/>
    </xf>
    <xf numFmtId="0" fontId="37" fillId="4" borderId="12" xfId="0" applyFont="1" applyFill="1" applyBorder="1" applyAlignment="1">
      <alignment horizontal="center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19" xfId="0" applyFont="1" applyFill="1" applyBorder="1" applyAlignment="1">
      <alignment horizontal="center" vertical="center"/>
    </xf>
    <xf numFmtId="0" fontId="37" fillId="4" borderId="20" xfId="0" applyFont="1" applyFill="1" applyBorder="1" applyAlignment="1">
      <alignment horizontal="center" vertical="center"/>
    </xf>
    <xf numFmtId="0" fontId="37" fillId="4" borderId="8" xfId="0" applyFont="1" applyFill="1" applyBorder="1" applyAlignment="1">
      <alignment horizontal="center" vertical="center"/>
    </xf>
    <xf numFmtId="0" fontId="37" fillId="4" borderId="19" xfId="0" applyFont="1" applyFill="1" applyBorder="1" applyAlignment="1">
      <alignment horizontal="left" vertical="center"/>
    </xf>
    <xf numFmtId="0" fontId="37" fillId="4" borderId="20" xfId="0" applyFont="1" applyFill="1" applyBorder="1" applyAlignment="1">
      <alignment horizontal="left" vertical="center"/>
    </xf>
    <xf numFmtId="0" fontId="37" fillId="4" borderId="8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7" fillId="4" borderId="24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7" fillId="4" borderId="2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37" fillId="4" borderId="26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</cellXfs>
  <cellStyles count="2">
    <cellStyle name="標準" xfId="0" builtinId="0"/>
    <cellStyle name="標準_マダラ" xfId="1" xr:uid="{94C7AEB2-55C5-4D23-A25F-353D2DB6ED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FFAD-97F6-4221-9FED-8B50CF5A3875}">
  <dimension ref="A1:N41"/>
  <sheetViews>
    <sheetView topLeftCell="A10" zoomScale="90" zoomScaleNormal="90" workbookViewId="0">
      <selection activeCell="D42" sqref="D42"/>
    </sheetView>
  </sheetViews>
  <sheetFormatPr defaultRowHeight="18.75"/>
  <cols>
    <col min="1" max="1" width="6.125" customWidth="1"/>
    <col min="2" max="14" width="7" customWidth="1"/>
  </cols>
  <sheetData>
    <row r="1" spans="1:14">
      <c r="A1" t="s">
        <v>0</v>
      </c>
    </row>
    <row r="3" spans="1:14" s="1" customFormat="1">
      <c r="A3" s="2" t="s">
        <v>1</v>
      </c>
    </row>
    <row r="4" spans="1:1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>
      <c r="A5" s="3"/>
      <c r="B5" s="4">
        <v>1975</v>
      </c>
      <c r="C5" s="4">
        <v>1976</v>
      </c>
      <c r="D5" s="4">
        <v>1977</v>
      </c>
      <c r="E5" s="4">
        <v>1978</v>
      </c>
      <c r="F5" s="4">
        <v>1979</v>
      </c>
      <c r="G5" s="4">
        <v>1980</v>
      </c>
      <c r="H5" s="4">
        <v>1981</v>
      </c>
      <c r="I5" s="4">
        <v>1982</v>
      </c>
      <c r="J5" s="4">
        <v>1983</v>
      </c>
      <c r="K5" s="4">
        <v>1984</v>
      </c>
      <c r="L5" s="4">
        <v>1985</v>
      </c>
      <c r="M5" s="4">
        <v>1986</v>
      </c>
      <c r="N5" s="4">
        <v>1987</v>
      </c>
    </row>
    <row r="6" spans="1:14">
      <c r="A6" s="5" t="s">
        <v>7</v>
      </c>
      <c r="B6" s="6">
        <v>1337</v>
      </c>
      <c r="C6" s="6">
        <v>2472</v>
      </c>
      <c r="D6" s="6">
        <v>3567</v>
      </c>
      <c r="E6" s="6">
        <v>3431</v>
      </c>
      <c r="F6" s="6">
        <v>2992</v>
      </c>
      <c r="G6" s="6">
        <v>1919</v>
      </c>
      <c r="H6" s="6">
        <v>1855</v>
      </c>
      <c r="I6" s="6">
        <v>1902</v>
      </c>
      <c r="J6" s="6">
        <v>2284</v>
      </c>
      <c r="K6" s="6">
        <v>2202</v>
      </c>
      <c r="L6" s="6">
        <v>4117</v>
      </c>
      <c r="M6" s="6">
        <v>5399</v>
      </c>
      <c r="N6" s="6">
        <v>5371</v>
      </c>
    </row>
    <row r="7" spans="1:14">
      <c r="A7" s="5" t="s">
        <v>2</v>
      </c>
      <c r="B7" s="6">
        <v>574</v>
      </c>
      <c r="C7" s="6">
        <v>583</v>
      </c>
      <c r="D7" s="6">
        <v>1028</v>
      </c>
      <c r="E7" s="6">
        <v>1070</v>
      </c>
      <c r="F7" s="6">
        <v>795</v>
      </c>
      <c r="G7" s="6">
        <v>506</v>
      </c>
      <c r="H7" s="6">
        <v>1166</v>
      </c>
      <c r="I7" s="6">
        <v>3208</v>
      </c>
      <c r="J7" s="6">
        <v>2068</v>
      </c>
      <c r="K7" s="6">
        <v>2054</v>
      </c>
      <c r="L7" s="6">
        <v>2032</v>
      </c>
      <c r="M7" s="6">
        <v>2541</v>
      </c>
      <c r="N7" s="6">
        <v>1793</v>
      </c>
    </row>
    <row r="8" spans="1:14">
      <c r="A8" s="5" t="s">
        <v>3</v>
      </c>
      <c r="B8" s="6">
        <v>546</v>
      </c>
      <c r="C8" s="6">
        <v>511</v>
      </c>
      <c r="D8" s="6">
        <v>498</v>
      </c>
      <c r="E8" s="6">
        <v>478</v>
      </c>
      <c r="F8" s="6">
        <v>351</v>
      </c>
      <c r="G8" s="6">
        <v>388</v>
      </c>
      <c r="H8" s="6">
        <v>329</v>
      </c>
      <c r="I8" s="6">
        <v>373</v>
      </c>
      <c r="J8" s="6">
        <v>453</v>
      </c>
      <c r="K8" s="6">
        <v>702</v>
      </c>
      <c r="L8" s="6">
        <v>635</v>
      </c>
      <c r="M8" s="6">
        <v>1086</v>
      </c>
      <c r="N8" s="6">
        <v>642</v>
      </c>
    </row>
    <row r="9" spans="1:14">
      <c r="A9" s="5" t="s">
        <v>4</v>
      </c>
      <c r="B9" s="6">
        <v>107</v>
      </c>
      <c r="C9" s="6">
        <v>72</v>
      </c>
      <c r="D9" s="6">
        <v>106</v>
      </c>
      <c r="E9" s="6">
        <v>229</v>
      </c>
      <c r="F9" s="6">
        <v>205</v>
      </c>
      <c r="G9" s="6">
        <v>103</v>
      </c>
      <c r="H9" s="6">
        <v>76</v>
      </c>
      <c r="I9" s="6">
        <v>160</v>
      </c>
      <c r="J9" s="6">
        <v>260</v>
      </c>
      <c r="K9" s="6">
        <v>494</v>
      </c>
      <c r="L9" s="6">
        <v>666</v>
      </c>
      <c r="M9" s="6">
        <v>1029</v>
      </c>
      <c r="N9" s="6">
        <v>1358</v>
      </c>
    </row>
    <row r="10" spans="1:14">
      <c r="A10" s="5" t="s">
        <v>5</v>
      </c>
      <c r="B10" s="6">
        <v>230</v>
      </c>
      <c r="C10" s="6">
        <v>1178</v>
      </c>
      <c r="D10" s="6">
        <v>1573</v>
      </c>
      <c r="E10" s="6">
        <v>1160</v>
      </c>
      <c r="F10" s="6">
        <v>645</v>
      </c>
      <c r="G10" s="6">
        <v>709</v>
      </c>
      <c r="H10" s="6">
        <v>1377</v>
      </c>
      <c r="I10" s="6">
        <v>1178</v>
      </c>
      <c r="J10" s="6">
        <v>885</v>
      </c>
      <c r="K10" s="6">
        <v>1579</v>
      </c>
      <c r="L10" s="6">
        <v>1403</v>
      </c>
      <c r="M10" s="6">
        <v>2347</v>
      </c>
      <c r="N10" s="6">
        <v>1935</v>
      </c>
    </row>
    <row r="11" spans="1:14">
      <c r="A11" s="3" t="s">
        <v>6</v>
      </c>
      <c r="B11" s="7">
        <v>7</v>
      </c>
      <c r="C11" s="6">
        <v>70</v>
      </c>
      <c r="D11" s="6">
        <v>138</v>
      </c>
      <c r="E11" s="6">
        <v>56</v>
      </c>
      <c r="F11" s="6">
        <v>26</v>
      </c>
      <c r="G11" s="6">
        <v>15</v>
      </c>
      <c r="H11" s="6">
        <v>17</v>
      </c>
      <c r="I11" s="6">
        <v>37</v>
      </c>
      <c r="J11" s="6">
        <v>76</v>
      </c>
      <c r="K11" s="6">
        <v>156</v>
      </c>
      <c r="L11" s="6">
        <v>266</v>
      </c>
      <c r="M11" s="6">
        <v>317</v>
      </c>
      <c r="N11" s="6">
        <v>330</v>
      </c>
    </row>
    <row r="12" spans="1:14">
      <c r="A12" s="8" t="s">
        <v>8</v>
      </c>
      <c r="B12" s="9">
        <v>2801</v>
      </c>
      <c r="C12" s="9">
        <v>4886</v>
      </c>
      <c r="D12" s="9">
        <v>6909</v>
      </c>
      <c r="E12" s="9">
        <v>6424</v>
      </c>
      <c r="F12" s="9">
        <v>5014</v>
      </c>
      <c r="G12" s="9">
        <v>3641</v>
      </c>
      <c r="H12" s="9">
        <v>4821</v>
      </c>
      <c r="I12" s="9">
        <v>6857</v>
      </c>
      <c r="J12" s="9">
        <v>6026</v>
      </c>
      <c r="K12" s="9">
        <v>7186</v>
      </c>
      <c r="L12" s="9">
        <v>9119</v>
      </c>
      <c r="M12" s="9">
        <v>12719</v>
      </c>
      <c r="N12" s="9">
        <v>11428</v>
      </c>
    </row>
    <row r="13" spans="1:14">
      <c r="A13" s="8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>
      <c r="A14" s="3"/>
      <c r="B14" s="4">
        <v>1988</v>
      </c>
      <c r="C14" s="4">
        <v>1989</v>
      </c>
      <c r="D14" s="11">
        <v>1990</v>
      </c>
      <c r="E14" s="11">
        <v>1991</v>
      </c>
      <c r="F14" s="11">
        <v>1992</v>
      </c>
      <c r="G14" s="11">
        <v>1993</v>
      </c>
      <c r="H14" s="11">
        <v>1994</v>
      </c>
      <c r="I14" s="11">
        <v>1995</v>
      </c>
      <c r="J14" s="11">
        <v>1996</v>
      </c>
      <c r="K14" s="11">
        <v>1997</v>
      </c>
      <c r="L14" s="11">
        <v>1998</v>
      </c>
      <c r="M14" s="11">
        <v>1999</v>
      </c>
      <c r="N14" s="11">
        <v>2000</v>
      </c>
    </row>
    <row r="15" spans="1:14">
      <c r="A15" s="5" t="s">
        <v>7</v>
      </c>
      <c r="B15" s="6">
        <v>5860</v>
      </c>
      <c r="C15" s="6">
        <v>5568</v>
      </c>
      <c r="D15" s="6">
        <v>4727</v>
      </c>
      <c r="E15" s="6">
        <v>3160</v>
      </c>
      <c r="F15" s="6">
        <v>2349</v>
      </c>
      <c r="G15" s="6">
        <v>1935</v>
      </c>
      <c r="H15" s="6">
        <v>2013</v>
      </c>
      <c r="I15" s="6">
        <v>3690</v>
      </c>
      <c r="J15" s="6">
        <v>3899</v>
      </c>
      <c r="K15" s="6">
        <v>7413</v>
      </c>
      <c r="L15" s="6">
        <v>16055</v>
      </c>
      <c r="M15" s="12">
        <v>13119</v>
      </c>
      <c r="N15" s="6">
        <v>9716</v>
      </c>
    </row>
    <row r="16" spans="1:14">
      <c r="A16" s="5" t="s">
        <v>2</v>
      </c>
      <c r="B16" s="6">
        <v>1227</v>
      </c>
      <c r="C16" s="6">
        <v>1169</v>
      </c>
      <c r="D16" s="6">
        <v>1630</v>
      </c>
      <c r="E16" s="6">
        <v>735</v>
      </c>
      <c r="F16" s="6">
        <v>318</v>
      </c>
      <c r="G16" s="6">
        <v>189</v>
      </c>
      <c r="H16" s="6">
        <v>278</v>
      </c>
      <c r="I16" s="6">
        <v>1400</v>
      </c>
      <c r="J16" s="6">
        <v>990</v>
      </c>
      <c r="K16" s="6">
        <v>706</v>
      </c>
      <c r="L16" s="6">
        <v>1172</v>
      </c>
      <c r="M16" s="13">
        <v>1347</v>
      </c>
      <c r="N16" s="6">
        <v>1154</v>
      </c>
    </row>
    <row r="17" spans="1:14">
      <c r="A17" s="5" t="s">
        <v>3</v>
      </c>
      <c r="B17" s="6">
        <v>450</v>
      </c>
      <c r="C17" s="6">
        <v>487</v>
      </c>
      <c r="D17" s="6">
        <v>632</v>
      </c>
      <c r="E17" s="6">
        <v>397</v>
      </c>
      <c r="F17" s="6">
        <v>280</v>
      </c>
      <c r="G17" s="6">
        <v>379</v>
      </c>
      <c r="H17" s="6">
        <v>166</v>
      </c>
      <c r="I17" s="6">
        <v>213</v>
      </c>
      <c r="J17" s="6">
        <v>323</v>
      </c>
      <c r="K17" s="6">
        <v>242</v>
      </c>
      <c r="L17" s="6">
        <v>235</v>
      </c>
      <c r="M17" s="13">
        <v>191</v>
      </c>
      <c r="N17" s="6">
        <v>215</v>
      </c>
    </row>
    <row r="18" spans="1:14">
      <c r="A18" s="5" t="s">
        <v>4</v>
      </c>
      <c r="B18" s="6">
        <v>1336</v>
      </c>
      <c r="C18" s="6">
        <v>1285</v>
      </c>
      <c r="D18" s="6">
        <v>1535</v>
      </c>
      <c r="E18" s="6">
        <v>1274</v>
      </c>
      <c r="F18" s="6">
        <v>2546</v>
      </c>
      <c r="G18" s="6">
        <v>762</v>
      </c>
      <c r="H18" s="6">
        <v>546</v>
      </c>
      <c r="I18" s="6">
        <v>639</v>
      </c>
      <c r="J18" s="6">
        <v>1068</v>
      </c>
      <c r="K18" s="6">
        <v>2575</v>
      </c>
      <c r="L18" s="6">
        <v>2397</v>
      </c>
      <c r="M18" s="13">
        <v>1971</v>
      </c>
      <c r="N18" s="6">
        <v>1661</v>
      </c>
    </row>
    <row r="19" spans="1:14">
      <c r="A19" s="5" t="s">
        <v>5</v>
      </c>
      <c r="B19" s="6">
        <v>1522</v>
      </c>
      <c r="C19" s="6">
        <v>2142</v>
      </c>
      <c r="D19" s="6">
        <v>1848</v>
      </c>
      <c r="E19" s="6">
        <v>1548</v>
      </c>
      <c r="F19" s="6">
        <v>857</v>
      </c>
      <c r="G19" s="6">
        <v>447</v>
      </c>
      <c r="H19" s="6">
        <v>462</v>
      </c>
      <c r="I19" s="6">
        <v>29</v>
      </c>
      <c r="J19" s="6">
        <v>193</v>
      </c>
      <c r="K19" s="6">
        <v>43</v>
      </c>
      <c r="L19" s="6">
        <v>51</v>
      </c>
      <c r="M19" s="13">
        <v>59</v>
      </c>
      <c r="N19" s="6">
        <v>36</v>
      </c>
    </row>
    <row r="20" spans="1:14">
      <c r="A20" s="3" t="s">
        <v>6</v>
      </c>
      <c r="B20" s="6">
        <v>497</v>
      </c>
      <c r="C20" s="6">
        <v>1523</v>
      </c>
      <c r="D20" s="6">
        <v>501</v>
      </c>
      <c r="E20" s="6">
        <v>116</v>
      </c>
      <c r="F20" s="6">
        <v>99</v>
      </c>
      <c r="G20" s="6">
        <v>92</v>
      </c>
      <c r="H20" s="7">
        <v>106</v>
      </c>
      <c r="I20" s="7">
        <v>1080</v>
      </c>
      <c r="J20" s="7">
        <v>1154</v>
      </c>
      <c r="K20" s="7">
        <v>2623</v>
      </c>
      <c r="L20" s="7">
        <v>3837</v>
      </c>
      <c r="M20" s="14">
        <v>3357</v>
      </c>
      <c r="N20" s="7">
        <v>1796</v>
      </c>
    </row>
    <row r="21" spans="1:14">
      <c r="A21" s="8" t="s">
        <v>8</v>
      </c>
      <c r="B21" s="9">
        <v>10892</v>
      </c>
      <c r="C21" s="9">
        <v>12174</v>
      </c>
      <c r="D21" s="9">
        <v>10873</v>
      </c>
      <c r="E21" s="9">
        <v>7229</v>
      </c>
      <c r="F21" s="9">
        <v>6447</v>
      </c>
      <c r="G21" s="9">
        <v>3805</v>
      </c>
      <c r="H21" s="9">
        <v>3571</v>
      </c>
      <c r="I21" s="9">
        <v>7051</v>
      </c>
      <c r="J21" s="9">
        <v>7627</v>
      </c>
      <c r="K21" s="9">
        <v>13602</v>
      </c>
      <c r="L21" s="9">
        <v>23747</v>
      </c>
      <c r="M21" s="9">
        <v>20045</v>
      </c>
      <c r="N21" s="9">
        <v>14577</v>
      </c>
    </row>
    <row r="22" spans="1:14">
      <c r="A22" s="8"/>
      <c r="B22" s="10"/>
      <c r="C22" s="10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3"/>
      <c r="B23" s="11">
        <v>2001</v>
      </c>
      <c r="C23" s="11">
        <v>2002</v>
      </c>
      <c r="D23" s="11">
        <v>2003</v>
      </c>
      <c r="E23" s="11">
        <v>2004</v>
      </c>
      <c r="F23" s="4">
        <v>2005</v>
      </c>
      <c r="G23" s="16">
        <v>2006</v>
      </c>
      <c r="H23" s="4">
        <v>2007</v>
      </c>
      <c r="I23" s="16">
        <v>2008</v>
      </c>
      <c r="J23" s="16">
        <v>2009</v>
      </c>
      <c r="K23" s="16">
        <v>2010</v>
      </c>
      <c r="L23" s="16">
        <v>2011</v>
      </c>
      <c r="M23" s="16">
        <v>2012</v>
      </c>
      <c r="N23" s="16">
        <v>2013</v>
      </c>
    </row>
    <row r="24" spans="1:14">
      <c r="A24" s="5" t="s">
        <v>7</v>
      </c>
      <c r="B24" s="6">
        <v>7477</v>
      </c>
      <c r="C24" s="6">
        <v>3712</v>
      </c>
      <c r="D24" s="17">
        <v>9109</v>
      </c>
      <c r="E24" s="17">
        <v>19365</v>
      </c>
      <c r="F24" s="18">
        <v>11355</v>
      </c>
      <c r="G24" s="18">
        <v>10976</v>
      </c>
      <c r="H24" s="6">
        <v>12786</v>
      </c>
      <c r="I24" s="6">
        <v>13628</v>
      </c>
      <c r="J24" s="6">
        <v>15070</v>
      </c>
      <c r="K24" s="6">
        <v>19450</v>
      </c>
      <c r="L24" s="6">
        <v>11429</v>
      </c>
      <c r="M24" s="6">
        <v>15068</v>
      </c>
      <c r="N24" s="6">
        <v>19155</v>
      </c>
    </row>
    <row r="25" spans="1:14">
      <c r="A25" s="5" t="s">
        <v>2</v>
      </c>
      <c r="B25" s="6">
        <v>1467</v>
      </c>
      <c r="C25" s="6">
        <v>1088</v>
      </c>
      <c r="D25" s="17">
        <v>1511</v>
      </c>
      <c r="E25" s="17">
        <v>2453</v>
      </c>
      <c r="F25" s="18">
        <v>2773</v>
      </c>
      <c r="G25" s="18">
        <v>2778</v>
      </c>
      <c r="H25" s="6">
        <v>3912</v>
      </c>
      <c r="I25" s="6">
        <v>2353</v>
      </c>
      <c r="J25" s="6">
        <v>1838</v>
      </c>
      <c r="K25" s="6">
        <v>1081</v>
      </c>
      <c r="L25" s="6">
        <v>997</v>
      </c>
      <c r="M25" s="6">
        <v>351</v>
      </c>
      <c r="N25" s="6">
        <v>316</v>
      </c>
    </row>
    <row r="26" spans="1:14">
      <c r="A26" s="5" t="s">
        <v>3</v>
      </c>
      <c r="B26" s="6">
        <v>415</v>
      </c>
      <c r="C26" s="6">
        <v>516</v>
      </c>
      <c r="D26" s="17">
        <v>281</v>
      </c>
      <c r="E26" s="17">
        <v>317</v>
      </c>
      <c r="F26" s="18">
        <v>644</v>
      </c>
      <c r="G26" s="18">
        <v>674</v>
      </c>
      <c r="H26" s="6">
        <v>642</v>
      </c>
      <c r="I26" s="6">
        <v>940</v>
      </c>
      <c r="J26" s="6">
        <v>1144</v>
      </c>
      <c r="K26" s="6">
        <v>1053</v>
      </c>
      <c r="L26" s="6">
        <v>1078</v>
      </c>
      <c r="M26" s="6">
        <v>620</v>
      </c>
      <c r="N26" s="6">
        <v>1302</v>
      </c>
    </row>
    <row r="27" spans="1:14">
      <c r="A27" s="5" t="s">
        <v>4</v>
      </c>
      <c r="B27" s="6">
        <v>981</v>
      </c>
      <c r="C27" s="6">
        <v>610</v>
      </c>
      <c r="D27" s="17">
        <v>909</v>
      </c>
      <c r="E27" s="17">
        <v>1069</v>
      </c>
      <c r="F27" s="18">
        <v>1173</v>
      </c>
      <c r="G27" s="18">
        <v>1619</v>
      </c>
      <c r="H27" s="6">
        <v>1532</v>
      </c>
      <c r="I27" s="6">
        <v>1229</v>
      </c>
      <c r="J27" s="6">
        <v>900</v>
      </c>
      <c r="K27" s="6">
        <v>959</v>
      </c>
      <c r="L27" s="6">
        <v>879</v>
      </c>
      <c r="M27" s="6">
        <v>1849</v>
      </c>
      <c r="N27" s="6">
        <v>2027</v>
      </c>
    </row>
    <row r="28" spans="1:14">
      <c r="A28" s="5" t="s">
        <v>5</v>
      </c>
      <c r="B28" s="6">
        <v>117</v>
      </c>
      <c r="C28" s="6">
        <v>236</v>
      </c>
      <c r="D28" s="17">
        <v>198</v>
      </c>
      <c r="E28" s="17">
        <v>105</v>
      </c>
      <c r="F28" s="18">
        <v>101</v>
      </c>
      <c r="G28" s="18">
        <v>131</v>
      </c>
      <c r="H28" s="6">
        <v>63</v>
      </c>
      <c r="I28" s="6">
        <v>172</v>
      </c>
      <c r="J28" s="6">
        <v>131</v>
      </c>
      <c r="K28" s="6">
        <v>85</v>
      </c>
      <c r="L28" s="6">
        <v>139</v>
      </c>
      <c r="M28" s="6">
        <v>501</v>
      </c>
      <c r="N28" s="6">
        <v>1194</v>
      </c>
    </row>
    <row r="29" spans="1:14">
      <c r="A29" s="3" t="s">
        <v>6</v>
      </c>
      <c r="B29" s="7">
        <v>1928</v>
      </c>
      <c r="C29" s="7">
        <v>1514</v>
      </c>
      <c r="D29" s="17">
        <v>2526</v>
      </c>
      <c r="E29" s="17">
        <v>3061</v>
      </c>
      <c r="F29" s="18">
        <v>4279</v>
      </c>
      <c r="G29" s="18">
        <v>4216</v>
      </c>
      <c r="H29" s="6">
        <v>4435</v>
      </c>
      <c r="I29" s="6">
        <v>2741</v>
      </c>
      <c r="J29" s="6">
        <v>2733</v>
      </c>
      <c r="K29" s="6">
        <v>4974</v>
      </c>
      <c r="L29" s="6">
        <v>2273</v>
      </c>
      <c r="M29" s="6">
        <v>1352</v>
      </c>
      <c r="N29" s="6">
        <v>3601</v>
      </c>
    </row>
    <row r="30" spans="1:14">
      <c r="A30" s="8" t="s">
        <v>8</v>
      </c>
      <c r="B30" s="9">
        <v>12385</v>
      </c>
      <c r="C30" s="9">
        <v>7677</v>
      </c>
      <c r="D30" s="9">
        <v>14535</v>
      </c>
      <c r="E30" s="9">
        <v>26370</v>
      </c>
      <c r="F30" s="19">
        <v>20325</v>
      </c>
      <c r="G30" s="19">
        <v>20395</v>
      </c>
      <c r="H30" s="9">
        <v>23369</v>
      </c>
      <c r="I30" s="9">
        <v>21062</v>
      </c>
      <c r="J30" s="9">
        <v>21817</v>
      </c>
      <c r="K30" s="9">
        <v>27602</v>
      </c>
      <c r="L30" s="9">
        <v>16795</v>
      </c>
      <c r="M30" s="9">
        <v>19741</v>
      </c>
      <c r="N30" s="9">
        <v>27595</v>
      </c>
    </row>
    <row r="31" spans="1:14">
      <c r="A31" s="20"/>
      <c r="B31" s="19"/>
      <c r="C31" s="19"/>
      <c r="D31" s="9"/>
      <c r="E31" s="9"/>
      <c r="F31" s="9"/>
      <c r="G31" s="9"/>
      <c r="H31" s="9"/>
      <c r="I31" s="9"/>
      <c r="J31" s="6"/>
      <c r="K31" s="6"/>
      <c r="L31" s="21"/>
      <c r="M31" s="21"/>
      <c r="N31" s="21"/>
    </row>
    <row r="32" spans="1:14">
      <c r="A32" s="3"/>
      <c r="B32" s="16">
        <v>2014</v>
      </c>
      <c r="C32" s="16">
        <v>2015</v>
      </c>
      <c r="D32" s="16">
        <v>2016</v>
      </c>
      <c r="E32" s="16">
        <v>2017</v>
      </c>
      <c r="F32" s="16">
        <v>2018</v>
      </c>
      <c r="G32" s="16">
        <v>2019</v>
      </c>
      <c r="H32" s="16">
        <v>2020</v>
      </c>
      <c r="I32" s="16">
        <v>2021</v>
      </c>
      <c r="J32" s="6"/>
      <c r="K32" s="6"/>
      <c r="L32" s="21"/>
      <c r="M32" s="21"/>
      <c r="N32" s="21"/>
    </row>
    <row r="33" spans="1:14">
      <c r="A33" s="5" t="s">
        <v>7</v>
      </c>
      <c r="B33" s="6">
        <v>17902</v>
      </c>
      <c r="C33" s="6">
        <v>13600</v>
      </c>
      <c r="D33" s="6">
        <v>5364</v>
      </c>
      <c r="E33" s="6">
        <v>3887</v>
      </c>
      <c r="F33" s="6">
        <v>6729</v>
      </c>
      <c r="G33" s="6">
        <v>3318</v>
      </c>
      <c r="H33" s="6">
        <v>3706</v>
      </c>
      <c r="I33" s="6">
        <v>3853</v>
      </c>
      <c r="J33" s="6"/>
      <c r="K33" s="6"/>
      <c r="L33" s="21"/>
      <c r="M33" s="21"/>
      <c r="N33" s="21"/>
    </row>
    <row r="34" spans="1:14">
      <c r="A34" s="5" t="s">
        <v>2</v>
      </c>
      <c r="B34" s="6">
        <v>803</v>
      </c>
      <c r="C34" s="6">
        <v>731</v>
      </c>
      <c r="D34" s="6">
        <v>425</v>
      </c>
      <c r="E34" s="6">
        <v>544</v>
      </c>
      <c r="F34" s="6">
        <v>253</v>
      </c>
      <c r="G34" s="6">
        <v>241</v>
      </c>
      <c r="H34" s="6">
        <v>112</v>
      </c>
      <c r="I34" s="6">
        <v>221</v>
      </c>
      <c r="J34" s="6"/>
      <c r="K34" s="6"/>
      <c r="L34" s="21"/>
      <c r="M34" s="21"/>
      <c r="N34" s="21"/>
    </row>
    <row r="35" spans="1:14">
      <c r="A35" s="5" t="s">
        <v>3</v>
      </c>
      <c r="B35" s="6">
        <v>2092</v>
      </c>
      <c r="C35" s="6">
        <v>1201</v>
      </c>
      <c r="D35" s="6">
        <v>691</v>
      </c>
      <c r="E35" s="6">
        <v>351</v>
      </c>
      <c r="F35" s="6">
        <v>566</v>
      </c>
      <c r="G35" s="6">
        <v>577</v>
      </c>
      <c r="H35" s="6">
        <v>384</v>
      </c>
      <c r="I35" s="6">
        <v>502</v>
      </c>
      <c r="J35" s="6"/>
      <c r="K35" s="6"/>
      <c r="L35" s="21"/>
      <c r="M35" s="21"/>
      <c r="N35" s="21"/>
    </row>
    <row r="36" spans="1:14">
      <c r="A36" s="5" t="s">
        <v>4</v>
      </c>
      <c r="B36" s="6">
        <v>2129</v>
      </c>
      <c r="C36" s="6">
        <v>2408</v>
      </c>
      <c r="D36" s="6">
        <v>1643</v>
      </c>
      <c r="E36" s="6">
        <v>1151</v>
      </c>
      <c r="F36" s="6">
        <v>1069</v>
      </c>
      <c r="G36" s="6">
        <v>1024</v>
      </c>
      <c r="H36" s="6">
        <v>853</v>
      </c>
      <c r="I36" s="6">
        <v>703</v>
      </c>
      <c r="J36" s="6"/>
      <c r="K36" s="6"/>
      <c r="L36" s="21"/>
      <c r="M36" s="21"/>
      <c r="N36" s="21"/>
    </row>
    <row r="37" spans="1:14">
      <c r="A37" s="5" t="s">
        <v>5</v>
      </c>
      <c r="B37" s="6">
        <v>655</v>
      </c>
      <c r="C37" s="6">
        <v>564</v>
      </c>
      <c r="D37" s="6">
        <v>404</v>
      </c>
      <c r="E37" s="6">
        <v>291</v>
      </c>
      <c r="F37" s="6">
        <v>579</v>
      </c>
      <c r="G37" s="6">
        <v>842</v>
      </c>
      <c r="H37" s="6">
        <v>878</v>
      </c>
      <c r="I37" s="6">
        <v>1161</v>
      </c>
      <c r="J37" s="6"/>
      <c r="K37" s="6"/>
      <c r="L37" s="21"/>
      <c r="M37" s="21"/>
      <c r="N37" s="21"/>
    </row>
    <row r="38" spans="1:14">
      <c r="A38" s="3" t="s">
        <v>6</v>
      </c>
      <c r="B38" s="6">
        <v>4444</v>
      </c>
      <c r="C38" s="6">
        <v>3919</v>
      </c>
      <c r="D38" s="6">
        <v>1588</v>
      </c>
      <c r="E38" s="6">
        <v>1284</v>
      </c>
      <c r="F38" s="6">
        <v>1195</v>
      </c>
      <c r="G38" s="6">
        <v>660</v>
      </c>
      <c r="H38" s="6">
        <v>836</v>
      </c>
      <c r="I38" s="6">
        <v>810</v>
      </c>
      <c r="J38" s="6"/>
      <c r="K38" s="6"/>
      <c r="L38" s="21"/>
      <c r="M38" s="21"/>
      <c r="N38" s="21"/>
    </row>
    <row r="39" spans="1:14">
      <c r="A39" s="8" t="s">
        <v>8</v>
      </c>
      <c r="B39" s="9">
        <v>28024</v>
      </c>
      <c r="C39" s="9">
        <v>22423</v>
      </c>
      <c r="D39" s="9">
        <v>10114</v>
      </c>
      <c r="E39" s="9">
        <v>7508</v>
      </c>
      <c r="F39" s="9">
        <v>10392</v>
      </c>
      <c r="G39" s="9">
        <v>6663</v>
      </c>
      <c r="H39" s="9">
        <v>6769</v>
      </c>
      <c r="I39" s="9">
        <v>7250</v>
      </c>
      <c r="J39" s="6"/>
      <c r="K39" s="6"/>
      <c r="L39" s="21"/>
      <c r="M39" s="21"/>
      <c r="N39" s="21"/>
    </row>
    <row r="40" spans="1:14">
      <c r="A40" s="22" t="s">
        <v>9</v>
      </c>
      <c r="B40" s="23"/>
      <c r="C40" s="23"/>
      <c r="D40" s="24"/>
      <c r="E40" s="24"/>
      <c r="F40" s="24"/>
      <c r="G40" s="24"/>
      <c r="H40" s="24"/>
      <c r="I40" s="24"/>
      <c r="J40" s="24"/>
      <c r="K40" s="24"/>
      <c r="L40" s="22"/>
      <c r="M40" s="22"/>
      <c r="N40" s="22"/>
    </row>
    <row r="41" spans="1:14">
      <c r="A41" s="22" t="s">
        <v>10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82E8-2928-44A2-829F-BC436A80F27C}">
  <dimension ref="A1:M33"/>
  <sheetViews>
    <sheetView zoomScale="70" zoomScaleNormal="70" workbookViewId="0">
      <selection activeCell="K24" sqref="K24"/>
    </sheetView>
  </sheetViews>
  <sheetFormatPr defaultRowHeight="18.75"/>
  <cols>
    <col min="1" max="1" width="6.125" customWidth="1"/>
    <col min="2" max="11" width="7" customWidth="1"/>
    <col min="12" max="12" width="7" style="44" customWidth="1"/>
    <col min="13" max="14" width="7" customWidth="1"/>
  </cols>
  <sheetData>
    <row r="1" spans="1:13">
      <c r="A1" t="s">
        <v>0</v>
      </c>
    </row>
    <row r="3" spans="1:13" s="1" customFormat="1">
      <c r="A3" s="2" t="s">
        <v>11</v>
      </c>
      <c r="L3" s="45"/>
    </row>
    <row r="5" spans="1:13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3" ht="36.75">
      <c r="A6" s="28" t="s">
        <v>12</v>
      </c>
      <c r="B6" s="28" t="s">
        <v>13</v>
      </c>
      <c r="C6" s="28" t="s">
        <v>14</v>
      </c>
      <c r="D6" s="28" t="s">
        <v>15</v>
      </c>
      <c r="E6" s="28" t="s">
        <v>16</v>
      </c>
      <c r="F6" s="28" t="s">
        <v>17</v>
      </c>
      <c r="G6" s="28" t="s">
        <v>18</v>
      </c>
      <c r="H6" s="28" t="s">
        <v>19</v>
      </c>
      <c r="I6" s="28" t="s">
        <v>20</v>
      </c>
      <c r="J6" s="28" t="s">
        <v>21</v>
      </c>
    </row>
    <row r="7" spans="1:13">
      <c r="A7" s="29">
        <v>1996</v>
      </c>
      <c r="B7" s="30">
        <v>76</v>
      </c>
      <c r="C7" s="30">
        <v>234</v>
      </c>
      <c r="D7" s="30">
        <v>91</v>
      </c>
      <c r="E7" s="31">
        <v>11</v>
      </c>
      <c r="F7" s="31">
        <v>33</v>
      </c>
      <c r="G7" s="32">
        <v>0.63</v>
      </c>
      <c r="H7" s="33"/>
      <c r="I7" s="34">
        <v>0.68</v>
      </c>
      <c r="J7" s="35">
        <v>11.9</v>
      </c>
      <c r="M7" s="26"/>
    </row>
    <row r="8" spans="1:13">
      <c r="A8" s="29">
        <v>1997</v>
      </c>
      <c r="B8" s="30">
        <v>136</v>
      </c>
      <c r="C8" s="30">
        <v>322</v>
      </c>
      <c r="D8" s="30">
        <v>104</v>
      </c>
      <c r="E8" s="31">
        <v>38</v>
      </c>
      <c r="F8" s="31">
        <v>42</v>
      </c>
      <c r="G8" s="32">
        <v>0.96</v>
      </c>
      <c r="H8" s="36">
        <v>4.2</v>
      </c>
      <c r="I8" s="34">
        <v>1.03</v>
      </c>
      <c r="J8" s="35">
        <v>5.7</v>
      </c>
      <c r="M8" s="26"/>
    </row>
    <row r="9" spans="1:13">
      <c r="A9" s="29">
        <v>1998</v>
      </c>
      <c r="B9" s="30">
        <v>237</v>
      </c>
      <c r="C9" s="30">
        <v>487</v>
      </c>
      <c r="D9" s="30">
        <v>68</v>
      </c>
      <c r="E9" s="31">
        <v>42</v>
      </c>
      <c r="F9" s="31">
        <v>49</v>
      </c>
      <c r="G9" s="32">
        <v>0.68</v>
      </c>
      <c r="H9" s="36">
        <v>4</v>
      </c>
      <c r="I9" s="34">
        <v>1.1599999999999999</v>
      </c>
      <c r="J9" s="35">
        <v>4.0999999999999996</v>
      </c>
      <c r="M9" s="26"/>
    </row>
    <row r="10" spans="1:13">
      <c r="A10" s="29">
        <v>1999</v>
      </c>
      <c r="B10" s="30">
        <v>200</v>
      </c>
      <c r="C10" s="30">
        <v>439</v>
      </c>
      <c r="D10" s="30">
        <v>104</v>
      </c>
      <c r="E10" s="31">
        <v>27</v>
      </c>
      <c r="F10" s="31">
        <v>46</v>
      </c>
      <c r="G10" s="32">
        <v>0.69</v>
      </c>
      <c r="H10" s="36">
        <v>3.9</v>
      </c>
      <c r="I10" s="34">
        <v>1.1399999999999999</v>
      </c>
      <c r="J10" s="35">
        <v>4.3</v>
      </c>
      <c r="M10" s="26"/>
    </row>
    <row r="11" spans="1:13">
      <c r="A11" s="29">
        <v>2000</v>
      </c>
      <c r="B11" s="30">
        <v>146</v>
      </c>
      <c r="C11" s="30">
        <v>309</v>
      </c>
      <c r="D11" s="30">
        <v>103</v>
      </c>
      <c r="E11" s="31">
        <v>18</v>
      </c>
      <c r="F11" s="31">
        <v>47</v>
      </c>
      <c r="G11" s="32">
        <v>0.73</v>
      </c>
      <c r="H11" s="36">
        <v>1.7</v>
      </c>
      <c r="I11" s="34">
        <v>1.35</v>
      </c>
      <c r="J11" s="35">
        <v>2.5</v>
      </c>
      <c r="M11" s="26"/>
    </row>
    <row r="12" spans="1:13">
      <c r="A12" s="29">
        <v>2001</v>
      </c>
      <c r="B12" s="30">
        <v>124</v>
      </c>
      <c r="C12" s="30">
        <v>270</v>
      </c>
      <c r="D12" s="30">
        <v>127</v>
      </c>
      <c r="E12" s="31">
        <v>17</v>
      </c>
      <c r="F12" s="31">
        <v>46</v>
      </c>
      <c r="G12" s="32">
        <v>0.98</v>
      </c>
      <c r="H12" s="36">
        <v>1.6</v>
      </c>
      <c r="I12" s="34">
        <v>1.0900000000000001</v>
      </c>
      <c r="J12" s="35">
        <v>5</v>
      </c>
      <c r="M12" s="26"/>
    </row>
    <row r="13" spans="1:13">
      <c r="A13" s="29">
        <v>2002</v>
      </c>
      <c r="B13" s="30">
        <v>77</v>
      </c>
      <c r="C13" s="30">
        <v>230</v>
      </c>
      <c r="D13" s="30">
        <v>87</v>
      </c>
      <c r="E13" s="31">
        <v>16</v>
      </c>
      <c r="F13" s="31">
        <v>33</v>
      </c>
      <c r="G13" s="32">
        <v>0.81</v>
      </c>
      <c r="H13" s="36">
        <v>1.3</v>
      </c>
      <c r="I13" s="34">
        <v>0.72</v>
      </c>
      <c r="J13" s="35">
        <v>10.7</v>
      </c>
      <c r="M13" s="26"/>
    </row>
    <row r="14" spans="1:13">
      <c r="A14" s="29">
        <v>2003</v>
      </c>
      <c r="B14" s="30">
        <v>145</v>
      </c>
      <c r="C14" s="30">
        <v>341</v>
      </c>
      <c r="D14" s="30">
        <v>112</v>
      </c>
      <c r="E14" s="31">
        <v>38</v>
      </c>
      <c r="F14" s="31">
        <v>43</v>
      </c>
      <c r="G14" s="32">
        <v>0.79</v>
      </c>
      <c r="H14" s="36">
        <v>4.3</v>
      </c>
      <c r="I14" s="34">
        <v>0.97</v>
      </c>
      <c r="J14" s="35">
        <v>6.5</v>
      </c>
      <c r="M14" s="26"/>
    </row>
    <row r="15" spans="1:13">
      <c r="A15" s="29">
        <v>2004</v>
      </c>
      <c r="B15" s="30">
        <v>264</v>
      </c>
      <c r="C15" s="30">
        <v>484</v>
      </c>
      <c r="D15" s="30">
        <v>102</v>
      </c>
      <c r="E15" s="31">
        <v>63</v>
      </c>
      <c r="F15" s="31">
        <v>55</v>
      </c>
      <c r="G15" s="32">
        <v>1.43</v>
      </c>
      <c r="H15" s="36">
        <v>5.6</v>
      </c>
      <c r="I15" s="34">
        <v>1.63</v>
      </c>
      <c r="J15" s="35">
        <v>1.9</v>
      </c>
      <c r="M15" s="26"/>
    </row>
    <row r="16" spans="1:13">
      <c r="A16" s="29">
        <v>2005</v>
      </c>
      <c r="B16" s="30">
        <v>203</v>
      </c>
      <c r="C16" s="30">
        <v>457</v>
      </c>
      <c r="D16" s="30">
        <v>71</v>
      </c>
      <c r="E16" s="31">
        <v>47</v>
      </c>
      <c r="F16" s="31">
        <v>45</v>
      </c>
      <c r="G16" s="32">
        <v>0.73</v>
      </c>
      <c r="H16" s="36">
        <v>4.5999999999999996</v>
      </c>
      <c r="I16" s="34">
        <v>1.1499999999999999</v>
      </c>
      <c r="J16" s="35">
        <v>4.3</v>
      </c>
      <c r="M16" s="26"/>
    </row>
    <row r="17" spans="1:13">
      <c r="A17" s="29">
        <v>2006</v>
      </c>
      <c r="B17" s="30">
        <v>204</v>
      </c>
      <c r="C17" s="30">
        <v>463</v>
      </c>
      <c r="D17" s="30">
        <v>86</v>
      </c>
      <c r="E17" s="31">
        <v>35</v>
      </c>
      <c r="F17" s="31">
        <v>44</v>
      </c>
      <c r="G17" s="32">
        <v>0.96</v>
      </c>
      <c r="H17" s="36">
        <v>5</v>
      </c>
      <c r="I17" s="34">
        <v>1.21</v>
      </c>
      <c r="J17" s="35">
        <v>3.9</v>
      </c>
      <c r="M17" s="26"/>
    </row>
    <row r="18" spans="1:13">
      <c r="A18" s="29">
        <v>2007</v>
      </c>
      <c r="B18" s="30">
        <v>234</v>
      </c>
      <c r="C18" s="30">
        <v>572</v>
      </c>
      <c r="D18" s="30">
        <v>134</v>
      </c>
      <c r="E18" s="31">
        <v>43</v>
      </c>
      <c r="F18" s="31">
        <v>41</v>
      </c>
      <c r="G18" s="32">
        <v>0.69</v>
      </c>
      <c r="H18" s="36">
        <v>5</v>
      </c>
      <c r="I18" s="34">
        <v>0.97</v>
      </c>
      <c r="J18" s="35">
        <v>6.4</v>
      </c>
      <c r="M18" s="26"/>
    </row>
    <row r="19" spans="1:13">
      <c r="A19" s="29">
        <v>2008</v>
      </c>
      <c r="B19" s="30">
        <v>211</v>
      </c>
      <c r="C19" s="30">
        <v>478</v>
      </c>
      <c r="D19" s="30">
        <v>141</v>
      </c>
      <c r="E19" s="31">
        <v>20</v>
      </c>
      <c r="F19" s="31">
        <v>44</v>
      </c>
      <c r="G19" s="32">
        <v>0.55000000000000004</v>
      </c>
      <c r="H19" s="36">
        <v>1.5</v>
      </c>
      <c r="I19" s="34">
        <v>0.78</v>
      </c>
      <c r="J19" s="35">
        <v>10</v>
      </c>
      <c r="M19" s="26"/>
    </row>
    <row r="20" spans="1:13">
      <c r="A20" s="29">
        <v>2009</v>
      </c>
      <c r="B20" s="30">
        <v>218</v>
      </c>
      <c r="C20" s="30">
        <v>548</v>
      </c>
      <c r="D20" s="30">
        <v>184</v>
      </c>
      <c r="E20" s="31">
        <v>42</v>
      </c>
      <c r="F20" s="31">
        <v>40</v>
      </c>
      <c r="G20" s="32">
        <v>0.9</v>
      </c>
      <c r="H20" s="36">
        <v>3</v>
      </c>
      <c r="I20" s="34">
        <v>0.97</v>
      </c>
      <c r="J20" s="35">
        <v>6.3</v>
      </c>
      <c r="M20" s="26"/>
    </row>
    <row r="21" spans="1:13">
      <c r="A21" s="29">
        <v>2010</v>
      </c>
      <c r="B21" s="30">
        <v>276</v>
      </c>
      <c r="C21" s="30">
        <v>608</v>
      </c>
      <c r="D21" s="30">
        <v>158</v>
      </c>
      <c r="E21" s="31">
        <v>29</v>
      </c>
      <c r="F21" s="31">
        <v>45</v>
      </c>
      <c r="G21" s="32">
        <v>0.96</v>
      </c>
      <c r="H21" s="36">
        <v>1.6</v>
      </c>
      <c r="I21" s="34">
        <v>0.93</v>
      </c>
      <c r="J21" s="35">
        <v>7</v>
      </c>
      <c r="M21" s="26"/>
    </row>
    <row r="22" spans="1:13">
      <c r="A22" s="29">
        <v>2011</v>
      </c>
      <c r="B22" s="30">
        <v>168</v>
      </c>
      <c r="C22" s="30">
        <v>625</v>
      </c>
      <c r="D22" s="30">
        <v>149</v>
      </c>
      <c r="E22" s="31">
        <v>45</v>
      </c>
      <c r="F22" s="31">
        <v>27</v>
      </c>
      <c r="G22" s="32">
        <v>0.48</v>
      </c>
      <c r="H22" s="36">
        <v>2.9</v>
      </c>
      <c r="I22" s="34">
        <v>0.52</v>
      </c>
      <c r="J22" s="35">
        <v>16.899999999999999</v>
      </c>
      <c r="M22" s="26"/>
    </row>
    <row r="23" spans="1:13">
      <c r="A23" s="29">
        <v>2012</v>
      </c>
      <c r="B23" s="30">
        <v>197</v>
      </c>
      <c r="C23" s="30">
        <v>698</v>
      </c>
      <c r="D23" s="30">
        <v>138</v>
      </c>
      <c r="E23" s="31">
        <v>37</v>
      </c>
      <c r="F23" s="31">
        <v>28</v>
      </c>
      <c r="G23" s="32">
        <v>0.64</v>
      </c>
      <c r="H23" s="36">
        <v>2.5</v>
      </c>
      <c r="I23" s="34">
        <v>0.77</v>
      </c>
      <c r="J23" s="35">
        <v>9.5</v>
      </c>
      <c r="M23" s="26"/>
    </row>
    <row r="24" spans="1:13">
      <c r="A24" s="29">
        <v>2013</v>
      </c>
      <c r="B24" s="30">
        <v>276</v>
      </c>
      <c r="C24" s="30">
        <v>836</v>
      </c>
      <c r="D24" s="30">
        <v>176</v>
      </c>
      <c r="E24" s="31">
        <v>33</v>
      </c>
      <c r="F24" s="31">
        <v>33</v>
      </c>
      <c r="G24" s="32">
        <v>0.68</v>
      </c>
      <c r="H24" s="36">
        <v>2.4</v>
      </c>
      <c r="I24" s="34">
        <v>1.02</v>
      </c>
      <c r="J24" s="35">
        <v>5.7</v>
      </c>
      <c r="M24" s="26"/>
    </row>
    <row r="25" spans="1:13">
      <c r="A25" s="29">
        <v>2014</v>
      </c>
      <c r="B25" s="30">
        <v>280</v>
      </c>
      <c r="C25" s="30">
        <v>585</v>
      </c>
      <c r="D25" s="30">
        <v>196</v>
      </c>
      <c r="E25" s="31">
        <v>31</v>
      </c>
      <c r="F25" s="31">
        <v>48</v>
      </c>
      <c r="G25" s="32">
        <v>1.01</v>
      </c>
      <c r="H25" s="36">
        <v>1.7</v>
      </c>
      <c r="I25" s="34">
        <v>1.34</v>
      </c>
      <c r="J25" s="35">
        <v>3.2</v>
      </c>
      <c r="M25" s="26"/>
    </row>
    <row r="26" spans="1:13">
      <c r="A26" s="29">
        <v>2015</v>
      </c>
      <c r="B26" s="30">
        <v>224</v>
      </c>
      <c r="C26" s="30">
        <v>408</v>
      </c>
      <c r="D26" s="30">
        <v>130</v>
      </c>
      <c r="E26" s="31">
        <v>14</v>
      </c>
      <c r="F26" s="31">
        <v>55</v>
      </c>
      <c r="G26" s="32">
        <v>1.17</v>
      </c>
      <c r="H26" s="36">
        <v>0.7</v>
      </c>
      <c r="I26" s="34">
        <v>1.53</v>
      </c>
      <c r="J26" s="35">
        <v>2.2999999999999998</v>
      </c>
      <c r="M26" s="26"/>
    </row>
    <row r="27" spans="1:13">
      <c r="A27" s="29">
        <v>2016</v>
      </c>
      <c r="B27" s="30">
        <v>101</v>
      </c>
      <c r="C27" s="30">
        <v>234</v>
      </c>
      <c r="D27" s="30">
        <v>51</v>
      </c>
      <c r="E27" s="31">
        <v>12</v>
      </c>
      <c r="F27" s="31">
        <v>43</v>
      </c>
      <c r="G27" s="32">
        <v>1.05</v>
      </c>
      <c r="H27" s="36">
        <v>0.9</v>
      </c>
      <c r="I27" s="34">
        <v>1.22</v>
      </c>
      <c r="J27" s="35">
        <v>4</v>
      </c>
      <c r="M27" s="26"/>
    </row>
    <row r="28" spans="1:13">
      <c r="A28" s="29">
        <v>2017</v>
      </c>
      <c r="B28" s="30">
        <v>75</v>
      </c>
      <c r="C28" s="30">
        <v>202</v>
      </c>
      <c r="D28" s="30">
        <v>51</v>
      </c>
      <c r="E28" s="31">
        <v>17</v>
      </c>
      <c r="F28" s="31">
        <v>37</v>
      </c>
      <c r="G28" s="32">
        <v>0.71</v>
      </c>
      <c r="H28" s="36">
        <v>3.3</v>
      </c>
      <c r="I28" s="34">
        <v>0.95</v>
      </c>
      <c r="J28" s="35">
        <v>6.6</v>
      </c>
      <c r="M28" s="26"/>
    </row>
    <row r="29" spans="1:13">
      <c r="A29" s="29">
        <v>2018</v>
      </c>
      <c r="B29" s="30">
        <v>104</v>
      </c>
      <c r="C29" s="30">
        <v>219</v>
      </c>
      <c r="D29" s="30">
        <v>51</v>
      </c>
      <c r="E29" s="31">
        <v>14</v>
      </c>
      <c r="F29" s="31">
        <v>48</v>
      </c>
      <c r="G29" s="32">
        <v>1</v>
      </c>
      <c r="H29" s="36">
        <v>2.7</v>
      </c>
      <c r="I29" s="34">
        <v>1.37</v>
      </c>
      <c r="J29" s="35">
        <v>3</v>
      </c>
      <c r="M29" s="26"/>
    </row>
    <row r="30" spans="1:13">
      <c r="A30" s="29">
        <v>2019</v>
      </c>
      <c r="B30" s="30">
        <v>67</v>
      </c>
      <c r="C30" s="30">
        <v>168</v>
      </c>
      <c r="D30" s="30">
        <v>38</v>
      </c>
      <c r="E30" s="31">
        <v>10</v>
      </c>
      <c r="F30" s="31">
        <v>40</v>
      </c>
      <c r="G30" s="32">
        <v>0.83</v>
      </c>
      <c r="H30" s="36">
        <v>1.9</v>
      </c>
      <c r="I30" s="34">
        <v>1</v>
      </c>
      <c r="J30" s="35">
        <v>6</v>
      </c>
      <c r="M30" s="26"/>
    </row>
    <row r="31" spans="1:13">
      <c r="A31" s="29">
        <v>2020</v>
      </c>
      <c r="B31" s="30">
        <v>68</v>
      </c>
      <c r="C31" s="30">
        <v>175</v>
      </c>
      <c r="D31" s="30">
        <v>45</v>
      </c>
      <c r="E31" s="31">
        <v>13</v>
      </c>
      <c r="F31" s="31">
        <v>39</v>
      </c>
      <c r="G31" s="32">
        <v>0.62</v>
      </c>
      <c r="H31" s="36">
        <v>3.3</v>
      </c>
      <c r="I31" s="34">
        <v>1.07</v>
      </c>
      <c r="J31" s="35">
        <v>5.0999999999999996</v>
      </c>
      <c r="M31" s="26"/>
    </row>
    <row r="32" spans="1:13">
      <c r="A32" s="37">
        <v>2021</v>
      </c>
      <c r="B32" s="38">
        <v>73</v>
      </c>
      <c r="C32" s="38">
        <v>174</v>
      </c>
      <c r="D32" s="38">
        <v>56</v>
      </c>
      <c r="E32" s="39">
        <v>7</v>
      </c>
      <c r="F32" s="39">
        <v>42</v>
      </c>
      <c r="G32" s="40">
        <v>0.79</v>
      </c>
      <c r="H32" s="41">
        <v>1.5</v>
      </c>
      <c r="I32" s="42">
        <v>1.1200000000000001</v>
      </c>
      <c r="J32" s="43">
        <v>4.8</v>
      </c>
      <c r="M32" s="26"/>
    </row>
    <row r="33" spans="1:10">
      <c r="A33" s="5" t="s">
        <v>22</v>
      </c>
      <c r="B33" s="33"/>
      <c r="C33" s="33"/>
      <c r="D33" s="33"/>
      <c r="E33" s="33"/>
      <c r="F33" s="33"/>
      <c r="G33" s="33"/>
      <c r="H33" s="33"/>
      <c r="I33" s="33"/>
      <c r="J33" s="3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8EEC-1EE6-4C31-80C7-AA2D8AB51DF0}">
  <dimension ref="A1:AB70"/>
  <sheetViews>
    <sheetView zoomScale="90" zoomScaleNormal="90" workbookViewId="0">
      <selection activeCell="C25" sqref="C25"/>
    </sheetView>
  </sheetViews>
  <sheetFormatPr defaultColWidth="8.625" defaultRowHeight="18.75"/>
  <cols>
    <col min="1" max="1" width="6.125" customWidth="1"/>
    <col min="2" max="11" width="7" customWidth="1"/>
    <col min="12" max="12" width="7" style="44" customWidth="1"/>
    <col min="13" max="14" width="7" customWidth="1"/>
  </cols>
  <sheetData>
    <row r="1" spans="1:28">
      <c r="A1" t="s">
        <v>0</v>
      </c>
    </row>
    <row r="3" spans="1:28" s="1" customFormat="1" ht="21.75">
      <c r="A3" s="155" t="s">
        <v>195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7" t="s">
        <v>35</v>
      </c>
      <c r="R3" s="158"/>
      <c r="S3" s="156"/>
      <c r="T3" s="156"/>
      <c r="U3" s="156"/>
      <c r="V3" s="156"/>
      <c r="W3" s="156"/>
      <c r="X3" s="156"/>
      <c r="Y3" s="156"/>
      <c r="Z3" s="156"/>
      <c r="AA3" s="156"/>
      <c r="AB3" s="156"/>
    </row>
    <row r="4" spans="1:28">
      <c r="A4" s="159" t="s">
        <v>23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60"/>
      <c r="Q4" s="161" t="s">
        <v>23</v>
      </c>
      <c r="R4" s="159"/>
      <c r="S4" s="159"/>
      <c r="T4" s="159"/>
      <c r="U4" s="159"/>
      <c r="V4" s="159"/>
      <c r="W4" s="159"/>
      <c r="X4" s="162"/>
      <c r="Y4" s="159"/>
      <c r="Z4" s="159"/>
      <c r="AA4" s="163"/>
      <c r="AB4" s="163"/>
    </row>
    <row r="5" spans="1:28">
      <c r="A5" s="164" t="s">
        <v>24</v>
      </c>
      <c r="B5" s="165">
        <v>1996</v>
      </c>
      <c r="C5" s="165">
        <v>1997</v>
      </c>
      <c r="D5" s="166">
        <v>1998</v>
      </c>
      <c r="E5" s="166">
        <v>1999</v>
      </c>
      <c r="F5" s="166">
        <v>2000</v>
      </c>
      <c r="G5" s="166">
        <v>2001</v>
      </c>
      <c r="H5" s="166">
        <v>2002</v>
      </c>
      <c r="I5" s="166">
        <v>2003</v>
      </c>
      <c r="J5" s="166">
        <v>2004</v>
      </c>
      <c r="K5" s="166">
        <v>2005</v>
      </c>
      <c r="L5" s="166">
        <v>2006</v>
      </c>
      <c r="M5" s="166">
        <v>2007</v>
      </c>
      <c r="N5" s="166">
        <v>2008</v>
      </c>
      <c r="O5" s="166">
        <v>2009</v>
      </c>
      <c r="P5" s="167">
        <v>2010</v>
      </c>
      <c r="Q5" s="168" t="s">
        <v>24</v>
      </c>
      <c r="R5" s="166">
        <v>2011</v>
      </c>
      <c r="S5" s="167">
        <v>2012</v>
      </c>
      <c r="T5" s="166">
        <v>2013</v>
      </c>
      <c r="U5" s="167">
        <v>2014</v>
      </c>
      <c r="V5" s="166">
        <v>2015</v>
      </c>
      <c r="W5" s="167">
        <v>2016</v>
      </c>
      <c r="X5" s="167">
        <v>2017</v>
      </c>
      <c r="Y5" s="167">
        <v>2018</v>
      </c>
      <c r="Z5" s="167">
        <v>2019</v>
      </c>
      <c r="AA5" s="167">
        <v>2020</v>
      </c>
      <c r="AB5" s="167">
        <v>2021</v>
      </c>
    </row>
    <row r="6" spans="1:28">
      <c r="A6" s="169">
        <v>1</v>
      </c>
      <c r="B6" s="170">
        <v>1745</v>
      </c>
      <c r="C6" s="170">
        <v>8938</v>
      </c>
      <c r="D6" s="170">
        <v>20378</v>
      </c>
      <c r="E6" s="170">
        <v>11396</v>
      </c>
      <c r="F6" s="170">
        <v>9537</v>
      </c>
      <c r="G6" s="170">
        <v>8905</v>
      </c>
      <c r="H6" s="170">
        <v>5951</v>
      </c>
      <c r="I6" s="170">
        <v>18878</v>
      </c>
      <c r="J6" s="170">
        <v>39039</v>
      </c>
      <c r="K6" s="170">
        <v>23528</v>
      </c>
      <c r="L6" s="170">
        <v>12633</v>
      </c>
      <c r="M6" s="170">
        <v>19932</v>
      </c>
      <c r="N6" s="170">
        <v>3815</v>
      </c>
      <c r="O6" s="170">
        <v>12051</v>
      </c>
      <c r="P6" s="170">
        <v>7069</v>
      </c>
      <c r="Q6" s="169">
        <v>1</v>
      </c>
      <c r="R6" s="170">
        <v>6606</v>
      </c>
      <c r="S6" s="170">
        <v>3676</v>
      </c>
      <c r="T6" s="170">
        <v>12655</v>
      </c>
      <c r="U6" s="170">
        <v>8815</v>
      </c>
      <c r="V6" s="170">
        <v>2231</v>
      </c>
      <c r="W6" s="170">
        <v>949</v>
      </c>
      <c r="X6" s="170">
        <v>4567</v>
      </c>
      <c r="Y6" s="170">
        <v>2545</v>
      </c>
      <c r="Z6" s="170">
        <v>2041</v>
      </c>
      <c r="AA6" s="170">
        <v>5714</v>
      </c>
      <c r="AB6" s="170">
        <v>2010</v>
      </c>
    </row>
    <row r="7" spans="1:28">
      <c r="A7" s="169">
        <v>2</v>
      </c>
      <c r="B7" s="170">
        <v>2753</v>
      </c>
      <c r="C7" s="170">
        <v>2684</v>
      </c>
      <c r="D7" s="170">
        <v>10145</v>
      </c>
      <c r="E7" s="170">
        <v>6658</v>
      </c>
      <c r="F7" s="170">
        <v>4790</v>
      </c>
      <c r="G7" s="170">
        <v>1946</v>
      </c>
      <c r="H7" s="170">
        <v>1442</v>
      </c>
      <c r="I7" s="170">
        <v>2374</v>
      </c>
      <c r="J7" s="170">
        <v>4551</v>
      </c>
      <c r="K7" s="170">
        <v>4747</v>
      </c>
      <c r="L7" s="170">
        <v>5388</v>
      </c>
      <c r="M7" s="170">
        <v>6495</v>
      </c>
      <c r="N7" s="170">
        <v>6512</v>
      </c>
      <c r="O7" s="170">
        <v>3643</v>
      </c>
      <c r="P7" s="170">
        <v>9104</v>
      </c>
      <c r="Q7" s="169">
        <v>2</v>
      </c>
      <c r="R7" s="170">
        <v>3063</v>
      </c>
      <c r="S7" s="170">
        <v>10311</v>
      </c>
      <c r="T7" s="170">
        <v>10211</v>
      </c>
      <c r="U7" s="170">
        <v>5904</v>
      </c>
      <c r="V7" s="170">
        <v>8092</v>
      </c>
      <c r="W7" s="170">
        <v>3231</v>
      </c>
      <c r="X7" s="170">
        <v>2748</v>
      </c>
      <c r="Y7" s="170">
        <v>4020</v>
      </c>
      <c r="Z7" s="170">
        <v>3148</v>
      </c>
      <c r="AA7" s="170">
        <v>1597</v>
      </c>
      <c r="AB7" s="170">
        <v>1643</v>
      </c>
    </row>
    <row r="8" spans="1:28">
      <c r="A8" s="169">
        <v>3</v>
      </c>
      <c r="B8" s="170">
        <v>534</v>
      </c>
      <c r="C8" s="170">
        <v>884</v>
      </c>
      <c r="D8" s="170">
        <v>977</v>
      </c>
      <c r="E8" s="170">
        <v>1986</v>
      </c>
      <c r="F8" s="170">
        <v>1530</v>
      </c>
      <c r="G8" s="170">
        <v>724</v>
      </c>
      <c r="H8" s="170">
        <v>233</v>
      </c>
      <c r="I8" s="170">
        <v>584</v>
      </c>
      <c r="J8" s="170">
        <v>1058</v>
      </c>
      <c r="K8" s="170">
        <v>1536</v>
      </c>
      <c r="L8" s="170">
        <v>2080</v>
      </c>
      <c r="M8" s="170">
        <v>1339</v>
      </c>
      <c r="N8" s="170">
        <v>1112</v>
      </c>
      <c r="O8" s="170">
        <v>1442</v>
      </c>
      <c r="P8" s="170">
        <v>1784</v>
      </c>
      <c r="Q8" s="169">
        <v>3</v>
      </c>
      <c r="R8" s="170">
        <v>1720</v>
      </c>
      <c r="S8" s="170">
        <v>1923</v>
      </c>
      <c r="T8" s="170">
        <v>2056</v>
      </c>
      <c r="U8" s="170">
        <v>2490</v>
      </c>
      <c r="V8" s="170">
        <v>1671</v>
      </c>
      <c r="W8" s="170">
        <v>1218</v>
      </c>
      <c r="X8" s="170">
        <v>972</v>
      </c>
      <c r="Y8" s="170">
        <v>1312</v>
      </c>
      <c r="Z8" s="170">
        <v>687</v>
      </c>
      <c r="AA8" s="170">
        <v>977</v>
      </c>
      <c r="AB8" s="170">
        <v>865</v>
      </c>
    </row>
    <row r="9" spans="1:28">
      <c r="A9" s="169">
        <v>4</v>
      </c>
      <c r="B9" s="170">
        <v>335</v>
      </c>
      <c r="C9" s="170">
        <v>892</v>
      </c>
      <c r="D9" s="170">
        <v>149</v>
      </c>
      <c r="E9" s="170">
        <v>256</v>
      </c>
      <c r="F9" s="170">
        <v>737</v>
      </c>
      <c r="G9" s="170">
        <v>387</v>
      </c>
      <c r="H9" s="170">
        <v>252</v>
      </c>
      <c r="I9" s="170">
        <v>239</v>
      </c>
      <c r="J9" s="170">
        <v>460</v>
      </c>
      <c r="K9" s="170">
        <v>349</v>
      </c>
      <c r="L9" s="170">
        <v>627</v>
      </c>
      <c r="M9" s="170">
        <v>330</v>
      </c>
      <c r="N9" s="170">
        <v>586</v>
      </c>
      <c r="O9" s="170">
        <v>1112</v>
      </c>
      <c r="P9" s="170">
        <v>593</v>
      </c>
      <c r="Q9" s="169">
        <v>4</v>
      </c>
      <c r="R9" s="170">
        <v>575</v>
      </c>
      <c r="S9" s="170">
        <v>968</v>
      </c>
      <c r="T9" s="170">
        <v>1466</v>
      </c>
      <c r="U9" s="170">
        <v>2913</v>
      </c>
      <c r="V9" s="170">
        <v>1873</v>
      </c>
      <c r="W9" s="170">
        <v>696</v>
      </c>
      <c r="X9" s="170">
        <v>482</v>
      </c>
      <c r="Y9" s="170">
        <v>663</v>
      </c>
      <c r="Z9" s="170">
        <v>330</v>
      </c>
      <c r="AA9" s="170">
        <v>396</v>
      </c>
      <c r="AB9" s="170">
        <v>453</v>
      </c>
    </row>
    <row r="10" spans="1:28">
      <c r="A10" s="169">
        <v>5</v>
      </c>
      <c r="B10" s="170">
        <v>140</v>
      </c>
      <c r="C10" s="170">
        <v>296</v>
      </c>
      <c r="D10" s="170">
        <v>78</v>
      </c>
      <c r="E10" s="170">
        <v>112</v>
      </c>
      <c r="F10" s="170">
        <v>66</v>
      </c>
      <c r="G10" s="170">
        <v>390</v>
      </c>
      <c r="H10" s="170">
        <v>191</v>
      </c>
      <c r="I10" s="170">
        <v>321</v>
      </c>
      <c r="J10" s="170">
        <v>280</v>
      </c>
      <c r="K10" s="170">
        <v>56</v>
      </c>
      <c r="L10" s="170">
        <v>164</v>
      </c>
      <c r="M10" s="170">
        <v>161</v>
      </c>
      <c r="N10" s="170">
        <v>216</v>
      </c>
      <c r="O10" s="170">
        <v>639</v>
      </c>
      <c r="P10" s="170">
        <v>409</v>
      </c>
      <c r="Q10" s="169">
        <v>5</v>
      </c>
      <c r="R10" s="170">
        <v>262</v>
      </c>
      <c r="S10" s="170">
        <v>363</v>
      </c>
      <c r="T10" s="170">
        <v>485</v>
      </c>
      <c r="U10" s="170">
        <v>897</v>
      </c>
      <c r="V10" s="170">
        <v>751</v>
      </c>
      <c r="W10" s="170">
        <v>349</v>
      </c>
      <c r="X10" s="170">
        <v>158</v>
      </c>
      <c r="Y10" s="170">
        <v>244</v>
      </c>
      <c r="Z10" s="170">
        <v>181</v>
      </c>
      <c r="AA10" s="170">
        <v>114</v>
      </c>
      <c r="AB10" s="170">
        <v>164</v>
      </c>
    </row>
    <row r="11" spans="1:28">
      <c r="A11" s="171" t="s">
        <v>25</v>
      </c>
      <c r="B11" s="172">
        <v>42</v>
      </c>
      <c r="C11" s="172">
        <v>50</v>
      </c>
      <c r="D11" s="172">
        <v>40</v>
      </c>
      <c r="E11" s="172">
        <v>52</v>
      </c>
      <c r="F11" s="172">
        <v>50</v>
      </c>
      <c r="G11" s="172">
        <v>129</v>
      </c>
      <c r="H11" s="172">
        <v>89</v>
      </c>
      <c r="I11" s="172">
        <v>33</v>
      </c>
      <c r="J11" s="172">
        <v>101</v>
      </c>
      <c r="K11" s="172">
        <v>15</v>
      </c>
      <c r="L11" s="172">
        <v>40</v>
      </c>
      <c r="M11" s="172">
        <v>29</v>
      </c>
      <c r="N11" s="172">
        <v>52</v>
      </c>
      <c r="O11" s="172">
        <v>142</v>
      </c>
      <c r="P11" s="172">
        <v>129</v>
      </c>
      <c r="Q11" s="171" t="s">
        <v>25</v>
      </c>
      <c r="R11" s="172">
        <v>44</v>
      </c>
      <c r="S11" s="172">
        <v>138</v>
      </c>
      <c r="T11" s="172">
        <v>110</v>
      </c>
      <c r="U11" s="172">
        <v>240</v>
      </c>
      <c r="V11" s="172">
        <v>174</v>
      </c>
      <c r="W11" s="172">
        <v>118</v>
      </c>
      <c r="X11" s="172">
        <v>36</v>
      </c>
      <c r="Y11" s="172">
        <v>59</v>
      </c>
      <c r="Z11" s="172">
        <v>50</v>
      </c>
      <c r="AA11" s="172">
        <v>21</v>
      </c>
      <c r="AB11" s="172">
        <v>85</v>
      </c>
    </row>
    <row r="12" spans="1:28">
      <c r="A12" s="173" t="s">
        <v>26</v>
      </c>
      <c r="B12" s="174">
        <v>5548</v>
      </c>
      <c r="C12" s="174">
        <v>13743</v>
      </c>
      <c r="D12" s="174">
        <v>31766</v>
      </c>
      <c r="E12" s="174">
        <v>20460</v>
      </c>
      <c r="F12" s="174">
        <v>16710</v>
      </c>
      <c r="G12" s="174">
        <v>12481</v>
      </c>
      <c r="H12" s="174">
        <v>8157</v>
      </c>
      <c r="I12" s="174">
        <v>22430</v>
      </c>
      <c r="J12" s="174">
        <v>45489</v>
      </c>
      <c r="K12" s="174">
        <v>30231</v>
      </c>
      <c r="L12" s="174">
        <v>20931</v>
      </c>
      <c r="M12" s="174">
        <v>28286</v>
      </c>
      <c r="N12" s="174">
        <v>12292</v>
      </c>
      <c r="O12" s="174">
        <v>19031</v>
      </c>
      <c r="P12" s="174">
        <v>19087</v>
      </c>
      <c r="Q12" s="175" t="s">
        <v>26</v>
      </c>
      <c r="R12" s="174">
        <v>12269</v>
      </c>
      <c r="S12" s="174">
        <v>17378</v>
      </c>
      <c r="T12" s="174">
        <v>26984</v>
      </c>
      <c r="U12" s="174">
        <v>21259</v>
      </c>
      <c r="V12" s="174">
        <v>14791</v>
      </c>
      <c r="W12" s="174">
        <v>6561</v>
      </c>
      <c r="X12" s="174">
        <v>8963</v>
      </c>
      <c r="Y12" s="174">
        <v>8843</v>
      </c>
      <c r="Z12" s="174">
        <v>6436</v>
      </c>
      <c r="AA12" s="174">
        <v>8819</v>
      </c>
      <c r="AB12" s="174">
        <v>5221</v>
      </c>
    </row>
    <row r="13" spans="1:28">
      <c r="A13" s="176"/>
      <c r="B13" s="176"/>
      <c r="C13" s="176"/>
      <c r="D13" s="177"/>
      <c r="E13" s="177"/>
      <c r="F13" s="177"/>
      <c r="G13" s="177"/>
      <c r="H13" s="177"/>
      <c r="I13" s="177"/>
      <c r="J13" s="178"/>
      <c r="K13" s="178"/>
      <c r="L13" s="178"/>
      <c r="M13" s="178"/>
      <c r="N13" s="178"/>
      <c r="O13" s="178"/>
      <c r="P13" s="179"/>
      <c r="Q13" s="180"/>
      <c r="R13" s="176"/>
      <c r="S13" s="177"/>
      <c r="T13" s="181"/>
      <c r="U13" s="181"/>
      <c r="V13" s="181"/>
      <c r="W13" s="181"/>
      <c r="X13" s="181"/>
      <c r="Y13" s="181"/>
      <c r="Z13" s="181"/>
      <c r="AA13" s="156"/>
      <c r="AB13" s="156"/>
    </row>
    <row r="14" spans="1:28">
      <c r="A14" s="182" t="s">
        <v>27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3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spans="1:28" s="156" customFormat="1">
      <c r="A15" s="164" t="s">
        <v>24</v>
      </c>
      <c r="B15" s="241">
        <v>1996</v>
      </c>
      <c r="C15" s="241">
        <v>1997</v>
      </c>
      <c r="D15" s="241">
        <v>1998</v>
      </c>
      <c r="E15" s="241">
        <v>1999</v>
      </c>
      <c r="F15" s="241">
        <v>2000</v>
      </c>
      <c r="G15" s="241">
        <v>2001</v>
      </c>
      <c r="H15" s="241">
        <v>2002</v>
      </c>
      <c r="I15" s="241">
        <v>2003</v>
      </c>
      <c r="J15" s="241">
        <v>2004</v>
      </c>
      <c r="K15" s="241">
        <v>2005</v>
      </c>
      <c r="L15" s="241">
        <v>2006</v>
      </c>
      <c r="M15" s="241">
        <v>2007</v>
      </c>
      <c r="N15" s="241">
        <v>2008</v>
      </c>
      <c r="O15" s="241">
        <v>2009</v>
      </c>
      <c r="P15" s="241">
        <v>2010</v>
      </c>
      <c r="Q15" s="168" t="s">
        <v>24</v>
      </c>
      <c r="R15" s="241">
        <v>2011</v>
      </c>
      <c r="S15" s="241">
        <v>2012</v>
      </c>
      <c r="T15" s="241">
        <v>2013</v>
      </c>
      <c r="U15" s="241">
        <v>2014</v>
      </c>
      <c r="V15" s="241">
        <v>2015</v>
      </c>
      <c r="W15" s="241">
        <v>2016</v>
      </c>
      <c r="X15" s="241">
        <v>2017</v>
      </c>
      <c r="Y15" s="241">
        <v>2018</v>
      </c>
      <c r="Z15" s="241">
        <v>2019</v>
      </c>
      <c r="AA15" s="241">
        <v>2020</v>
      </c>
      <c r="AB15" s="241">
        <v>2021</v>
      </c>
    </row>
    <row r="16" spans="1:28" s="156" customFormat="1">
      <c r="A16" s="169">
        <v>1</v>
      </c>
      <c r="B16" s="242">
        <v>287</v>
      </c>
      <c r="C16" s="242">
        <v>287</v>
      </c>
      <c r="D16" s="242">
        <v>288</v>
      </c>
      <c r="E16" s="242">
        <v>296</v>
      </c>
      <c r="F16" s="242">
        <v>216</v>
      </c>
      <c r="G16" s="242">
        <v>294</v>
      </c>
      <c r="H16" s="242">
        <v>283</v>
      </c>
      <c r="I16" s="242">
        <v>287</v>
      </c>
      <c r="J16" s="242">
        <v>287</v>
      </c>
      <c r="K16" s="242">
        <v>299</v>
      </c>
      <c r="L16" s="242">
        <v>326</v>
      </c>
      <c r="M16" s="242">
        <v>355</v>
      </c>
      <c r="N16" s="242">
        <v>320</v>
      </c>
      <c r="O16" s="242">
        <v>359</v>
      </c>
      <c r="P16" s="242">
        <v>358</v>
      </c>
      <c r="Q16" s="169">
        <v>1</v>
      </c>
      <c r="R16" s="242">
        <v>349</v>
      </c>
      <c r="S16" s="242">
        <v>224</v>
      </c>
      <c r="T16" s="242">
        <v>288</v>
      </c>
      <c r="U16" s="242">
        <v>218</v>
      </c>
      <c r="V16" s="242">
        <v>241</v>
      </c>
      <c r="W16" s="242">
        <v>284</v>
      </c>
      <c r="X16" s="242">
        <v>243</v>
      </c>
      <c r="Y16" s="242">
        <v>243</v>
      </c>
      <c r="Z16" s="242">
        <v>220</v>
      </c>
      <c r="AA16" s="242">
        <v>302</v>
      </c>
      <c r="AB16" s="242">
        <v>387</v>
      </c>
    </row>
    <row r="17" spans="1:28" s="156" customFormat="1">
      <c r="A17" s="169">
        <v>2</v>
      </c>
      <c r="B17" s="242">
        <v>1229</v>
      </c>
      <c r="C17" s="242">
        <v>1229</v>
      </c>
      <c r="D17" s="242">
        <v>1396</v>
      </c>
      <c r="E17" s="242">
        <v>1365</v>
      </c>
      <c r="F17" s="242">
        <v>1094</v>
      </c>
      <c r="G17" s="242">
        <v>1645</v>
      </c>
      <c r="H17" s="242">
        <v>1595</v>
      </c>
      <c r="I17" s="242">
        <v>1584</v>
      </c>
      <c r="J17" s="242">
        <v>1498</v>
      </c>
      <c r="K17" s="242">
        <v>1484</v>
      </c>
      <c r="L17" s="242">
        <v>1309</v>
      </c>
      <c r="M17" s="242">
        <v>1526</v>
      </c>
      <c r="N17" s="242">
        <v>1249</v>
      </c>
      <c r="O17" s="242">
        <v>1346</v>
      </c>
      <c r="P17" s="242">
        <v>1318</v>
      </c>
      <c r="Q17" s="169">
        <v>2</v>
      </c>
      <c r="R17" s="242">
        <v>1445</v>
      </c>
      <c r="S17" s="242">
        <v>1045</v>
      </c>
      <c r="T17" s="242">
        <v>1266</v>
      </c>
      <c r="U17" s="242">
        <v>990</v>
      </c>
      <c r="V17" s="242">
        <v>867</v>
      </c>
      <c r="W17" s="242">
        <v>850</v>
      </c>
      <c r="X17" s="242">
        <v>789</v>
      </c>
      <c r="Y17" s="242">
        <v>819</v>
      </c>
      <c r="Z17" s="242">
        <v>804</v>
      </c>
      <c r="AA17" s="242">
        <v>813</v>
      </c>
      <c r="AB17" s="242">
        <v>985</v>
      </c>
    </row>
    <row r="18" spans="1:28" s="156" customFormat="1">
      <c r="A18" s="169">
        <v>3</v>
      </c>
      <c r="B18" s="242">
        <v>2381</v>
      </c>
      <c r="C18" s="242">
        <v>2381</v>
      </c>
      <c r="D18" s="242">
        <v>2371</v>
      </c>
      <c r="E18" s="242">
        <v>2676</v>
      </c>
      <c r="F18" s="242">
        <v>2372</v>
      </c>
      <c r="G18" s="242">
        <v>2752</v>
      </c>
      <c r="H18" s="242">
        <v>2679</v>
      </c>
      <c r="I18" s="242">
        <v>2653</v>
      </c>
      <c r="J18" s="242">
        <v>2560</v>
      </c>
      <c r="K18" s="242">
        <v>2732</v>
      </c>
      <c r="L18" s="242">
        <v>2336</v>
      </c>
      <c r="M18" s="242">
        <v>2844</v>
      </c>
      <c r="N18" s="242">
        <v>2673</v>
      </c>
      <c r="O18" s="242">
        <v>2371</v>
      </c>
      <c r="P18" s="242">
        <v>2788</v>
      </c>
      <c r="Q18" s="169">
        <v>3</v>
      </c>
      <c r="R18" s="242">
        <v>2541</v>
      </c>
      <c r="S18" s="242">
        <v>2411</v>
      </c>
      <c r="T18" s="242">
        <v>2503</v>
      </c>
      <c r="U18" s="242">
        <v>1979</v>
      </c>
      <c r="V18" s="242">
        <v>2128</v>
      </c>
      <c r="W18" s="242">
        <v>1791</v>
      </c>
      <c r="X18" s="242">
        <v>1776</v>
      </c>
      <c r="Y18" s="242">
        <v>2040</v>
      </c>
      <c r="Z18" s="242">
        <v>1908</v>
      </c>
      <c r="AA18" s="242">
        <v>1832</v>
      </c>
      <c r="AB18" s="242">
        <v>2093</v>
      </c>
    </row>
    <row r="19" spans="1:28" s="156" customFormat="1">
      <c r="A19" s="169">
        <v>4</v>
      </c>
      <c r="B19" s="242">
        <v>3930</v>
      </c>
      <c r="C19" s="242">
        <v>3930</v>
      </c>
      <c r="D19" s="242">
        <v>4379</v>
      </c>
      <c r="E19" s="242">
        <v>4765</v>
      </c>
      <c r="F19" s="242">
        <v>3882</v>
      </c>
      <c r="G19" s="242">
        <v>3784</v>
      </c>
      <c r="H19" s="242">
        <v>4459</v>
      </c>
      <c r="I19" s="242">
        <v>4900</v>
      </c>
      <c r="J19" s="242">
        <v>5091</v>
      </c>
      <c r="K19" s="242">
        <v>4474</v>
      </c>
      <c r="L19" s="242">
        <v>5012</v>
      </c>
      <c r="M19" s="242">
        <v>4109</v>
      </c>
      <c r="N19" s="242">
        <v>4050</v>
      </c>
      <c r="O19" s="242">
        <v>3462</v>
      </c>
      <c r="P19" s="242">
        <v>4614</v>
      </c>
      <c r="Q19" s="169">
        <v>4</v>
      </c>
      <c r="R19" s="242">
        <v>3827</v>
      </c>
      <c r="S19" s="242">
        <v>3916</v>
      </c>
      <c r="T19" s="242">
        <v>3855</v>
      </c>
      <c r="U19" s="242">
        <v>3108</v>
      </c>
      <c r="V19" s="242">
        <v>3436</v>
      </c>
      <c r="W19" s="242">
        <v>3422</v>
      </c>
      <c r="X19" s="242">
        <v>3027</v>
      </c>
      <c r="Y19" s="242">
        <v>3345</v>
      </c>
      <c r="Z19" s="242">
        <v>3186</v>
      </c>
      <c r="AA19" s="242">
        <v>3106</v>
      </c>
      <c r="AB19" s="242">
        <v>3356</v>
      </c>
    </row>
    <row r="20" spans="1:28" s="156" customFormat="1">
      <c r="A20" s="169">
        <v>5</v>
      </c>
      <c r="B20" s="242">
        <v>5825</v>
      </c>
      <c r="C20" s="242">
        <v>5825</v>
      </c>
      <c r="D20" s="242">
        <v>5841</v>
      </c>
      <c r="E20" s="242">
        <v>5591</v>
      </c>
      <c r="F20" s="242">
        <v>5980</v>
      </c>
      <c r="G20" s="242">
        <v>5475</v>
      </c>
      <c r="H20" s="242">
        <v>6054</v>
      </c>
      <c r="I20" s="242">
        <v>7247</v>
      </c>
      <c r="J20" s="242">
        <v>7721</v>
      </c>
      <c r="K20" s="242">
        <v>6606</v>
      </c>
      <c r="L20" s="242">
        <v>5504</v>
      </c>
      <c r="M20" s="242">
        <v>6059</v>
      </c>
      <c r="N20" s="242">
        <v>5913</v>
      </c>
      <c r="O20" s="242">
        <v>5854</v>
      </c>
      <c r="P20" s="242">
        <v>6509</v>
      </c>
      <c r="Q20" s="169">
        <v>5</v>
      </c>
      <c r="R20" s="242">
        <v>6443</v>
      </c>
      <c r="S20" s="242">
        <v>5633</v>
      </c>
      <c r="T20" s="242">
        <v>5460</v>
      </c>
      <c r="U20" s="242">
        <v>4996</v>
      </c>
      <c r="V20" s="242">
        <v>4913</v>
      </c>
      <c r="W20" s="242">
        <v>5021</v>
      </c>
      <c r="X20" s="242">
        <v>4828</v>
      </c>
      <c r="Y20" s="242">
        <v>4798</v>
      </c>
      <c r="Z20" s="242">
        <v>4813</v>
      </c>
      <c r="AA20" s="242">
        <v>5089</v>
      </c>
      <c r="AB20" s="242">
        <v>4718</v>
      </c>
    </row>
    <row r="21" spans="1:28" s="156" customFormat="1">
      <c r="A21" s="171" t="s">
        <v>25</v>
      </c>
      <c r="B21" s="243">
        <v>8110</v>
      </c>
      <c r="C21" s="243">
        <v>8110</v>
      </c>
      <c r="D21" s="243">
        <v>7286</v>
      </c>
      <c r="E21" s="243">
        <v>8174</v>
      </c>
      <c r="F21" s="243">
        <v>7769</v>
      </c>
      <c r="G21" s="243">
        <v>7573</v>
      </c>
      <c r="H21" s="243">
        <v>8869</v>
      </c>
      <c r="I21" s="243">
        <v>8982</v>
      </c>
      <c r="J21" s="243">
        <v>11099</v>
      </c>
      <c r="K21" s="243">
        <v>8174</v>
      </c>
      <c r="L21" s="243">
        <v>8110</v>
      </c>
      <c r="M21" s="243">
        <v>7929</v>
      </c>
      <c r="N21" s="243">
        <v>8174</v>
      </c>
      <c r="O21" s="243">
        <v>11035</v>
      </c>
      <c r="P21" s="243">
        <v>7300</v>
      </c>
      <c r="Q21" s="171" t="s">
        <v>25</v>
      </c>
      <c r="R21" s="243">
        <v>8110</v>
      </c>
      <c r="S21" s="243">
        <v>8627</v>
      </c>
      <c r="T21" s="243">
        <v>7748</v>
      </c>
      <c r="U21" s="243">
        <v>7762</v>
      </c>
      <c r="V21" s="243">
        <v>6891</v>
      </c>
      <c r="W21" s="243">
        <v>6636</v>
      </c>
      <c r="X21" s="243">
        <v>7044</v>
      </c>
      <c r="Y21" s="243">
        <v>7022</v>
      </c>
      <c r="Z21" s="243">
        <v>7033</v>
      </c>
      <c r="AA21" s="243">
        <v>7689</v>
      </c>
      <c r="AB21" s="243">
        <v>8797</v>
      </c>
    </row>
    <row r="22" spans="1:28">
      <c r="A22" s="184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85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</row>
    <row r="23" spans="1:28">
      <c r="A23" s="186" t="s">
        <v>28</v>
      </c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7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</row>
    <row r="24" spans="1:28">
      <c r="A24" s="164" t="s">
        <v>24</v>
      </c>
      <c r="B24" s="188">
        <v>1996</v>
      </c>
      <c r="C24" s="188">
        <v>1997</v>
      </c>
      <c r="D24" s="188">
        <v>1998</v>
      </c>
      <c r="E24" s="188">
        <v>1999</v>
      </c>
      <c r="F24" s="188">
        <v>2000</v>
      </c>
      <c r="G24" s="188">
        <v>2001</v>
      </c>
      <c r="H24" s="188">
        <v>2002</v>
      </c>
      <c r="I24" s="188">
        <v>2003</v>
      </c>
      <c r="J24" s="188">
        <v>2004</v>
      </c>
      <c r="K24" s="188">
        <v>2005</v>
      </c>
      <c r="L24" s="188">
        <v>2006</v>
      </c>
      <c r="M24" s="188">
        <v>2007</v>
      </c>
      <c r="N24" s="188">
        <v>2008</v>
      </c>
      <c r="O24" s="188">
        <v>2009</v>
      </c>
      <c r="P24" s="188">
        <v>2010</v>
      </c>
      <c r="Q24" s="168" t="s">
        <v>24</v>
      </c>
      <c r="R24" s="188">
        <v>2011</v>
      </c>
      <c r="S24" s="188">
        <v>2012</v>
      </c>
      <c r="T24" s="188">
        <v>2013</v>
      </c>
      <c r="U24" s="188">
        <v>2014</v>
      </c>
      <c r="V24" s="188">
        <v>2015</v>
      </c>
      <c r="W24" s="188">
        <v>2016</v>
      </c>
      <c r="X24" s="188">
        <v>2017</v>
      </c>
      <c r="Y24" s="188">
        <v>2018</v>
      </c>
      <c r="Z24" s="188">
        <v>2019</v>
      </c>
      <c r="AA24" s="188">
        <v>2020</v>
      </c>
      <c r="AB24" s="188">
        <v>2021</v>
      </c>
    </row>
    <row r="25" spans="1:28">
      <c r="A25" s="169">
        <v>1</v>
      </c>
      <c r="B25" s="189">
        <v>0</v>
      </c>
      <c r="C25" s="189">
        <v>0</v>
      </c>
      <c r="D25" s="189">
        <v>0</v>
      </c>
      <c r="E25" s="189">
        <v>0</v>
      </c>
      <c r="F25" s="189">
        <v>0</v>
      </c>
      <c r="G25" s="189">
        <v>0</v>
      </c>
      <c r="H25" s="189">
        <v>0</v>
      </c>
      <c r="I25" s="189">
        <v>0</v>
      </c>
      <c r="J25" s="189">
        <v>0</v>
      </c>
      <c r="K25" s="189">
        <v>0</v>
      </c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69">
        <v>1</v>
      </c>
      <c r="R25" s="189">
        <v>0</v>
      </c>
      <c r="S25" s="189">
        <v>0</v>
      </c>
      <c r="T25" s="189">
        <v>0</v>
      </c>
      <c r="U25" s="189">
        <v>0</v>
      </c>
      <c r="V25" s="189">
        <v>0</v>
      </c>
      <c r="W25" s="189">
        <v>0</v>
      </c>
      <c r="X25" s="189">
        <v>0</v>
      </c>
      <c r="Y25" s="189">
        <v>0</v>
      </c>
      <c r="Z25" s="189">
        <v>0</v>
      </c>
      <c r="AA25" s="189">
        <v>0</v>
      </c>
      <c r="AB25" s="189">
        <v>0</v>
      </c>
    </row>
    <row r="26" spans="1:28">
      <c r="A26" s="169">
        <v>2</v>
      </c>
      <c r="B26" s="189">
        <v>0</v>
      </c>
      <c r="C26" s="189">
        <v>0</v>
      </c>
      <c r="D26" s="189">
        <v>0</v>
      </c>
      <c r="E26" s="189">
        <v>0</v>
      </c>
      <c r="F26" s="189">
        <v>0</v>
      </c>
      <c r="G26" s="189">
        <v>0</v>
      </c>
      <c r="H26" s="189">
        <v>0</v>
      </c>
      <c r="I26" s="189">
        <v>0</v>
      </c>
      <c r="J26" s="189">
        <v>0</v>
      </c>
      <c r="K26" s="189">
        <v>0</v>
      </c>
      <c r="L26" s="189">
        <v>0</v>
      </c>
      <c r="M26" s="189">
        <v>0</v>
      </c>
      <c r="N26" s="189">
        <v>0</v>
      </c>
      <c r="O26" s="189">
        <v>0</v>
      </c>
      <c r="P26" s="189">
        <v>0</v>
      </c>
      <c r="Q26" s="169">
        <v>2</v>
      </c>
      <c r="R26" s="189">
        <v>0</v>
      </c>
      <c r="S26" s="189">
        <v>0</v>
      </c>
      <c r="T26" s="189">
        <v>0</v>
      </c>
      <c r="U26" s="189">
        <v>0</v>
      </c>
      <c r="V26" s="189">
        <v>0</v>
      </c>
      <c r="W26" s="189">
        <v>0</v>
      </c>
      <c r="X26" s="189">
        <v>0</v>
      </c>
      <c r="Y26" s="189">
        <v>0</v>
      </c>
      <c r="Z26" s="189">
        <v>0</v>
      </c>
      <c r="AA26" s="189">
        <v>0</v>
      </c>
      <c r="AB26" s="189">
        <v>0</v>
      </c>
    </row>
    <row r="27" spans="1:28">
      <c r="A27" s="169">
        <v>3</v>
      </c>
      <c r="B27" s="190">
        <v>0.44</v>
      </c>
      <c r="C27" s="190">
        <v>0.41</v>
      </c>
      <c r="D27" s="190">
        <v>0.5</v>
      </c>
      <c r="E27" s="190">
        <v>0.35</v>
      </c>
      <c r="F27" s="190">
        <v>0.24</v>
      </c>
      <c r="G27" s="190">
        <v>0.73</v>
      </c>
      <c r="H27" s="190">
        <v>0.43</v>
      </c>
      <c r="I27" s="190">
        <v>0.66</v>
      </c>
      <c r="J27" s="190">
        <v>0.41</v>
      </c>
      <c r="K27" s="190">
        <v>0.25</v>
      </c>
      <c r="L27" s="190">
        <v>0.18</v>
      </c>
      <c r="M27" s="190">
        <v>0.5</v>
      </c>
      <c r="N27" s="190">
        <v>0.16</v>
      </c>
      <c r="O27" s="190">
        <v>0.39</v>
      </c>
      <c r="P27" s="190">
        <v>0.33</v>
      </c>
      <c r="Q27" s="169">
        <v>3</v>
      </c>
      <c r="R27" s="190">
        <v>0.31</v>
      </c>
      <c r="S27" s="190">
        <v>0.09</v>
      </c>
      <c r="T27" s="190">
        <v>0.02</v>
      </c>
      <c r="U27" s="190">
        <v>0.06</v>
      </c>
      <c r="V27" s="190">
        <v>0.04</v>
      </c>
      <c r="W27" s="190">
        <v>0.01</v>
      </c>
      <c r="X27" s="190">
        <v>0.2</v>
      </c>
      <c r="Y27" s="190">
        <v>0.08</v>
      </c>
      <c r="Z27" s="190">
        <v>0.06</v>
      </c>
      <c r="AA27" s="190">
        <v>0.18</v>
      </c>
      <c r="AB27" s="190">
        <v>0.17</v>
      </c>
    </row>
    <row r="28" spans="1:28">
      <c r="A28" s="169">
        <v>4</v>
      </c>
      <c r="B28" s="190">
        <v>0.96</v>
      </c>
      <c r="C28" s="190">
        <v>0.9</v>
      </c>
      <c r="D28" s="190">
        <v>0.77</v>
      </c>
      <c r="E28" s="190">
        <v>0.93</v>
      </c>
      <c r="F28" s="190">
        <v>0.84</v>
      </c>
      <c r="G28" s="190">
        <v>0.92</v>
      </c>
      <c r="H28" s="190">
        <v>0.84</v>
      </c>
      <c r="I28" s="190">
        <v>0.89</v>
      </c>
      <c r="J28" s="190">
        <v>0.86</v>
      </c>
      <c r="K28" s="190">
        <v>0.94</v>
      </c>
      <c r="L28" s="190">
        <v>0.78</v>
      </c>
      <c r="M28" s="190">
        <v>0.91</v>
      </c>
      <c r="N28" s="190">
        <v>0.95</v>
      </c>
      <c r="O28" s="190">
        <v>0.86</v>
      </c>
      <c r="P28" s="190">
        <v>0.86</v>
      </c>
      <c r="Q28" s="169">
        <v>4</v>
      </c>
      <c r="R28" s="190">
        <v>0.87</v>
      </c>
      <c r="S28" s="190">
        <v>0.61</v>
      </c>
      <c r="T28" s="190">
        <v>0.7</v>
      </c>
      <c r="U28" s="190">
        <v>0.59</v>
      </c>
      <c r="V28" s="190">
        <v>0.55000000000000004</v>
      </c>
      <c r="W28" s="190">
        <v>0.34</v>
      </c>
      <c r="X28" s="190">
        <v>0.64</v>
      </c>
      <c r="Y28" s="190">
        <v>0.54</v>
      </c>
      <c r="Z28" s="190">
        <v>0.6</v>
      </c>
      <c r="AA28" s="190">
        <v>0.56999999999999995</v>
      </c>
      <c r="AB28" s="190">
        <v>0.62</v>
      </c>
    </row>
    <row r="29" spans="1:28">
      <c r="A29" s="169">
        <v>5</v>
      </c>
      <c r="B29" s="190">
        <v>1</v>
      </c>
      <c r="C29" s="190">
        <v>1</v>
      </c>
      <c r="D29" s="190">
        <v>1</v>
      </c>
      <c r="E29" s="190">
        <v>1</v>
      </c>
      <c r="F29" s="190">
        <v>1</v>
      </c>
      <c r="G29" s="190">
        <v>1</v>
      </c>
      <c r="H29" s="190">
        <v>1</v>
      </c>
      <c r="I29" s="190">
        <v>1</v>
      </c>
      <c r="J29" s="190">
        <v>1</v>
      </c>
      <c r="K29" s="190">
        <v>1</v>
      </c>
      <c r="L29" s="190">
        <v>1</v>
      </c>
      <c r="M29" s="190">
        <v>1</v>
      </c>
      <c r="N29" s="190">
        <v>1</v>
      </c>
      <c r="O29" s="190">
        <v>1</v>
      </c>
      <c r="P29" s="190">
        <v>1</v>
      </c>
      <c r="Q29" s="169">
        <v>5</v>
      </c>
      <c r="R29" s="190">
        <v>1</v>
      </c>
      <c r="S29" s="190">
        <v>1</v>
      </c>
      <c r="T29" s="190">
        <v>1</v>
      </c>
      <c r="U29" s="190">
        <v>1</v>
      </c>
      <c r="V29" s="190">
        <v>1</v>
      </c>
      <c r="W29" s="190">
        <v>1</v>
      </c>
      <c r="X29" s="190">
        <v>1</v>
      </c>
      <c r="Y29" s="190">
        <v>1</v>
      </c>
      <c r="Z29" s="190">
        <v>1</v>
      </c>
      <c r="AA29" s="190">
        <v>1</v>
      </c>
      <c r="AB29" s="190">
        <v>1</v>
      </c>
    </row>
    <row r="30" spans="1:28">
      <c r="A30" s="171" t="s">
        <v>25</v>
      </c>
      <c r="B30" s="191">
        <v>1</v>
      </c>
      <c r="C30" s="191">
        <v>1</v>
      </c>
      <c r="D30" s="191">
        <v>1</v>
      </c>
      <c r="E30" s="191">
        <v>1</v>
      </c>
      <c r="F30" s="191">
        <v>1</v>
      </c>
      <c r="G30" s="191">
        <v>1</v>
      </c>
      <c r="H30" s="191">
        <v>1</v>
      </c>
      <c r="I30" s="191">
        <v>1</v>
      </c>
      <c r="J30" s="191">
        <v>1</v>
      </c>
      <c r="K30" s="191">
        <v>1</v>
      </c>
      <c r="L30" s="191">
        <v>1</v>
      </c>
      <c r="M30" s="191">
        <v>1</v>
      </c>
      <c r="N30" s="191">
        <v>1</v>
      </c>
      <c r="O30" s="191">
        <v>1</v>
      </c>
      <c r="P30" s="191">
        <v>1</v>
      </c>
      <c r="Q30" s="171" t="s">
        <v>25</v>
      </c>
      <c r="R30" s="191">
        <v>1</v>
      </c>
      <c r="S30" s="191">
        <v>1</v>
      </c>
      <c r="T30" s="191">
        <v>1</v>
      </c>
      <c r="U30" s="191">
        <v>1</v>
      </c>
      <c r="V30" s="191">
        <v>1</v>
      </c>
      <c r="W30" s="191">
        <v>1</v>
      </c>
      <c r="X30" s="191">
        <v>1</v>
      </c>
      <c r="Y30" s="191">
        <v>1</v>
      </c>
      <c r="Z30" s="191">
        <v>1</v>
      </c>
      <c r="AA30" s="191">
        <v>1</v>
      </c>
      <c r="AB30" s="191">
        <v>1</v>
      </c>
    </row>
    <row r="31" spans="1:28">
      <c r="A31" s="192"/>
      <c r="B31" s="193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5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</row>
    <row r="32" spans="1:28">
      <c r="A32" s="196" t="s">
        <v>29</v>
      </c>
      <c r="B32" s="196"/>
      <c r="C32" s="196"/>
      <c r="D32" s="196"/>
      <c r="E32" s="196"/>
      <c r="F32" s="196"/>
      <c r="G32" s="196"/>
      <c r="H32" s="196"/>
      <c r="I32" s="197"/>
      <c r="J32" s="196"/>
      <c r="K32" s="196"/>
      <c r="L32" s="196"/>
      <c r="M32" s="198"/>
      <c r="N32" s="196"/>
      <c r="O32" s="196"/>
      <c r="P32" s="199"/>
      <c r="Q32" s="200"/>
      <c r="R32" s="196"/>
      <c r="S32" s="196"/>
      <c r="T32" s="196"/>
      <c r="U32" s="196"/>
      <c r="V32" s="196"/>
      <c r="W32" s="196"/>
      <c r="X32" s="196"/>
      <c r="Y32" s="196"/>
      <c r="Z32" s="196"/>
      <c r="AA32" s="201"/>
      <c r="AB32" s="201"/>
    </row>
    <row r="33" spans="1:28">
      <c r="A33" s="164" t="s">
        <v>24</v>
      </c>
      <c r="B33" s="202">
        <v>1996</v>
      </c>
      <c r="C33" s="202">
        <v>1997</v>
      </c>
      <c r="D33" s="166">
        <v>1998</v>
      </c>
      <c r="E33" s="166">
        <v>1999</v>
      </c>
      <c r="F33" s="166">
        <v>2000</v>
      </c>
      <c r="G33" s="166">
        <v>2001</v>
      </c>
      <c r="H33" s="166">
        <v>2002</v>
      </c>
      <c r="I33" s="166">
        <v>2003</v>
      </c>
      <c r="J33" s="166">
        <v>2004</v>
      </c>
      <c r="K33" s="166">
        <v>2005</v>
      </c>
      <c r="L33" s="166">
        <v>2006</v>
      </c>
      <c r="M33" s="166">
        <v>2007</v>
      </c>
      <c r="N33" s="166">
        <v>2008</v>
      </c>
      <c r="O33" s="166">
        <v>2009</v>
      </c>
      <c r="P33" s="166">
        <v>2010</v>
      </c>
      <c r="Q33" s="168" t="s">
        <v>24</v>
      </c>
      <c r="R33" s="166">
        <v>2011</v>
      </c>
      <c r="S33" s="166">
        <v>2012</v>
      </c>
      <c r="T33" s="166">
        <v>2013</v>
      </c>
      <c r="U33" s="166">
        <v>2014</v>
      </c>
      <c r="V33" s="166">
        <v>2015</v>
      </c>
      <c r="W33" s="166">
        <v>2016</v>
      </c>
      <c r="X33" s="166">
        <v>2017</v>
      </c>
      <c r="Y33" s="166">
        <v>2018</v>
      </c>
      <c r="Z33" s="166">
        <v>2019</v>
      </c>
      <c r="AA33" s="166">
        <v>2020</v>
      </c>
      <c r="AB33" s="166">
        <v>2021</v>
      </c>
    </row>
    <row r="34" spans="1:28">
      <c r="A34" s="169">
        <v>1</v>
      </c>
      <c r="B34" s="203">
        <v>0.21</v>
      </c>
      <c r="C34" s="203">
        <v>0.33</v>
      </c>
      <c r="D34" s="204">
        <v>0.87</v>
      </c>
      <c r="E34" s="204">
        <v>0.71</v>
      </c>
      <c r="F34" s="204">
        <v>1.03</v>
      </c>
      <c r="G34" s="204">
        <v>1.01</v>
      </c>
      <c r="H34" s="204">
        <v>0.57999999999999996</v>
      </c>
      <c r="I34" s="204">
        <v>0.91</v>
      </c>
      <c r="J34" s="204">
        <v>1.34</v>
      </c>
      <c r="K34" s="204">
        <v>0.92</v>
      </c>
      <c r="L34" s="204">
        <v>0.56000000000000005</v>
      </c>
      <c r="M34" s="203">
        <v>0.8</v>
      </c>
      <c r="N34" s="203">
        <v>0.26</v>
      </c>
      <c r="O34" s="203">
        <v>0.42</v>
      </c>
      <c r="P34" s="203">
        <v>0.34</v>
      </c>
      <c r="Q34" s="169">
        <v>1</v>
      </c>
      <c r="R34" s="203">
        <v>0.19</v>
      </c>
      <c r="S34" s="203">
        <v>0.13</v>
      </c>
      <c r="T34" s="203">
        <v>0.61</v>
      </c>
      <c r="U34" s="203">
        <v>0.42</v>
      </c>
      <c r="V34" s="203">
        <v>0.21</v>
      </c>
      <c r="W34" s="203">
        <v>0.1</v>
      </c>
      <c r="X34" s="203">
        <v>0.4</v>
      </c>
      <c r="Y34" s="203">
        <v>0.25</v>
      </c>
      <c r="Z34" s="203">
        <v>0.28999999999999998</v>
      </c>
      <c r="AA34" s="203">
        <v>0.79</v>
      </c>
      <c r="AB34" s="203">
        <v>0.42</v>
      </c>
    </row>
    <row r="35" spans="1:28">
      <c r="A35" s="169">
        <v>2</v>
      </c>
      <c r="B35" s="203">
        <v>0.78</v>
      </c>
      <c r="C35" s="203">
        <v>0.73</v>
      </c>
      <c r="D35" s="204">
        <v>1.01</v>
      </c>
      <c r="E35" s="204">
        <v>1.03</v>
      </c>
      <c r="F35" s="204">
        <v>0.97</v>
      </c>
      <c r="G35" s="204">
        <v>0.75</v>
      </c>
      <c r="H35" s="204">
        <v>0.52</v>
      </c>
      <c r="I35" s="204">
        <v>0.6</v>
      </c>
      <c r="J35" s="204">
        <v>0.72</v>
      </c>
      <c r="K35" s="204">
        <v>0.68</v>
      </c>
      <c r="L35" s="204">
        <v>0.68</v>
      </c>
      <c r="M35" s="203">
        <v>0.8</v>
      </c>
      <c r="N35" s="203">
        <v>0.86</v>
      </c>
      <c r="O35" s="203">
        <v>0.52</v>
      </c>
      <c r="P35" s="203">
        <v>0.84</v>
      </c>
      <c r="Q35" s="169">
        <v>2</v>
      </c>
      <c r="R35" s="203">
        <v>0.28999999999999998</v>
      </c>
      <c r="S35" s="203">
        <v>0.64</v>
      </c>
      <c r="T35" s="203">
        <v>0.78</v>
      </c>
      <c r="U35" s="203">
        <v>0.83</v>
      </c>
      <c r="V35" s="203">
        <v>1.17</v>
      </c>
      <c r="W35" s="203">
        <v>0.66</v>
      </c>
      <c r="X35" s="203">
        <v>0.6</v>
      </c>
      <c r="Y35" s="203">
        <v>0.96</v>
      </c>
      <c r="Z35" s="203">
        <v>0.7</v>
      </c>
      <c r="AA35" s="203">
        <v>0.47</v>
      </c>
      <c r="AB35" s="203">
        <v>0.68</v>
      </c>
    </row>
    <row r="36" spans="1:28">
      <c r="A36" s="169">
        <v>3</v>
      </c>
      <c r="B36" s="203">
        <v>0.28000000000000003</v>
      </c>
      <c r="C36" s="203">
        <v>0.78</v>
      </c>
      <c r="D36" s="204">
        <v>0.81</v>
      </c>
      <c r="E36" s="204">
        <v>0.67</v>
      </c>
      <c r="F36" s="204">
        <v>0.9</v>
      </c>
      <c r="G36" s="204">
        <v>0.44</v>
      </c>
      <c r="H36" s="204">
        <v>0.21</v>
      </c>
      <c r="I36" s="204">
        <v>0.5</v>
      </c>
      <c r="J36" s="204">
        <v>0.75</v>
      </c>
      <c r="K36" s="204">
        <v>0.71</v>
      </c>
      <c r="L36" s="204">
        <v>0.93</v>
      </c>
      <c r="M36" s="203">
        <v>0.43</v>
      </c>
      <c r="N36" s="203">
        <v>0.35</v>
      </c>
      <c r="O36" s="203">
        <v>0.56000000000000005</v>
      </c>
      <c r="P36" s="203">
        <v>0.65</v>
      </c>
      <c r="Q36" s="169">
        <v>3</v>
      </c>
      <c r="R36" s="203">
        <v>0.44</v>
      </c>
      <c r="S36" s="203">
        <v>0.36</v>
      </c>
      <c r="T36" s="203">
        <v>0.28999999999999998</v>
      </c>
      <c r="U36" s="203">
        <v>0.54</v>
      </c>
      <c r="V36" s="203">
        <v>0.75</v>
      </c>
      <c r="W36" s="203">
        <v>0.65</v>
      </c>
      <c r="X36" s="203">
        <v>0.52</v>
      </c>
      <c r="Y36" s="203">
        <v>0.83</v>
      </c>
      <c r="Z36" s="203">
        <v>0.5</v>
      </c>
      <c r="AA36" s="203">
        <v>0.6</v>
      </c>
      <c r="AB36" s="203">
        <v>0.62</v>
      </c>
    </row>
    <row r="37" spans="1:28">
      <c r="A37" s="169">
        <v>4</v>
      </c>
      <c r="B37" s="203">
        <v>0.45</v>
      </c>
      <c r="C37" s="203">
        <v>1.45</v>
      </c>
      <c r="D37" s="204">
        <v>0.33</v>
      </c>
      <c r="E37" s="204">
        <v>0.64</v>
      </c>
      <c r="F37" s="204">
        <v>0.7</v>
      </c>
      <c r="G37" s="204">
        <v>0.76</v>
      </c>
      <c r="H37" s="204">
        <v>0.32</v>
      </c>
      <c r="I37" s="204">
        <v>0.43</v>
      </c>
      <c r="J37" s="204">
        <v>1.32</v>
      </c>
      <c r="K37" s="204">
        <v>0.74</v>
      </c>
      <c r="L37" s="204">
        <v>0.93</v>
      </c>
      <c r="M37" s="203">
        <v>0.43</v>
      </c>
      <c r="N37" s="203">
        <v>0.4</v>
      </c>
      <c r="O37" s="203">
        <v>0.93</v>
      </c>
      <c r="P37" s="203">
        <v>0.59</v>
      </c>
      <c r="Q37" s="169">
        <v>4</v>
      </c>
      <c r="R37" s="203">
        <v>0.54</v>
      </c>
      <c r="S37" s="203">
        <v>0.59</v>
      </c>
      <c r="T37" s="203">
        <v>0.64</v>
      </c>
      <c r="U37" s="203">
        <v>1.17</v>
      </c>
      <c r="V37" s="203">
        <v>1.43</v>
      </c>
      <c r="W37" s="203">
        <v>1.0900000000000001</v>
      </c>
      <c r="X37" s="203">
        <v>0.72</v>
      </c>
      <c r="Y37" s="203">
        <v>1.0900000000000001</v>
      </c>
      <c r="Z37" s="203">
        <v>0.62</v>
      </c>
      <c r="AA37" s="203">
        <v>0.76</v>
      </c>
      <c r="AB37" s="203">
        <v>0.79</v>
      </c>
    </row>
    <row r="38" spans="1:28">
      <c r="A38" s="169">
        <v>5</v>
      </c>
      <c r="B38" s="203">
        <v>1.04</v>
      </c>
      <c r="C38" s="203">
        <v>1.24</v>
      </c>
      <c r="D38" s="204">
        <v>0.52</v>
      </c>
      <c r="E38" s="204">
        <v>0.56000000000000005</v>
      </c>
      <c r="F38" s="204">
        <v>0.39</v>
      </c>
      <c r="G38" s="204">
        <v>1.45</v>
      </c>
      <c r="H38" s="204">
        <v>1.62</v>
      </c>
      <c r="I38" s="204">
        <v>1.1599999999999999</v>
      </c>
      <c r="J38" s="204">
        <v>2.23</v>
      </c>
      <c r="K38" s="204">
        <v>0.66</v>
      </c>
      <c r="L38" s="204">
        <v>1.32</v>
      </c>
      <c r="M38" s="203">
        <v>0.83</v>
      </c>
      <c r="N38" s="203">
        <v>0.7</v>
      </c>
      <c r="O38" s="203">
        <v>1.49</v>
      </c>
      <c r="P38" s="203">
        <v>1.67</v>
      </c>
      <c r="Q38" s="169">
        <v>5</v>
      </c>
      <c r="R38" s="203">
        <v>0.7</v>
      </c>
      <c r="S38" s="203">
        <v>1.05</v>
      </c>
      <c r="T38" s="203">
        <v>0.86</v>
      </c>
      <c r="U38" s="203">
        <v>1.56</v>
      </c>
      <c r="V38" s="203">
        <v>1.74</v>
      </c>
      <c r="W38" s="203">
        <v>1.91</v>
      </c>
      <c r="X38" s="203">
        <v>1.01</v>
      </c>
      <c r="Y38" s="203">
        <v>1.45</v>
      </c>
      <c r="Z38" s="203">
        <v>1.44</v>
      </c>
      <c r="AA38" s="203">
        <v>0.56000000000000005</v>
      </c>
      <c r="AB38" s="203">
        <v>1.1000000000000001</v>
      </c>
    </row>
    <row r="39" spans="1:28">
      <c r="A39" s="171" t="s">
        <v>25</v>
      </c>
      <c r="B39" s="204">
        <v>1.04</v>
      </c>
      <c r="C39" s="204">
        <v>1.24</v>
      </c>
      <c r="D39" s="204">
        <v>0.52</v>
      </c>
      <c r="E39" s="204">
        <v>0.56000000000000005</v>
      </c>
      <c r="F39" s="204">
        <v>0.39</v>
      </c>
      <c r="G39" s="204">
        <v>1.45</v>
      </c>
      <c r="H39" s="204">
        <v>1.62</v>
      </c>
      <c r="I39" s="204">
        <v>1.1599999999999999</v>
      </c>
      <c r="J39" s="204">
        <v>2.23</v>
      </c>
      <c r="K39" s="204">
        <v>0.66</v>
      </c>
      <c r="L39" s="204">
        <v>1.32</v>
      </c>
      <c r="M39" s="203">
        <v>0.83</v>
      </c>
      <c r="N39" s="203">
        <v>0.7</v>
      </c>
      <c r="O39" s="203">
        <v>1.49</v>
      </c>
      <c r="P39" s="203">
        <v>1.67</v>
      </c>
      <c r="Q39" s="171" t="s">
        <v>25</v>
      </c>
      <c r="R39" s="203">
        <v>0.7</v>
      </c>
      <c r="S39" s="203">
        <v>1.05</v>
      </c>
      <c r="T39" s="203">
        <v>0.86</v>
      </c>
      <c r="U39" s="203">
        <v>1.56</v>
      </c>
      <c r="V39" s="203">
        <v>1.74</v>
      </c>
      <c r="W39" s="203">
        <v>1.91</v>
      </c>
      <c r="X39" s="203">
        <v>1.01</v>
      </c>
      <c r="Y39" s="203">
        <v>1.45</v>
      </c>
      <c r="Z39" s="203">
        <v>1.44</v>
      </c>
      <c r="AA39" s="203">
        <v>0.56000000000000005</v>
      </c>
      <c r="AB39" s="203">
        <v>1.1000000000000001</v>
      </c>
    </row>
    <row r="40" spans="1:28">
      <c r="A40" s="164"/>
      <c r="B40" s="205">
        <v>0.63</v>
      </c>
      <c r="C40" s="205">
        <v>0.96</v>
      </c>
      <c r="D40" s="205">
        <v>0.68</v>
      </c>
      <c r="E40" s="205">
        <v>0.69</v>
      </c>
      <c r="F40" s="205">
        <v>0.73</v>
      </c>
      <c r="G40" s="205">
        <v>0.98</v>
      </c>
      <c r="H40" s="205">
        <v>0.81</v>
      </c>
      <c r="I40" s="205">
        <v>0.79</v>
      </c>
      <c r="J40" s="205">
        <v>1.43</v>
      </c>
      <c r="K40" s="205">
        <v>0.73</v>
      </c>
      <c r="L40" s="205">
        <v>0.96</v>
      </c>
      <c r="M40" s="205">
        <v>0.69</v>
      </c>
      <c r="N40" s="205">
        <v>0.55000000000000004</v>
      </c>
      <c r="O40" s="205">
        <v>0.9</v>
      </c>
      <c r="P40" s="205">
        <v>0.96</v>
      </c>
      <c r="Q40" s="168" t="s">
        <v>30</v>
      </c>
      <c r="R40" s="205">
        <v>0.48</v>
      </c>
      <c r="S40" s="205">
        <v>0.64</v>
      </c>
      <c r="T40" s="205">
        <v>0.68</v>
      </c>
      <c r="U40" s="205">
        <v>1.01</v>
      </c>
      <c r="V40" s="205">
        <v>1.17</v>
      </c>
      <c r="W40" s="205">
        <v>1.05</v>
      </c>
      <c r="X40" s="205">
        <v>0.71</v>
      </c>
      <c r="Y40" s="205">
        <v>1</v>
      </c>
      <c r="Z40" s="205">
        <v>0.83</v>
      </c>
      <c r="AA40" s="205">
        <v>0.62</v>
      </c>
      <c r="AB40" s="205">
        <v>0.79</v>
      </c>
    </row>
    <row r="41" spans="1:28">
      <c r="A41" s="206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180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</row>
    <row r="42" spans="1:28">
      <c r="A42" s="182" t="s">
        <v>31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3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spans="1:28">
      <c r="A43" s="164" t="s">
        <v>24</v>
      </c>
      <c r="B43" s="188">
        <v>1996</v>
      </c>
      <c r="C43" s="188">
        <v>1997</v>
      </c>
      <c r="D43" s="188">
        <v>1998</v>
      </c>
      <c r="E43" s="188">
        <v>1999</v>
      </c>
      <c r="F43" s="188">
        <v>2000</v>
      </c>
      <c r="G43" s="188">
        <v>2001</v>
      </c>
      <c r="H43" s="188">
        <v>2002</v>
      </c>
      <c r="I43" s="188">
        <v>2003</v>
      </c>
      <c r="J43" s="188">
        <v>2004</v>
      </c>
      <c r="K43" s="188">
        <v>2005</v>
      </c>
      <c r="L43" s="188">
        <v>2006</v>
      </c>
      <c r="M43" s="188">
        <v>2007</v>
      </c>
      <c r="N43" s="188">
        <v>2008</v>
      </c>
      <c r="O43" s="188">
        <v>2009</v>
      </c>
      <c r="P43" s="188">
        <v>2010</v>
      </c>
      <c r="Q43" s="168" t="s">
        <v>24</v>
      </c>
      <c r="R43" s="188">
        <v>2011</v>
      </c>
      <c r="S43" s="188">
        <v>2012</v>
      </c>
      <c r="T43" s="188">
        <v>2013</v>
      </c>
      <c r="U43" s="188">
        <v>2014</v>
      </c>
      <c r="V43" s="188">
        <v>2015</v>
      </c>
      <c r="W43" s="188">
        <v>2016</v>
      </c>
      <c r="X43" s="188">
        <v>2017</v>
      </c>
      <c r="Y43" s="188">
        <v>2018</v>
      </c>
      <c r="Z43" s="188">
        <v>2019</v>
      </c>
      <c r="AA43" s="188">
        <v>2020</v>
      </c>
      <c r="AB43" s="188">
        <v>2021</v>
      </c>
    </row>
    <row r="44" spans="1:28">
      <c r="A44" s="169">
        <v>1</v>
      </c>
      <c r="B44" s="207">
        <v>793</v>
      </c>
      <c r="C44" s="207">
        <v>18087</v>
      </c>
      <c r="D44" s="207">
        <v>12082</v>
      </c>
      <c r="E44" s="207">
        <v>23732</v>
      </c>
      <c r="F44" s="207">
        <v>960</v>
      </c>
      <c r="G44" s="207">
        <v>1699</v>
      </c>
      <c r="H44" s="207">
        <v>1890</v>
      </c>
      <c r="I44" s="207">
        <v>12917</v>
      </c>
      <c r="J44" s="207">
        <v>3214</v>
      </c>
      <c r="K44" s="207">
        <v>14148</v>
      </c>
      <c r="L44" s="207">
        <v>10450</v>
      </c>
      <c r="M44" s="207">
        <v>15664</v>
      </c>
      <c r="N44" s="207">
        <v>590</v>
      </c>
      <c r="O44" s="207">
        <v>17961</v>
      </c>
      <c r="P44" s="207">
        <v>15196</v>
      </c>
      <c r="Q44" s="169">
        <v>1</v>
      </c>
      <c r="R44" s="207">
        <v>45065</v>
      </c>
      <c r="S44" s="207">
        <v>17912</v>
      </c>
      <c r="T44" s="207">
        <v>12514</v>
      </c>
      <c r="U44" s="207">
        <v>13297</v>
      </c>
      <c r="V44" s="207">
        <v>17488</v>
      </c>
      <c r="W44" s="207">
        <v>12207</v>
      </c>
      <c r="X44" s="207">
        <v>6862</v>
      </c>
      <c r="Y44" s="207">
        <v>11153</v>
      </c>
      <c r="Z44" s="207">
        <v>5471</v>
      </c>
      <c r="AA44" s="207">
        <v>4091</v>
      </c>
      <c r="AB44" s="207">
        <v>231</v>
      </c>
    </row>
    <row r="45" spans="1:28">
      <c r="A45" s="169">
        <v>2</v>
      </c>
      <c r="B45" s="207">
        <v>4758</v>
      </c>
      <c r="C45" s="207">
        <v>1518</v>
      </c>
      <c r="D45" s="207">
        <v>16207</v>
      </c>
      <c r="E45" s="207">
        <v>8797</v>
      </c>
      <c r="F45" s="207">
        <v>19885</v>
      </c>
      <c r="G45" s="207">
        <v>736</v>
      </c>
      <c r="H45" s="207">
        <v>6203</v>
      </c>
      <c r="I45" s="207">
        <v>3058</v>
      </c>
      <c r="J45" s="207">
        <v>29576</v>
      </c>
      <c r="K45" s="207">
        <v>7323</v>
      </c>
      <c r="L45" s="207">
        <v>11450</v>
      </c>
      <c r="M45" s="207">
        <v>9939</v>
      </c>
      <c r="N45" s="207">
        <v>16751</v>
      </c>
      <c r="O45" s="207">
        <v>1691</v>
      </c>
      <c r="P45" s="207">
        <v>33318</v>
      </c>
      <c r="Q45" s="169">
        <v>2</v>
      </c>
      <c r="R45" s="207">
        <v>10294</v>
      </c>
      <c r="S45" s="207">
        <v>103840</v>
      </c>
      <c r="T45" s="207">
        <v>52900</v>
      </c>
      <c r="U45" s="207">
        <v>23393</v>
      </c>
      <c r="V45" s="207">
        <v>33524</v>
      </c>
      <c r="W45" s="207">
        <v>20888</v>
      </c>
      <c r="X45" s="207">
        <v>9688</v>
      </c>
      <c r="Y45" s="207">
        <v>7346</v>
      </c>
      <c r="Z45" s="207">
        <v>7828</v>
      </c>
      <c r="AA45" s="207">
        <v>11268</v>
      </c>
      <c r="AB45" s="207">
        <v>6517</v>
      </c>
    </row>
    <row r="46" spans="1:28">
      <c r="A46" s="169">
        <v>3</v>
      </c>
      <c r="B46" s="207">
        <v>1790</v>
      </c>
      <c r="C46" s="207">
        <v>3943</v>
      </c>
      <c r="D46" s="207">
        <v>648</v>
      </c>
      <c r="E46" s="207">
        <v>9283</v>
      </c>
      <c r="F46" s="207">
        <v>2295</v>
      </c>
      <c r="G46" s="207">
        <v>5650</v>
      </c>
      <c r="H46" s="207">
        <v>2641</v>
      </c>
      <c r="I46" s="207">
        <v>6536</v>
      </c>
      <c r="J46" s="207">
        <v>9772</v>
      </c>
      <c r="K46" s="207">
        <v>16187</v>
      </c>
      <c r="L46" s="207">
        <v>9052</v>
      </c>
      <c r="M46" s="207">
        <v>6241</v>
      </c>
      <c r="N46" s="207">
        <v>3830</v>
      </c>
      <c r="O46" s="207">
        <v>9452</v>
      </c>
      <c r="P46" s="207">
        <v>3772</v>
      </c>
      <c r="Q46" s="169">
        <v>3</v>
      </c>
      <c r="R46" s="207">
        <v>21455</v>
      </c>
      <c r="S46" s="207">
        <v>15305</v>
      </c>
      <c r="T46" s="207">
        <v>169815</v>
      </c>
      <c r="U46" s="207">
        <v>52004</v>
      </c>
      <c r="V46" s="207">
        <v>29624</v>
      </c>
      <c r="W46" s="207">
        <v>27818</v>
      </c>
      <c r="X46" s="207">
        <v>17342</v>
      </c>
      <c r="Y46" s="207">
        <v>9698</v>
      </c>
      <c r="Z46" s="207">
        <v>4720</v>
      </c>
      <c r="AA46" s="207">
        <v>12640</v>
      </c>
      <c r="AB46" s="207">
        <v>11352</v>
      </c>
    </row>
    <row r="47" spans="1:28">
      <c r="A47" s="169">
        <v>4</v>
      </c>
      <c r="B47" s="207">
        <v>2178</v>
      </c>
      <c r="C47" s="207">
        <v>1800</v>
      </c>
      <c r="D47" s="207"/>
      <c r="E47" s="207">
        <v>358</v>
      </c>
      <c r="F47" s="207">
        <v>1435</v>
      </c>
      <c r="G47" s="207">
        <v>1146</v>
      </c>
      <c r="H47" s="207">
        <v>2265</v>
      </c>
      <c r="I47" s="207">
        <v>1198</v>
      </c>
      <c r="J47" s="207">
        <v>1160</v>
      </c>
      <c r="K47" s="207">
        <v>1783</v>
      </c>
      <c r="L47" s="207">
        <v>3577</v>
      </c>
      <c r="M47" s="207">
        <v>1959</v>
      </c>
      <c r="N47" s="207">
        <v>1020</v>
      </c>
      <c r="O47" s="207">
        <v>2345</v>
      </c>
      <c r="P47" s="207">
        <v>2502</v>
      </c>
      <c r="Q47" s="169">
        <v>4</v>
      </c>
      <c r="R47" s="207">
        <v>2130</v>
      </c>
      <c r="S47" s="207">
        <v>10614</v>
      </c>
      <c r="T47" s="207">
        <v>13345</v>
      </c>
      <c r="U47" s="207">
        <v>40872</v>
      </c>
      <c r="V47" s="207">
        <v>35000</v>
      </c>
      <c r="W47" s="207">
        <v>12839</v>
      </c>
      <c r="X47" s="207">
        <v>11003</v>
      </c>
      <c r="Y47" s="207">
        <v>8601</v>
      </c>
      <c r="Z47" s="207">
        <v>2480</v>
      </c>
      <c r="AA47" s="207">
        <v>6781</v>
      </c>
      <c r="AB47" s="207">
        <v>2763</v>
      </c>
    </row>
    <row r="48" spans="1:28">
      <c r="A48" s="169">
        <v>5</v>
      </c>
      <c r="B48" s="207">
        <v>600</v>
      </c>
      <c r="C48" s="207">
        <v>1664</v>
      </c>
      <c r="D48" s="207"/>
      <c r="E48" s="207"/>
      <c r="F48" s="207"/>
      <c r="G48" s="207"/>
      <c r="H48" s="207"/>
      <c r="I48" s="207">
        <v>1147</v>
      </c>
      <c r="J48" s="207">
        <v>275</v>
      </c>
      <c r="K48" s="207">
        <v>0</v>
      </c>
      <c r="L48" s="207">
        <v>2528</v>
      </c>
      <c r="M48" s="207">
        <v>1158</v>
      </c>
      <c r="N48" s="207">
        <v>492</v>
      </c>
      <c r="O48" s="207">
        <v>955</v>
      </c>
      <c r="P48" s="207">
        <v>1215</v>
      </c>
      <c r="Q48" s="169">
        <v>5</v>
      </c>
      <c r="R48" s="207">
        <v>1121</v>
      </c>
      <c r="S48" s="207">
        <v>3393</v>
      </c>
      <c r="T48" s="207">
        <v>6936</v>
      </c>
      <c r="U48" s="207">
        <v>8491</v>
      </c>
      <c r="V48" s="207">
        <v>18389</v>
      </c>
      <c r="W48" s="207">
        <v>13464</v>
      </c>
      <c r="X48" s="207">
        <v>3819</v>
      </c>
      <c r="Y48" s="207">
        <v>4815</v>
      </c>
      <c r="Z48" s="207">
        <v>453</v>
      </c>
      <c r="AA48" s="207">
        <v>3172</v>
      </c>
      <c r="AB48" s="207">
        <v>731</v>
      </c>
    </row>
    <row r="49" spans="1:28">
      <c r="A49" s="171" t="s">
        <v>25</v>
      </c>
      <c r="B49" s="208"/>
      <c r="C49" s="208"/>
      <c r="D49" s="208"/>
      <c r="E49" s="208"/>
      <c r="F49" s="208"/>
      <c r="G49" s="208"/>
      <c r="H49" s="208"/>
      <c r="I49" s="208"/>
      <c r="J49" s="208">
        <v>417</v>
      </c>
      <c r="K49" s="208"/>
      <c r="L49" s="208"/>
      <c r="M49" s="208"/>
      <c r="N49" s="208"/>
      <c r="O49" s="208">
        <v>1021</v>
      </c>
      <c r="P49" s="208">
        <v>515</v>
      </c>
      <c r="Q49" s="171" t="s">
        <v>25</v>
      </c>
      <c r="R49" s="208"/>
      <c r="S49" s="208">
        <v>1039</v>
      </c>
      <c r="T49" s="208">
        <v>1968</v>
      </c>
      <c r="U49" s="208">
        <v>1073</v>
      </c>
      <c r="V49" s="208">
        <v>3143</v>
      </c>
      <c r="W49" s="208">
        <v>5601</v>
      </c>
      <c r="X49" s="208">
        <v>2241</v>
      </c>
      <c r="Y49" s="208">
        <v>2026</v>
      </c>
      <c r="Z49" s="208">
        <v>357</v>
      </c>
      <c r="AA49" s="208">
        <v>59</v>
      </c>
      <c r="AB49" s="208">
        <v>1163</v>
      </c>
    </row>
    <row r="50" spans="1:28">
      <c r="A50" s="209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180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</row>
    <row r="51" spans="1:28">
      <c r="A51" s="210" t="s">
        <v>32</v>
      </c>
      <c r="B51" s="196"/>
      <c r="C51" s="196"/>
      <c r="D51" s="196"/>
      <c r="E51" s="196"/>
      <c r="F51" s="196"/>
      <c r="G51" s="196"/>
      <c r="H51" s="196"/>
      <c r="I51" s="197"/>
      <c r="J51" s="196"/>
      <c r="K51" s="196"/>
      <c r="L51" s="196"/>
      <c r="M51" s="196"/>
      <c r="N51" s="196"/>
      <c r="O51" s="196"/>
      <c r="P51" s="199"/>
      <c r="Q51" s="211"/>
      <c r="R51" s="196"/>
      <c r="S51" s="196"/>
      <c r="T51" s="196"/>
      <c r="U51" s="196"/>
      <c r="V51" s="196"/>
      <c r="W51" s="196"/>
      <c r="X51" s="196"/>
      <c r="Y51" s="196"/>
      <c r="Z51" s="196"/>
      <c r="AA51" s="201"/>
      <c r="AB51" s="201"/>
    </row>
    <row r="52" spans="1:28">
      <c r="A52" s="164" t="s">
        <v>24</v>
      </c>
      <c r="B52" s="165">
        <v>1996</v>
      </c>
      <c r="C52" s="165">
        <v>1997</v>
      </c>
      <c r="D52" s="165">
        <v>1998</v>
      </c>
      <c r="E52" s="165">
        <v>1999</v>
      </c>
      <c r="F52" s="165">
        <v>2000</v>
      </c>
      <c r="G52" s="165">
        <v>2001</v>
      </c>
      <c r="H52" s="165">
        <v>2002</v>
      </c>
      <c r="I52" s="165">
        <v>2003</v>
      </c>
      <c r="J52" s="165">
        <v>2004</v>
      </c>
      <c r="K52" s="165">
        <v>2005</v>
      </c>
      <c r="L52" s="165">
        <v>2006</v>
      </c>
      <c r="M52" s="165">
        <v>2007</v>
      </c>
      <c r="N52" s="165">
        <v>2008</v>
      </c>
      <c r="O52" s="165">
        <v>2009</v>
      </c>
      <c r="P52" s="165">
        <v>2010</v>
      </c>
      <c r="Q52" s="168" t="s">
        <v>24</v>
      </c>
      <c r="R52" s="165">
        <v>2011</v>
      </c>
      <c r="S52" s="165">
        <v>2012</v>
      </c>
      <c r="T52" s="165">
        <v>2013</v>
      </c>
      <c r="U52" s="165">
        <v>2014</v>
      </c>
      <c r="V52" s="165">
        <v>2015</v>
      </c>
      <c r="W52" s="165">
        <v>2016</v>
      </c>
      <c r="X52" s="165">
        <v>2017</v>
      </c>
      <c r="Y52" s="165">
        <v>2018</v>
      </c>
      <c r="Z52" s="165">
        <v>2019</v>
      </c>
      <c r="AA52" s="165">
        <v>2020</v>
      </c>
      <c r="AB52" s="165">
        <v>2021</v>
      </c>
    </row>
    <row r="53" spans="1:28">
      <c r="A53" s="169">
        <v>1</v>
      </c>
      <c r="B53" s="170">
        <v>10952</v>
      </c>
      <c r="C53" s="170">
        <v>37970</v>
      </c>
      <c r="D53" s="170">
        <v>42010</v>
      </c>
      <c r="E53" s="170">
        <v>26786</v>
      </c>
      <c r="F53" s="170">
        <v>17690</v>
      </c>
      <c r="G53" s="170">
        <v>16720</v>
      </c>
      <c r="H53" s="170">
        <v>16082</v>
      </c>
      <c r="I53" s="170">
        <v>37704</v>
      </c>
      <c r="J53" s="170">
        <v>63137</v>
      </c>
      <c r="K53" s="170">
        <v>46753</v>
      </c>
      <c r="L53" s="170">
        <v>35305</v>
      </c>
      <c r="M53" s="170">
        <v>43141</v>
      </c>
      <c r="N53" s="170">
        <v>19934</v>
      </c>
      <c r="O53" s="170">
        <v>41710</v>
      </c>
      <c r="P53" s="170">
        <v>29153</v>
      </c>
      <c r="Q53" s="169">
        <v>1</v>
      </c>
      <c r="R53" s="170">
        <v>45237</v>
      </c>
      <c r="S53" s="170">
        <v>36495</v>
      </c>
      <c r="T53" s="170">
        <v>32959</v>
      </c>
      <c r="U53" s="170">
        <v>30605</v>
      </c>
      <c r="V53" s="170">
        <v>14049</v>
      </c>
      <c r="W53" s="170">
        <v>11517</v>
      </c>
      <c r="X53" s="170">
        <v>16606</v>
      </c>
      <c r="Y53" s="170">
        <v>13707</v>
      </c>
      <c r="Z53" s="170">
        <v>9762</v>
      </c>
      <c r="AA53" s="170">
        <v>12524</v>
      </c>
      <c r="AB53" s="170">
        <v>6951</v>
      </c>
    </row>
    <row r="54" spans="1:28">
      <c r="A54" s="169">
        <v>2</v>
      </c>
      <c r="B54" s="170">
        <v>6082</v>
      </c>
      <c r="C54" s="170">
        <v>6205</v>
      </c>
      <c r="D54" s="170">
        <v>19094</v>
      </c>
      <c r="E54" s="170">
        <v>12351</v>
      </c>
      <c r="F54" s="170">
        <v>9211</v>
      </c>
      <c r="G54" s="170">
        <v>4401</v>
      </c>
      <c r="H54" s="170">
        <v>4250</v>
      </c>
      <c r="I54" s="170">
        <v>6276</v>
      </c>
      <c r="J54" s="170">
        <v>10592</v>
      </c>
      <c r="K54" s="170">
        <v>11525</v>
      </c>
      <c r="L54" s="170">
        <v>13035</v>
      </c>
      <c r="M54" s="170">
        <v>14138</v>
      </c>
      <c r="N54" s="170">
        <v>13515</v>
      </c>
      <c r="O54" s="170">
        <v>10758</v>
      </c>
      <c r="P54" s="170">
        <v>19106</v>
      </c>
      <c r="Q54" s="169">
        <v>2</v>
      </c>
      <c r="R54" s="170">
        <v>14488</v>
      </c>
      <c r="S54" s="170">
        <v>26130</v>
      </c>
      <c r="T54" s="170">
        <v>22463</v>
      </c>
      <c r="U54" s="170">
        <v>12477</v>
      </c>
      <c r="V54" s="170">
        <v>14042</v>
      </c>
      <c r="W54" s="170">
        <v>7965</v>
      </c>
      <c r="X54" s="170">
        <v>7265</v>
      </c>
      <c r="Y54" s="170">
        <v>7800</v>
      </c>
      <c r="Z54" s="170">
        <v>7463</v>
      </c>
      <c r="AA54" s="170">
        <v>5124</v>
      </c>
      <c r="AB54" s="170">
        <v>3984</v>
      </c>
    </row>
    <row r="55" spans="1:28">
      <c r="A55" s="169">
        <v>3</v>
      </c>
      <c r="B55" s="170">
        <v>2631</v>
      </c>
      <c r="C55" s="170">
        <v>1953</v>
      </c>
      <c r="D55" s="170">
        <v>2096</v>
      </c>
      <c r="E55" s="170">
        <v>4875</v>
      </c>
      <c r="F55" s="170">
        <v>3073</v>
      </c>
      <c r="G55" s="170">
        <v>2438</v>
      </c>
      <c r="H55" s="170">
        <v>1452</v>
      </c>
      <c r="I55" s="170">
        <v>1768</v>
      </c>
      <c r="J55" s="170">
        <v>2405</v>
      </c>
      <c r="K55" s="170">
        <v>3605</v>
      </c>
      <c r="L55" s="170">
        <v>4094</v>
      </c>
      <c r="M55" s="170">
        <v>4614</v>
      </c>
      <c r="N55" s="170">
        <v>4460</v>
      </c>
      <c r="O55" s="170">
        <v>4010</v>
      </c>
      <c r="P55" s="170">
        <v>4481</v>
      </c>
      <c r="Q55" s="169">
        <v>3</v>
      </c>
      <c r="R55" s="170">
        <v>5755</v>
      </c>
      <c r="S55" s="170">
        <v>7575</v>
      </c>
      <c r="T55" s="170">
        <v>9659</v>
      </c>
      <c r="U55" s="170">
        <v>7178</v>
      </c>
      <c r="V55" s="170">
        <v>3792</v>
      </c>
      <c r="W55" s="170">
        <v>3058</v>
      </c>
      <c r="X55" s="170">
        <v>2871</v>
      </c>
      <c r="Y55" s="170">
        <v>2785</v>
      </c>
      <c r="Z55" s="170">
        <v>2096</v>
      </c>
      <c r="AA55" s="170">
        <v>2589</v>
      </c>
      <c r="AB55" s="170">
        <v>2250</v>
      </c>
    </row>
    <row r="56" spans="1:28">
      <c r="A56" s="169">
        <v>4</v>
      </c>
      <c r="B56" s="170">
        <v>1112</v>
      </c>
      <c r="C56" s="170">
        <v>1395</v>
      </c>
      <c r="D56" s="170">
        <v>627</v>
      </c>
      <c r="E56" s="170">
        <v>650</v>
      </c>
      <c r="F56" s="170">
        <v>1750</v>
      </c>
      <c r="G56" s="170">
        <v>870</v>
      </c>
      <c r="H56" s="170">
        <v>1100</v>
      </c>
      <c r="I56" s="170">
        <v>821</v>
      </c>
      <c r="J56" s="170">
        <v>749</v>
      </c>
      <c r="K56" s="170">
        <v>798</v>
      </c>
      <c r="L56" s="170">
        <v>1238</v>
      </c>
      <c r="M56" s="170">
        <v>1125</v>
      </c>
      <c r="N56" s="170">
        <v>2109</v>
      </c>
      <c r="O56" s="170">
        <v>2191</v>
      </c>
      <c r="P56" s="170">
        <v>1600</v>
      </c>
      <c r="Q56" s="169">
        <v>4</v>
      </c>
      <c r="R56" s="170">
        <v>1643</v>
      </c>
      <c r="S56" s="170">
        <v>2589</v>
      </c>
      <c r="T56" s="170">
        <v>3693</v>
      </c>
      <c r="U56" s="170">
        <v>5039</v>
      </c>
      <c r="V56" s="170">
        <v>2940</v>
      </c>
      <c r="W56" s="170">
        <v>1256</v>
      </c>
      <c r="X56" s="170">
        <v>1121</v>
      </c>
      <c r="Y56" s="170">
        <v>1196</v>
      </c>
      <c r="Z56" s="170">
        <v>851</v>
      </c>
      <c r="AA56" s="170">
        <v>892</v>
      </c>
      <c r="AB56" s="170">
        <v>994</v>
      </c>
    </row>
    <row r="57" spans="1:28">
      <c r="A57" s="169">
        <v>5</v>
      </c>
      <c r="B57" s="170">
        <v>259</v>
      </c>
      <c r="C57" s="170">
        <v>498</v>
      </c>
      <c r="D57" s="170">
        <v>230</v>
      </c>
      <c r="E57" s="170">
        <v>314</v>
      </c>
      <c r="F57" s="170">
        <v>241</v>
      </c>
      <c r="G57" s="170">
        <v>608</v>
      </c>
      <c r="H57" s="170">
        <v>285</v>
      </c>
      <c r="I57" s="170">
        <v>560</v>
      </c>
      <c r="J57" s="170">
        <v>375</v>
      </c>
      <c r="K57" s="170">
        <v>139</v>
      </c>
      <c r="L57" s="170">
        <v>267</v>
      </c>
      <c r="M57" s="170">
        <v>342</v>
      </c>
      <c r="N57" s="170">
        <v>511</v>
      </c>
      <c r="O57" s="170">
        <v>986</v>
      </c>
      <c r="P57" s="170">
        <v>603</v>
      </c>
      <c r="Q57" s="169">
        <v>5</v>
      </c>
      <c r="R57" s="170">
        <v>624</v>
      </c>
      <c r="S57" s="170">
        <v>669</v>
      </c>
      <c r="T57" s="170">
        <v>1002</v>
      </c>
      <c r="U57" s="170">
        <v>1357</v>
      </c>
      <c r="V57" s="170">
        <v>1089</v>
      </c>
      <c r="W57" s="170">
        <v>490</v>
      </c>
      <c r="X57" s="170">
        <v>297</v>
      </c>
      <c r="Y57" s="170">
        <v>381</v>
      </c>
      <c r="Z57" s="170">
        <v>283</v>
      </c>
      <c r="AA57" s="170">
        <v>320</v>
      </c>
      <c r="AB57" s="170">
        <v>293</v>
      </c>
    </row>
    <row r="58" spans="1:28">
      <c r="A58" s="171" t="s">
        <v>25</v>
      </c>
      <c r="B58" s="172">
        <v>78</v>
      </c>
      <c r="C58" s="172">
        <v>84</v>
      </c>
      <c r="D58" s="172">
        <v>118</v>
      </c>
      <c r="E58" s="172">
        <v>145</v>
      </c>
      <c r="F58" s="172">
        <v>184</v>
      </c>
      <c r="G58" s="172">
        <v>201</v>
      </c>
      <c r="H58" s="172">
        <v>132</v>
      </c>
      <c r="I58" s="172">
        <v>58</v>
      </c>
      <c r="J58" s="172">
        <v>136</v>
      </c>
      <c r="K58" s="172">
        <v>38</v>
      </c>
      <c r="L58" s="172">
        <v>65</v>
      </c>
      <c r="M58" s="172">
        <v>62</v>
      </c>
      <c r="N58" s="172">
        <v>123</v>
      </c>
      <c r="O58" s="172">
        <v>220</v>
      </c>
      <c r="P58" s="172">
        <v>190</v>
      </c>
      <c r="Q58" s="171" t="s">
        <v>25</v>
      </c>
      <c r="R58" s="172">
        <v>105</v>
      </c>
      <c r="S58" s="172">
        <v>254</v>
      </c>
      <c r="T58" s="172">
        <v>227</v>
      </c>
      <c r="U58" s="172">
        <v>362</v>
      </c>
      <c r="V58" s="172">
        <v>253</v>
      </c>
      <c r="W58" s="172">
        <v>165</v>
      </c>
      <c r="X58" s="172">
        <v>68</v>
      </c>
      <c r="Y58" s="172">
        <v>93</v>
      </c>
      <c r="Z58" s="172">
        <v>78</v>
      </c>
      <c r="AA58" s="172">
        <v>60</v>
      </c>
      <c r="AB58" s="172">
        <v>152</v>
      </c>
    </row>
    <row r="59" spans="1:28">
      <c r="A59" s="212" t="s">
        <v>26</v>
      </c>
      <c r="B59" s="174">
        <v>21114</v>
      </c>
      <c r="C59" s="174">
        <v>48104</v>
      </c>
      <c r="D59" s="174">
        <v>64175</v>
      </c>
      <c r="E59" s="174">
        <v>45121</v>
      </c>
      <c r="F59" s="174">
        <v>32149</v>
      </c>
      <c r="G59" s="174">
        <v>25238</v>
      </c>
      <c r="H59" s="174">
        <v>23302</v>
      </c>
      <c r="I59" s="174">
        <v>47187</v>
      </c>
      <c r="J59" s="174">
        <v>77394</v>
      </c>
      <c r="K59" s="174">
        <v>62859</v>
      </c>
      <c r="L59" s="174">
        <v>54003</v>
      </c>
      <c r="M59" s="174">
        <v>63421</v>
      </c>
      <c r="N59" s="174">
        <v>40652</v>
      </c>
      <c r="O59" s="174">
        <v>59875</v>
      </c>
      <c r="P59" s="174">
        <v>55132</v>
      </c>
      <c r="Q59" s="213" t="s">
        <v>26</v>
      </c>
      <c r="R59" s="174">
        <v>67851</v>
      </c>
      <c r="S59" s="174">
        <v>73712</v>
      </c>
      <c r="T59" s="174">
        <v>70003</v>
      </c>
      <c r="U59" s="174">
        <v>57019</v>
      </c>
      <c r="V59" s="174">
        <v>36165</v>
      </c>
      <c r="W59" s="174">
        <v>24451</v>
      </c>
      <c r="X59" s="174">
        <v>28228</v>
      </c>
      <c r="Y59" s="174">
        <v>25962</v>
      </c>
      <c r="Z59" s="174">
        <v>20533</v>
      </c>
      <c r="AA59" s="174">
        <v>21508</v>
      </c>
      <c r="AB59" s="174">
        <v>14625</v>
      </c>
    </row>
    <row r="60" spans="1:28">
      <c r="A60" s="206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180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</row>
    <row r="61" spans="1:28">
      <c r="A61" s="214" t="s">
        <v>33</v>
      </c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6"/>
      <c r="O61" s="197"/>
      <c r="P61" s="199"/>
      <c r="Q61" s="215"/>
      <c r="R61" s="196"/>
      <c r="S61" s="196"/>
      <c r="T61" s="196"/>
      <c r="U61" s="196"/>
      <c r="V61" s="196"/>
      <c r="W61" s="196"/>
      <c r="X61" s="196"/>
      <c r="Y61" s="196"/>
      <c r="Z61" s="196"/>
      <c r="AA61" s="201"/>
      <c r="AB61" s="201"/>
    </row>
    <row r="62" spans="1:28">
      <c r="A62" s="164" t="s">
        <v>24</v>
      </c>
      <c r="B62" s="202">
        <v>1996</v>
      </c>
      <c r="C62" s="202">
        <v>1997</v>
      </c>
      <c r="D62" s="202">
        <v>1998</v>
      </c>
      <c r="E62" s="202">
        <v>1999</v>
      </c>
      <c r="F62" s="202">
        <v>2000</v>
      </c>
      <c r="G62" s="202">
        <v>2001</v>
      </c>
      <c r="H62" s="202">
        <v>2002</v>
      </c>
      <c r="I62" s="202">
        <v>2003</v>
      </c>
      <c r="J62" s="202">
        <v>2004</v>
      </c>
      <c r="K62" s="202">
        <v>2005</v>
      </c>
      <c r="L62" s="202">
        <v>2006</v>
      </c>
      <c r="M62" s="202">
        <v>2007</v>
      </c>
      <c r="N62" s="202">
        <v>2008</v>
      </c>
      <c r="O62" s="202">
        <v>2009</v>
      </c>
      <c r="P62" s="202">
        <v>2010</v>
      </c>
      <c r="Q62" s="168" t="s">
        <v>24</v>
      </c>
      <c r="R62" s="202">
        <v>2011</v>
      </c>
      <c r="S62" s="202">
        <v>2012</v>
      </c>
      <c r="T62" s="202">
        <v>2013</v>
      </c>
      <c r="U62" s="202">
        <v>2014</v>
      </c>
      <c r="V62" s="202">
        <v>2015</v>
      </c>
      <c r="W62" s="202">
        <v>2016</v>
      </c>
      <c r="X62" s="202">
        <v>2017</v>
      </c>
      <c r="Y62" s="202">
        <v>2018</v>
      </c>
      <c r="Z62" s="202">
        <v>2019</v>
      </c>
      <c r="AA62" s="202">
        <v>2020</v>
      </c>
      <c r="AB62" s="202">
        <v>2021</v>
      </c>
    </row>
    <row r="63" spans="1:28">
      <c r="A63" s="169">
        <v>1</v>
      </c>
      <c r="B63" s="216">
        <v>3148</v>
      </c>
      <c r="C63" s="216">
        <v>10914</v>
      </c>
      <c r="D63" s="216">
        <v>12103</v>
      </c>
      <c r="E63" s="216">
        <v>7920</v>
      </c>
      <c r="F63" s="216">
        <v>3827</v>
      </c>
      <c r="G63" s="216">
        <v>4920</v>
      </c>
      <c r="H63" s="216">
        <v>4557</v>
      </c>
      <c r="I63" s="216">
        <v>10837</v>
      </c>
      <c r="J63" s="216">
        <v>18148</v>
      </c>
      <c r="K63" s="216">
        <v>13969</v>
      </c>
      <c r="L63" s="216">
        <v>11507</v>
      </c>
      <c r="M63" s="216">
        <v>15336</v>
      </c>
      <c r="N63" s="216">
        <v>6378</v>
      </c>
      <c r="O63" s="216">
        <v>14990</v>
      </c>
      <c r="P63" s="216">
        <v>10446</v>
      </c>
      <c r="Q63" s="169">
        <v>1</v>
      </c>
      <c r="R63" s="216">
        <v>15785</v>
      </c>
      <c r="S63" s="216">
        <v>8179</v>
      </c>
      <c r="T63" s="216">
        <v>9495</v>
      </c>
      <c r="U63" s="216">
        <v>6664</v>
      </c>
      <c r="V63" s="216">
        <v>3380</v>
      </c>
      <c r="W63" s="216">
        <v>3268</v>
      </c>
      <c r="X63" s="216">
        <v>4034</v>
      </c>
      <c r="Y63" s="216">
        <v>3330</v>
      </c>
      <c r="Z63" s="216">
        <v>2143</v>
      </c>
      <c r="AA63" s="216">
        <v>3782</v>
      </c>
      <c r="AB63" s="216">
        <v>2690</v>
      </c>
    </row>
    <row r="64" spans="1:28">
      <c r="A64" s="169">
        <v>2</v>
      </c>
      <c r="B64" s="216">
        <v>7474</v>
      </c>
      <c r="C64" s="216">
        <v>7625</v>
      </c>
      <c r="D64" s="216">
        <v>26655</v>
      </c>
      <c r="E64" s="216">
        <v>16864</v>
      </c>
      <c r="F64" s="216">
        <v>10075</v>
      </c>
      <c r="G64" s="216">
        <v>7240</v>
      </c>
      <c r="H64" s="216">
        <v>6780</v>
      </c>
      <c r="I64" s="216">
        <v>9941</v>
      </c>
      <c r="J64" s="216">
        <v>15862</v>
      </c>
      <c r="K64" s="216">
        <v>17099</v>
      </c>
      <c r="L64" s="216">
        <v>17062</v>
      </c>
      <c r="M64" s="216">
        <v>21576</v>
      </c>
      <c r="N64" s="216">
        <v>16883</v>
      </c>
      <c r="O64" s="216">
        <v>14480</v>
      </c>
      <c r="P64" s="216">
        <v>25189</v>
      </c>
      <c r="Q64" s="169">
        <v>2</v>
      </c>
      <c r="R64" s="216">
        <v>20933</v>
      </c>
      <c r="S64" s="216">
        <v>27303</v>
      </c>
      <c r="T64" s="216">
        <v>28427</v>
      </c>
      <c r="U64" s="216">
        <v>12358</v>
      </c>
      <c r="V64" s="216">
        <v>12172</v>
      </c>
      <c r="W64" s="216">
        <v>6772</v>
      </c>
      <c r="X64" s="216">
        <v>5735</v>
      </c>
      <c r="Y64" s="216">
        <v>6391</v>
      </c>
      <c r="Z64" s="216">
        <v>6003</v>
      </c>
      <c r="AA64" s="216">
        <v>4166</v>
      </c>
      <c r="AB64" s="216">
        <v>3924</v>
      </c>
    </row>
    <row r="65" spans="1:28">
      <c r="A65" s="169">
        <v>3</v>
      </c>
      <c r="B65" s="216">
        <v>6264</v>
      </c>
      <c r="C65" s="216">
        <v>4650</v>
      </c>
      <c r="D65" s="216">
        <v>4971</v>
      </c>
      <c r="E65" s="216">
        <v>13044</v>
      </c>
      <c r="F65" s="216">
        <v>7289</v>
      </c>
      <c r="G65" s="216">
        <v>6711</v>
      </c>
      <c r="H65" s="216">
        <v>3890</v>
      </c>
      <c r="I65" s="216">
        <v>4691</v>
      </c>
      <c r="J65" s="216">
        <v>6159</v>
      </c>
      <c r="K65" s="216">
        <v>9849</v>
      </c>
      <c r="L65" s="216">
        <v>9564</v>
      </c>
      <c r="M65" s="216">
        <v>13124</v>
      </c>
      <c r="N65" s="216">
        <v>11920</v>
      </c>
      <c r="O65" s="216">
        <v>9506</v>
      </c>
      <c r="P65" s="216">
        <v>12492</v>
      </c>
      <c r="Q65" s="169">
        <v>3</v>
      </c>
      <c r="R65" s="216">
        <v>14623</v>
      </c>
      <c r="S65" s="216">
        <v>18263</v>
      </c>
      <c r="T65" s="216">
        <v>24175</v>
      </c>
      <c r="U65" s="216">
        <v>14206</v>
      </c>
      <c r="V65" s="216">
        <v>8071</v>
      </c>
      <c r="W65" s="216">
        <v>5476</v>
      </c>
      <c r="X65" s="216">
        <v>5098</v>
      </c>
      <c r="Y65" s="216">
        <v>5681</v>
      </c>
      <c r="Z65" s="216">
        <v>3998</v>
      </c>
      <c r="AA65" s="216">
        <v>4743</v>
      </c>
      <c r="AB65" s="216">
        <v>4709</v>
      </c>
    </row>
    <row r="66" spans="1:28">
      <c r="A66" s="169">
        <v>4</v>
      </c>
      <c r="B66" s="216">
        <v>4369</v>
      </c>
      <c r="C66" s="216">
        <v>5482</v>
      </c>
      <c r="D66" s="216">
        <v>2747</v>
      </c>
      <c r="E66" s="216">
        <v>3097</v>
      </c>
      <c r="F66" s="216">
        <v>6794</v>
      </c>
      <c r="G66" s="216">
        <v>3294</v>
      </c>
      <c r="H66" s="216">
        <v>4907</v>
      </c>
      <c r="I66" s="216">
        <v>4025</v>
      </c>
      <c r="J66" s="216">
        <v>3814</v>
      </c>
      <c r="K66" s="216">
        <v>3571</v>
      </c>
      <c r="L66" s="216">
        <v>6203</v>
      </c>
      <c r="M66" s="216">
        <v>4621</v>
      </c>
      <c r="N66" s="216">
        <v>8540</v>
      </c>
      <c r="O66" s="216">
        <v>7584</v>
      </c>
      <c r="P66" s="216">
        <v>7380</v>
      </c>
      <c r="Q66" s="169">
        <v>4</v>
      </c>
      <c r="R66" s="216">
        <v>6287</v>
      </c>
      <c r="S66" s="216">
        <v>10137</v>
      </c>
      <c r="T66" s="216">
        <v>14234</v>
      </c>
      <c r="U66" s="216">
        <v>15664</v>
      </c>
      <c r="V66" s="216">
        <v>10101</v>
      </c>
      <c r="W66" s="216">
        <v>4299</v>
      </c>
      <c r="X66" s="216">
        <v>3394</v>
      </c>
      <c r="Y66" s="216">
        <v>4001</v>
      </c>
      <c r="Z66" s="216">
        <v>2713</v>
      </c>
      <c r="AA66" s="216">
        <v>2771</v>
      </c>
      <c r="AB66" s="216">
        <v>3337</v>
      </c>
    </row>
    <row r="67" spans="1:28">
      <c r="A67" s="169">
        <v>5</v>
      </c>
      <c r="B67" s="216">
        <v>1506</v>
      </c>
      <c r="C67" s="216">
        <v>2900</v>
      </c>
      <c r="D67" s="216">
        <v>1343</v>
      </c>
      <c r="E67" s="216">
        <v>1756</v>
      </c>
      <c r="F67" s="216">
        <v>1439</v>
      </c>
      <c r="G67" s="216">
        <v>3328</v>
      </c>
      <c r="H67" s="216">
        <v>1727</v>
      </c>
      <c r="I67" s="216">
        <v>4055</v>
      </c>
      <c r="J67" s="216">
        <v>2892</v>
      </c>
      <c r="K67" s="216">
        <v>921</v>
      </c>
      <c r="L67" s="216">
        <v>1469</v>
      </c>
      <c r="M67" s="216">
        <v>2071</v>
      </c>
      <c r="N67" s="216">
        <v>3022</v>
      </c>
      <c r="O67" s="216">
        <v>5771</v>
      </c>
      <c r="P67" s="216">
        <v>3925</v>
      </c>
      <c r="Q67" s="169">
        <v>5</v>
      </c>
      <c r="R67" s="216">
        <v>4018</v>
      </c>
      <c r="S67" s="216">
        <v>3768</v>
      </c>
      <c r="T67" s="216">
        <v>5472</v>
      </c>
      <c r="U67" s="216">
        <v>6781</v>
      </c>
      <c r="V67" s="216">
        <v>5351</v>
      </c>
      <c r="W67" s="216">
        <v>2462</v>
      </c>
      <c r="X67" s="216">
        <v>1433</v>
      </c>
      <c r="Y67" s="216">
        <v>1829</v>
      </c>
      <c r="Z67" s="216">
        <v>1360</v>
      </c>
      <c r="AA67" s="216">
        <v>1627</v>
      </c>
      <c r="AB67" s="216">
        <v>1383</v>
      </c>
    </row>
    <row r="68" spans="1:28">
      <c r="A68" s="171" t="s">
        <v>25</v>
      </c>
      <c r="B68" s="216">
        <v>635</v>
      </c>
      <c r="C68" s="216">
        <v>678</v>
      </c>
      <c r="D68" s="216">
        <v>861</v>
      </c>
      <c r="E68" s="216">
        <v>1187</v>
      </c>
      <c r="F68" s="216">
        <v>1433</v>
      </c>
      <c r="G68" s="216">
        <v>1519</v>
      </c>
      <c r="H68" s="216">
        <v>1174</v>
      </c>
      <c r="I68" s="216">
        <v>521</v>
      </c>
      <c r="J68" s="216">
        <v>1505</v>
      </c>
      <c r="K68" s="216">
        <v>314</v>
      </c>
      <c r="L68" s="216">
        <v>524</v>
      </c>
      <c r="M68" s="216">
        <v>489</v>
      </c>
      <c r="N68" s="216">
        <v>1006</v>
      </c>
      <c r="O68" s="216">
        <v>2422</v>
      </c>
      <c r="P68" s="216">
        <v>1384</v>
      </c>
      <c r="Q68" s="171" t="s">
        <v>25</v>
      </c>
      <c r="R68" s="216">
        <v>849</v>
      </c>
      <c r="S68" s="216">
        <v>2189</v>
      </c>
      <c r="T68" s="216">
        <v>1758</v>
      </c>
      <c r="U68" s="216">
        <v>2814</v>
      </c>
      <c r="V68" s="216">
        <v>1740</v>
      </c>
      <c r="W68" s="216">
        <v>1098</v>
      </c>
      <c r="X68" s="216">
        <v>479</v>
      </c>
      <c r="Y68" s="216">
        <v>652</v>
      </c>
      <c r="Z68" s="216">
        <v>549</v>
      </c>
      <c r="AA68" s="216">
        <v>458</v>
      </c>
      <c r="AB68" s="216">
        <v>1340</v>
      </c>
    </row>
    <row r="69" spans="1:28">
      <c r="A69" s="212" t="s">
        <v>26</v>
      </c>
      <c r="B69" s="217">
        <v>23397</v>
      </c>
      <c r="C69" s="217">
        <v>32249</v>
      </c>
      <c r="D69" s="217">
        <v>48680</v>
      </c>
      <c r="E69" s="217">
        <v>43869</v>
      </c>
      <c r="F69" s="217">
        <v>30856</v>
      </c>
      <c r="G69" s="217">
        <v>27011</v>
      </c>
      <c r="H69" s="217">
        <v>23036</v>
      </c>
      <c r="I69" s="217">
        <v>34070</v>
      </c>
      <c r="J69" s="217">
        <v>48380</v>
      </c>
      <c r="K69" s="217">
        <v>45722</v>
      </c>
      <c r="L69" s="217">
        <v>46329</v>
      </c>
      <c r="M69" s="217">
        <v>57217</v>
      </c>
      <c r="N69" s="217">
        <v>47750</v>
      </c>
      <c r="O69" s="217">
        <v>54754</v>
      </c>
      <c r="P69" s="217">
        <v>60816</v>
      </c>
      <c r="Q69" s="213" t="s">
        <v>26</v>
      </c>
      <c r="R69" s="217">
        <v>62494</v>
      </c>
      <c r="S69" s="217">
        <v>69839</v>
      </c>
      <c r="T69" s="217">
        <v>83562</v>
      </c>
      <c r="U69" s="217">
        <v>58486</v>
      </c>
      <c r="V69" s="217">
        <v>40816</v>
      </c>
      <c r="W69" s="217">
        <v>23374</v>
      </c>
      <c r="X69" s="217">
        <v>20172</v>
      </c>
      <c r="Y69" s="217">
        <v>21885</v>
      </c>
      <c r="Z69" s="217">
        <v>16765</v>
      </c>
      <c r="AA69" s="217">
        <v>17546</v>
      </c>
      <c r="AB69" s="217">
        <v>17384</v>
      </c>
    </row>
    <row r="70" spans="1:28">
      <c r="A70" s="218" t="s">
        <v>34</v>
      </c>
      <c r="B70" s="176"/>
      <c r="C70" s="176"/>
      <c r="D70" s="177"/>
      <c r="E70" s="177"/>
      <c r="F70" s="177"/>
      <c r="G70" s="177"/>
      <c r="H70" s="177"/>
      <c r="I70" s="177"/>
      <c r="J70" s="178"/>
      <c r="K70" s="178"/>
      <c r="L70" s="178"/>
      <c r="M70" s="178"/>
      <c r="N70" s="178"/>
      <c r="O70" s="178"/>
      <c r="P70" s="179"/>
      <c r="Q70" s="219"/>
      <c r="R70" s="176"/>
      <c r="S70" s="177"/>
      <c r="T70" s="181"/>
      <c r="U70" s="181"/>
      <c r="V70" s="181"/>
      <c r="W70" s="181"/>
      <c r="X70" s="181"/>
      <c r="Y70" s="181"/>
      <c r="Z70" s="181"/>
      <c r="AA70" s="156"/>
      <c r="AB70" s="156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5553-AE9B-4E3A-A0A6-B32EFF19EE24}">
  <dimension ref="A1:AA13"/>
  <sheetViews>
    <sheetView topLeftCell="E1" zoomScale="130" zoomScaleNormal="130" workbookViewId="0">
      <selection activeCell="K9" sqref="K9"/>
    </sheetView>
  </sheetViews>
  <sheetFormatPr defaultRowHeight="18.75"/>
  <cols>
    <col min="1" max="1" width="6.125" customWidth="1"/>
    <col min="2" max="2" width="13.625" customWidth="1"/>
    <col min="3" max="6" width="17.125" customWidth="1"/>
    <col min="7" max="10" width="7" customWidth="1"/>
    <col min="11" max="11" width="7" style="44" customWidth="1"/>
    <col min="12" max="13" width="7" customWidth="1"/>
    <col min="14" max="29" width="8.875"/>
  </cols>
  <sheetData>
    <row r="1" spans="1:27">
      <c r="A1" t="s">
        <v>0</v>
      </c>
    </row>
    <row r="3" spans="1:27" s="1" customFormat="1" ht="21.75">
      <c r="A3" s="61" t="s">
        <v>45</v>
      </c>
      <c r="B3" s="27"/>
      <c r="C3" s="27"/>
      <c r="D3" s="27"/>
      <c r="E3" s="27"/>
      <c r="F3" s="182"/>
      <c r="G3" s="156"/>
      <c r="H3" s="156"/>
      <c r="I3" s="156"/>
      <c r="J3" s="156"/>
      <c r="K3" s="156"/>
      <c r="L3" s="156"/>
      <c r="M3" s="156"/>
      <c r="N3" s="156"/>
      <c r="O3" s="156"/>
      <c r="P3" s="157"/>
      <c r="Q3" s="158"/>
      <c r="R3" s="156"/>
      <c r="S3" s="156"/>
      <c r="T3" s="156"/>
      <c r="U3" s="156"/>
      <c r="V3" s="156"/>
      <c r="W3" s="156"/>
      <c r="X3" s="156"/>
      <c r="Y3" s="156"/>
      <c r="Z3" s="156"/>
      <c r="AA3" s="156"/>
    </row>
    <row r="4" spans="1:27" ht="28.5">
      <c r="A4" s="49" t="s">
        <v>36</v>
      </c>
      <c r="B4" s="50" t="s">
        <v>37</v>
      </c>
      <c r="C4" s="51" t="s">
        <v>38</v>
      </c>
      <c r="D4" s="51" t="s">
        <v>39</v>
      </c>
      <c r="E4" s="220" t="s">
        <v>40</v>
      </c>
      <c r="F4" s="221" t="s">
        <v>196</v>
      </c>
    </row>
    <row r="5" spans="1:27">
      <c r="A5" s="52">
        <v>1</v>
      </c>
      <c r="B5" s="53">
        <v>0.35699999999999998</v>
      </c>
      <c r="C5" s="52">
        <v>0</v>
      </c>
      <c r="D5" s="52">
        <v>285</v>
      </c>
      <c r="E5" s="54">
        <v>0.16</v>
      </c>
      <c r="F5" s="222">
        <v>0.23</v>
      </c>
      <c r="H5" s="46"/>
      <c r="I5" s="223"/>
    </row>
    <row r="6" spans="1:27">
      <c r="A6" s="52">
        <v>2</v>
      </c>
      <c r="B6" s="53">
        <v>0.35699999999999998</v>
      </c>
      <c r="C6" s="52">
        <v>0</v>
      </c>
      <c r="D6" s="52">
        <v>1239</v>
      </c>
      <c r="E6" s="54">
        <v>0.53</v>
      </c>
      <c r="F6" s="222">
        <v>0.74</v>
      </c>
      <c r="H6" s="46"/>
      <c r="I6" s="46"/>
    </row>
    <row r="7" spans="1:27">
      <c r="A7" s="52">
        <v>3</v>
      </c>
      <c r="B7" s="53">
        <v>0.35699999999999998</v>
      </c>
      <c r="C7" s="54">
        <v>0.22</v>
      </c>
      <c r="D7" s="52">
        <v>2402</v>
      </c>
      <c r="E7" s="54">
        <v>0.48</v>
      </c>
      <c r="F7" s="222">
        <v>0.68</v>
      </c>
      <c r="H7" s="46"/>
      <c r="I7" s="46"/>
    </row>
    <row r="8" spans="1:27">
      <c r="A8" s="52">
        <v>4</v>
      </c>
      <c r="B8" s="53">
        <v>0.35699999999999998</v>
      </c>
      <c r="C8" s="54">
        <v>0.73</v>
      </c>
      <c r="D8" s="52">
        <v>3999</v>
      </c>
      <c r="E8" s="54">
        <v>0.66</v>
      </c>
      <c r="F8" s="222">
        <v>0.93</v>
      </c>
      <c r="H8" s="46"/>
      <c r="I8" s="46"/>
    </row>
    <row r="9" spans="1:27">
      <c r="A9" s="52">
        <v>5</v>
      </c>
      <c r="B9" s="53">
        <v>0.35699999999999998</v>
      </c>
      <c r="C9" s="54">
        <v>1</v>
      </c>
      <c r="D9" s="52">
        <v>5788</v>
      </c>
      <c r="E9" s="54">
        <v>1</v>
      </c>
      <c r="F9" s="222">
        <v>1.4</v>
      </c>
      <c r="H9" s="46"/>
      <c r="I9" s="46"/>
    </row>
    <row r="10" spans="1:27">
      <c r="A10" s="55" t="s">
        <v>41</v>
      </c>
      <c r="B10" s="56">
        <v>0.35699999999999998</v>
      </c>
      <c r="C10" s="57">
        <v>1</v>
      </c>
      <c r="D10" s="55">
        <v>8065</v>
      </c>
      <c r="E10" s="57">
        <v>1</v>
      </c>
      <c r="F10" s="57">
        <v>1.4</v>
      </c>
      <c r="H10" s="46"/>
      <c r="I10" s="46"/>
    </row>
    <row r="11" spans="1:27">
      <c r="A11" s="58" t="s">
        <v>42</v>
      </c>
      <c r="B11" s="48"/>
      <c r="C11" s="47"/>
      <c r="D11" s="47"/>
      <c r="E11" s="47"/>
      <c r="F11" s="47"/>
    </row>
    <row r="12" spans="1:27">
      <c r="A12" s="59" t="s">
        <v>43</v>
      </c>
      <c r="B12" s="48"/>
      <c r="C12" s="33"/>
      <c r="D12" s="33"/>
      <c r="E12" s="33"/>
      <c r="F12" s="33"/>
    </row>
    <row r="13" spans="1:27">
      <c r="A13" s="58" t="s">
        <v>44</v>
      </c>
      <c r="B13" s="48"/>
      <c r="C13" s="60"/>
      <c r="D13" s="60"/>
      <c r="E13" s="60"/>
      <c r="F13" s="60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B7E9-879E-4000-B1F6-F3BB8ECAC47D}">
  <dimension ref="A1:Q32"/>
  <sheetViews>
    <sheetView workbookViewId="0">
      <selection activeCell="S10" sqref="S10"/>
    </sheetView>
  </sheetViews>
  <sheetFormatPr defaultRowHeight="18.75"/>
  <sheetData>
    <row r="1" spans="1:17">
      <c r="A1" t="s">
        <v>0</v>
      </c>
    </row>
    <row r="3" spans="1:17" s="224" customFormat="1" ht="13.5">
      <c r="A3" s="224" t="s">
        <v>46</v>
      </c>
    </row>
    <row r="4" spans="1:17" s="224" customFormat="1" ht="13.5">
      <c r="A4" s="225" t="s">
        <v>51</v>
      </c>
    </row>
    <row r="5" spans="1:17">
      <c r="B5" s="62" t="s">
        <v>49</v>
      </c>
      <c r="C5" s="63">
        <v>2021</v>
      </c>
      <c r="D5" s="63">
        <v>2022</v>
      </c>
      <c r="E5" s="63">
        <v>2023</v>
      </c>
      <c r="F5" s="63">
        <v>2024</v>
      </c>
      <c r="G5" s="63">
        <v>2025</v>
      </c>
      <c r="H5" s="63">
        <v>2026</v>
      </c>
      <c r="I5" s="63">
        <v>2027</v>
      </c>
      <c r="J5" s="63">
        <v>2028</v>
      </c>
      <c r="K5" s="63">
        <v>2029</v>
      </c>
      <c r="L5" s="63">
        <v>2030</v>
      </c>
      <c r="M5" s="63">
        <v>2031</v>
      </c>
      <c r="N5" s="63">
        <v>2032</v>
      </c>
      <c r="O5" s="64">
        <v>2033</v>
      </c>
      <c r="P5" s="63">
        <v>2043</v>
      </c>
      <c r="Q5" s="63">
        <v>2053</v>
      </c>
    </row>
    <row r="6" spans="1:17">
      <c r="B6" s="62">
        <v>1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11</v>
      </c>
      <c r="M6" s="65">
        <v>19</v>
      </c>
      <c r="N6" s="65">
        <v>20</v>
      </c>
      <c r="O6" s="66">
        <v>21</v>
      </c>
      <c r="P6" s="65">
        <v>48</v>
      </c>
      <c r="Q6" s="65">
        <v>47</v>
      </c>
    </row>
    <row r="7" spans="1:17">
      <c r="B7" s="62">
        <v>0.9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2</v>
      </c>
      <c r="L7" s="65">
        <v>19</v>
      </c>
      <c r="M7" s="65">
        <v>31</v>
      </c>
      <c r="N7" s="65">
        <v>34</v>
      </c>
      <c r="O7" s="66">
        <v>34</v>
      </c>
      <c r="P7" s="65">
        <v>60</v>
      </c>
      <c r="Q7" s="65">
        <v>60</v>
      </c>
    </row>
    <row r="8" spans="1:17">
      <c r="B8" s="62">
        <v>0.8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2</v>
      </c>
      <c r="I8" s="65">
        <v>1</v>
      </c>
      <c r="J8" s="65">
        <v>2</v>
      </c>
      <c r="K8" s="65">
        <v>7</v>
      </c>
      <c r="L8" s="65">
        <v>31</v>
      </c>
      <c r="M8" s="65">
        <v>44</v>
      </c>
      <c r="N8" s="65">
        <v>48</v>
      </c>
      <c r="O8" s="66">
        <v>48</v>
      </c>
      <c r="P8" s="65">
        <v>67</v>
      </c>
      <c r="Q8" s="65">
        <v>69</v>
      </c>
    </row>
    <row r="9" spans="1:17">
      <c r="B9" s="62">
        <v>0.7</v>
      </c>
      <c r="C9" s="65">
        <v>0</v>
      </c>
      <c r="D9" s="65">
        <v>0</v>
      </c>
      <c r="E9" s="65">
        <v>0</v>
      </c>
      <c r="F9" s="65">
        <v>0</v>
      </c>
      <c r="G9" s="65">
        <v>2</v>
      </c>
      <c r="H9" s="65">
        <v>12</v>
      </c>
      <c r="I9" s="65">
        <v>14</v>
      </c>
      <c r="J9" s="65">
        <v>16</v>
      </c>
      <c r="K9" s="65">
        <v>26</v>
      </c>
      <c r="L9" s="65">
        <v>53</v>
      </c>
      <c r="M9" s="65">
        <v>64</v>
      </c>
      <c r="N9" s="65">
        <v>67</v>
      </c>
      <c r="O9" s="66">
        <v>67</v>
      </c>
      <c r="P9" s="65">
        <v>73</v>
      </c>
      <c r="Q9" s="65">
        <v>75</v>
      </c>
    </row>
    <row r="10" spans="1:17">
      <c r="B10" s="62">
        <v>0.6</v>
      </c>
      <c r="C10" s="65">
        <v>0</v>
      </c>
      <c r="D10" s="65">
        <v>0</v>
      </c>
      <c r="E10" s="65">
        <v>0</v>
      </c>
      <c r="F10" s="65">
        <v>0</v>
      </c>
      <c r="G10" s="65">
        <v>6</v>
      </c>
      <c r="H10" s="65">
        <v>38</v>
      </c>
      <c r="I10" s="65">
        <v>49</v>
      </c>
      <c r="J10" s="65">
        <v>54</v>
      </c>
      <c r="K10" s="65">
        <v>60</v>
      </c>
      <c r="L10" s="65">
        <v>81</v>
      </c>
      <c r="M10" s="65">
        <v>85</v>
      </c>
      <c r="N10" s="65">
        <v>86</v>
      </c>
      <c r="O10" s="66">
        <v>85</v>
      </c>
      <c r="P10" s="65">
        <v>78</v>
      </c>
      <c r="Q10" s="65">
        <v>80</v>
      </c>
    </row>
    <row r="11" spans="1:17">
      <c r="B11" s="62">
        <v>0.5</v>
      </c>
      <c r="C11" s="65">
        <v>0</v>
      </c>
      <c r="D11" s="65">
        <v>0</v>
      </c>
      <c r="E11" s="65">
        <v>0</v>
      </c>
      <c r="F11" s="65">
        <v>0</v>
      </c>
      <c r="G11" s="65">
        <v>16</v>
      </c>
      <c r="H11" s="65">
        <v>68</v>
      </c>
      <c r="I11" s="65">
        <v>85</v>
      </c>
      <c r="J11" s="65">
        <v>89</v>
      </c>
      <c r="K11" s="65">
        <v>90</v>
      </c>
      <c r="L11" s="65">
        <v>96</v>
      </c>
      <c r="M11" s="65">
        <v>97</v>
      </c>
      <c r="N11" s="65">
        <v>96</v>
      </c>
      <c r="O11" s="66">
        <v>95</v>
      </c>
      <c r="P11" s="65">
        <v>82</v>
      </c>
      <c r="Q11" s="65">
        <v>82</v>
      </c>
    </row>
    <row r="12" spans="1:17">
      <c r="B12" s="62">
        <v>0.4</v>
      </c>
      <c r="C12" s="65">
        <v>0</v>
      </c>
      <c r="D12" s="65">
        <v>0</v>
      </c>
      <c r="E12" s="65">
        <v>0</v>
      </c>
      <c r="F12" s="65">
        <v>0</v>
      </c>
      <c r="G12" s="65">
        <v>32</v>
      </c>
      <c r="H12" s="65">
        <v>90</v>
      </c>
      <c r="I12" s="65">
        <v>98</v>
      </c>
      <c r="J12" s="65">
        <v>99</v>
      </c>
      <c r="K12" s="65">
        <v>100</v>
      </c>
      <c r="L12" s="65">
        <v>100</v>
      </c>
      <c r="M12" s="65">
        <v>100</v>
      </c>
      <c r="N12" s="65">
        <v>99</v>
      </c>
      <c r="O12" s="66">
        <v>98</v>
      </c>
      <c r="P12" s="65">
        <v>82</v>
      </c>
      <c r="Q12" s="65">
        <v>81</v>
      </c>
    </row>
    <row r="13" spans="1:17">
      <c r="B13" s="62">
        <v>0.3</v>
      </c>
      <c r="C13" s="65">
        <v>0</v>
      </c>
      <c r="D13" s="65">
        <v>0</v>
      </c>
      <c r="E13" s="65">
        <v>0</v>
      </c>
      <c r="F13" s="65">
        <v>0</v>
      </c>
      <c r="G13" s="65">
        <v>51</v>
      </c>
      <c r="H13" s="65">
        <v>98</v>
      </c>
      <c r="I13" s="65">
        <v>100</v>
      </c>
      <c r="J13" s="65">
        <v>100</v>
      </c>
      <c r="K13" s="65">
        <v>100</v>
      </c>
      <c r="L13" s="65">
        <v>100</v>
      </c>
      <c r="M13" s="65">
        <v>100</v>
      </c>
      <c r="N13" s="65">
        <v>100</v>
      </c>
      <c r="O13" s="66">
        <v>99</v>
      </c>
      <c r="P13" s="65">
        <v>82</v>
      </c>
      <c r="Q13" s="65">
        <v>83</v>
      </c>
    </row>
    <row r="14" spans="1:17">
      <c r="B14" s="62">
        <v>0.2</v>
      </c>
      <c r="C14" s="65">
        <v>0</v>
      </c>
      <c r="D14" s="65">
        <v>0</v>
      </c>
      <c r="E14" s="65">
        <v>0</v>
      </c>
      <c r="F14" s="65">
        <v>1</v>
      </c>
      <c r="G14" s="65">
        <v>69</v>
      </c>
      <c r="H14" s="65">
        <v>100</v>
      </c>
      <c r="I14" s="65">
        <v>100</v>
      </c>
      <c r="J14" s="65">
        <v>100</v>
      </c>
      <c r="K14" s="65">
        <v>100</v>
      </c>
      <c r="L14" s="65">
        <v>100</v>
      </c>
      <c r="M14" s="65">
        <v>100</v>
      </c>
      <c r="N14" s="65">
        <v>100</v>
      </c>
      <c r="O14" s="66">
        <v>100</v>
      </c>
      <c r="P14" s="65">
        <v>94</v>
      </c>
      <c r="Q14" s="65">
        <v>97</v>
      </c>
    </row>
    <row r="15" spans="1:17">
      <c r="B15" s="62">
        <v>0.1</v>
      </c>
      <c r="C15" s="65">
        <v>0</v>
      </c>
      <c r="D15" s="65">
        <v>0</v>
      </c>
      <c r="E15" s="65">
        <v>0</v>
      </c>
      <c r="F15" s="65">
        <v>3</v>
      </c>
      <c r="G15" s="65">
        <v>85</v>
      </c>
      <c r="H15" s="65">
        <v>100</v>
      </c>
      <c r="I15" s="65">
        <v>100</v>
      </c>
      <c r="J15" s="65">
        <v>100</v>
      </c>
      <c r="K15" s="65">
        <v>100</v>
      </c>
      <c r="L15" s="65">
        <v>100</v>
      </c>
      <c r="M15" s="65">
        <v>100</v>
      </c>
      <c r="N15" s="65">
        <v>100</v>
      </c>
      <c r="O15" s="66">
        <v>100</v>
      </c>
      <c r="P15" s="65">
        <v>100</v>
      </c>
      <c r="Q15" s="65">
        <v>100</v>
      </c>
    </row>
    <row r="16" spans="1:17">
      <c r="B16" s="62">
        <v>0</v>
      </c>
      <c r="C16" s="65">
        <v>0</v>
      </c>
      <c r="D16" s="65">
        <v>0</v>
      </c>
      <c r="E16" s="65">
        <v>0</v>
      </c>
      <c r="F16" s="65">
        <v>5</v>
      </c>
      <c r="G16" s="65">
        <v>95</v>
      </c>
      <c r="H16" s="65">
        <v>100</v>
      </c>
      <c r="I16" s="65">
        <v>100</v>
      </c>
      <c r="J16" s="65">
        <v>100</v>
      </c>
      <c r="K16" s="65">
        <v>100</v>
      </c>
      <c r="L16" s="65">
        <v>100</v>
      </c>
      <c r="M16" s="65">
        <v>100</v>
      </c>
      <c r="N16" s="65">
        <v>100</v>
      </c>
      <c r="O16" s="66">
        <v>100</v>
      </c>
      <c r="P16" s="65">
        <v>100</v>
      </c>
      <c r="Q16" s="65">
        <v>100</v>
      </c>
    </row>
    <row r="17" spans="1:17" ht="30">
      <c r="B17" s="67" t="s">
        <v>50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1</v>
      </c>
      <c r="M17" s="65">
        <v>2</v>
      </c>
      <c r="N17" s="65">
        <v>2</v>
      </c>
      <c r="O17" s="66">
        <v>3</v>
      </c>
      <c r="P17" s="65">
        <v>19</v>
      </c>
      <c r="Q17" s="65">
        <v>19</v>
      </c>
    </row>
    <row r="19" spans="1:17">
      <c r="A19" s="224" t="s">
        <v>52</v>
      </c>
    </row>
    <row r="20" spans="1:17">
      <c r="B20" s="62" t="s">
        <v>49</v>
      </c>
      <c r="C20" s="63">
        <v>2021</v>
      </c>
      <c r="D20" s="63">
        <v>2022</v>
      </c>
      <c r="E20" s="63">
        <v>2023</v>
      </c>
      <c r="F20" s="63">
        <v>2024</v>
      </c>
      <c r="G20" s="63">
        <v>2025</v>
      </c>
      <c r="H20" s="63">
        <v>2026</v>
      </c>
      <c r="I20" s="63">
        <v>2027</v>
      </c>
      <c r="J20" s="63">
        <v>2028</v>
      </c>
      <c r="K20" s="63">
        <v>2029</v>
      </c>
      <c r="L20" s="63">
        <v>2030</v>
      </c>
      <c r="M20" s="63">
        <v>2031</v>
      </c>
      <c r="N20" s="63">
        <v>2032</v>
      </c>
      <c r="O20" s="64">
        <v>2033</v>
      </c>
      <c r="P20" s="63">
        <v>2043</v>
      </c>
      <c r="Q20" s="63">
        <v>2053</v>
      </c>
    </row>
    <row r="21" spans="1:17">
      <c r="B21" s="62">
        <v>1</v>
      </c>
      <c r="C21" s="65">
        <v>100</v>
      </c>
      <c r="D21" s="65">
        <v>100</v>
      </c>
      <c r="E21" s="65">
        <v>89</v>
      </c>
      <c r="F21" s="65">
        <v>67</v>
      </c>
      <c r="G21" s="65">
        <v>91</v>
      </c>
      <c r="H21" s="65">
        <v>97</v>
      </c>
      <c r="I21" s="65">
        <v>97</v>
      </c>
      <c r="J21" s="65">
        <v>94</v>
      </c>
      <c r="K21" s="65">
        <v>94</v>
      </c>
      <c r="L21" s="65">
        <v>98</v>
      </c>
      <c r="M21" s="65">
        <v>98</v>
      </c>
      <c r="N21" s="65">
        <v>98</v>
      </c>
      <c r="O21" s="66">
        <v>98</v>
      </c>
      <c r="P21" s="65">
        <v>99</v>
      </c>
      <c r="Q21" s="65">
        <v>99</v>
      </c>
    </row>
    <row r="22" spans="1:17">
      <c r="B22" s="62">
        <v>0.9</v>
      </c>
      <c r="C22" s="65">
        <v>100</v>
      </c>
      <c r="D22" s="65">
        <v>100</v>
      </c>
      <c r="E22" s="65">
        <v>89</v>
      </c>
      <c r="F22" s="65">
        <v>76</v>
      </c>
      <c r="G22" s="65">
        <v>95</v>
      </c>
      <c r="H22" s="65">
        <v>99</v>
      </c>
      <c r="I22" s="65">
        <v>99</v>
      </c>
      <c r="J22" s="65">
        <v>99</v>
      </c>
      <c r="K22" s="65">
        <v>99</v>
      </c>
      <c r="L22" s="65">
        <v>100</v>
      </c>
      <c r="M22" s="65">
        <v>100</v>
      </c>
      <c r="N22" s="65">
        <v>100</v>
      </c>
      <c r="O22" s="66">
        <v>100</v>
      </c>
      <c r="P22" s="65">
        <v>100</v>
      </c>
      <c r="Q22" s="65">
        <v>100</v>
      </c>
    </row>
    <row r="23" spans="1:17">
      <c r="B23" s="62">
        <v>0.8</v>
      </c>
      <c r="C23" s="65">
        <v>100</v>
      </c>
      <c r="D23" s="65">
        <v>100</v>
      </c>
      <c r="E23" s="65">
        <v>89</v>
      </c>
      <c r="F23" s="65">
        <v>84</v>
      </c>
      <c r="G23" s="65">
        <v>98</v>
      </c>
      <c r="H23" s="65">
        <v>100</v>
      </c>
      <c r="I23" s="65">
        <v>100</v>
      </c>
      <c r="J23" s="65">
        <v>100</v>
      </c>
      <c r="K23" s="65">
        <v>100</v>
      </c>
      <c r="L23" s="65">
        <v>100</v>
      </c>
      <c r="M23" s="65">
        <v>100</v>
      </c>
      <c r="N23" s="65">
        <v>100</v>
      </c>
      <c r="O23" s="66">
        <v>100</v>
      </c>
      <c r="P23" s="65">
        <v>100</v>
      </c>
      <c r="Q23" s="65">
        <v>100</v>
      </c>
    </row>
    <row r="24" spans="1:17">
      <c r="B24" s="62">
        <v>0.7</v>
      </c>
      <c r="C24" s="65">
        <v>100</v>
      </c>
      <c r="D24" s="65">
        <v>100</v>
      </c>
      <c r="E24" s="65">
        <v>89</v>
      </c>
      <c r="F24" s="65">
        <v>89</v>
      </c>
      <c r="G24" s="65">
        <v>100</v>
      </c>
      <c r="H24" s="65">
        <v>100</v>
      </c>
      <c r="I24" s="65">
        <v>100</v>
      </c>
      <c r="J24" s="65">
        <v>100</v>
      </c>
      <c r="K24" s="65">
        <v>100</v>
      </c>
      <c r="L24" s="65">
        <v>100</v>
      </c>
      <c r="M24" s="65">
        <v>100</v>
      </c>
      <c r="N24" s="65">
        <v>100</v>
      </c>
      <c r="O24" s="66">
        <v>100</v>
      </c>
      <c r="P24" s="65">
        <v>100</v>
      </c>
      <c r="Q24" s="65">
        <v>100</v>
      </c>
    </row>
    <row r="25" spans="1:17">
      <c r="B25" s="62">
        <v>0.6</v>
      </c>
      <c r="C25" s="65">
        <v>100</v>
      </c>
      <c r="D25" s="65">
        <v>100</v>
      </c>
      <c r="E25" s="65">
        <v>89</v>
      </c>
      <c r="F25" s="65">
        <v>93</v>
      </c>
      <c r="G25" s="65">
        <v>100</v>
      </c>
      <c r="H25" s="65">
        <v>100</v>
      </c>
      <c r="I25" s="65">
        <v>100</v>
      </c>
      <c r="J25" s="65">
        <v>100</v>
      </c>
      <c r="K25" s="65">
        <v>100</v>
      </c>
      <c r="L25" s="65">
        <v>100</v>
      </c>
      <c r="M25" s="65">
        <v>100</v>
      </c>
      <c r="N25" s="65">
        <v>100</v>
      </c>
      <c r="O25" s="66">
        <v>100</v>
      </c>
      <c r="P25" s="65">
        <v>100</v>
      </c>
      <c r="Q25" s="65">
        <v>100</v>
      </c>
    </row>
    <row r="26" spans="1:17">
      <c r="B26" s="62">
        <v>0.5</v>
      </c>
      <c r="C26" s="65">
        <v>100</v>
      </c>
      <c r="D26" s="65">
        <v>100</v>
      </c>
      <c r="E26" s="65">
        <v>89</v>
      </c>
      <c r="F26" s="65">
        <v>97</v>
      </c>
      <c r="G26" s="65">
        <v>100</v>
      </c>
      <c r="H26" s="65">
        <v>100</v>
      </c>
      <c r="I26" s="65">
        <v>100</v>
      </c>
      <c r="J26" s="65">
        <v>100</v>
      </c>
      <c r="K26" s="65">
        <v>100</v>
      </c>
      <c r="L26" s="65">
        <v>100</v>
      </c>
      <c r="M26" s="65">
        <v>100</v>
      </c>
      <c r="N26" s="65">
        <v>100</v>
      </c>
      <c r="O26" s="66">
        <v>100</v>
      </c>
      <c r="P26" s="65">
        <v>100</v>
      </c>
      <c r="Q26" s="65">
        <v>100</v>
      </c>
    </row>
    <row r="27" spans="1:17">
      <c r="B27" s="62">
        <v>0.4</v>
      </c>
      <c r="C27" s="65">
        <v>100</v>
      </c>
      <c r="D27" s="65">
        <v>100</v>
      </c>
      <c r="E27" s="65">
        <v>89</v>
      </c>
      <c r="F27" s="65">
        <v>99</v>
      </c>
      <c r="G27" s="65">
        <v>100</v>
      </c>
      <c r="H27" s="65">
        <v>100</v>
      </c>
      <c r="I27" s="65">
        <v>100</v>
      </c>
      <c r="J27" s="65">
        <v>100</v>
      </c>
      <c r="K27" s="65">
        <v>100</v>
      </c>
      <c r="L27" s="65">
        <v>100</v>
      </c>
      <c r="M27" s="65">
        <v>100</v>
      </c>
      <c r="N27" s="65">
        <v>100</v>
      </c>
      <c r="O27" s="66">
        <v>100</v>
      </c>
      <c r="P27" s="65">
        <v>100</v>
      </c>
      <c r="Q27" s="65">
        <v>100</v>
      </c>
    </row>
    <row r="28" spans="1:17">
      <c r="B28" s="62">
        <v>0.3</v>
      </c>
      <c r="C28" s="65">
        <v>100</v>
      </c>
      <c r="D28" s="65">
        <v>100</v>
      </c>
      <c r="E28" s="65">
        <v>89</v>
      </c>
      <c r="F28" s="65">
        <v>100</v>
      </c>
      <c r="G28" s="65">
        <v>100</v>
      </c>
      <c r="H28" s="65">
        <v>100</v>
      </c>
      <c r="I28" s="65">
        <v>100</v>
      </c>
      <c r="J28" s="65">
        <v>100</v>
      </c>
      <c r="K28" s="65">
        <v>100</v>
      </c>
      <c r="L28" s="65">
        <v>100</v>
      </c>
      <c r="M28" s="65">
        <v>100</v>
      </c>
      <c r="N28" s="65">
        <v>100</v>
      </c>
      <c r="O28" s="66">
        <v>100</v>
      </c>
      <c r="P28" s="65">
        <v>100</v>
      </c>
      <c r="Q28" s="65">
        <v>100</v>
      </c>
    </row>
    <row r="29" spans="1:17">
      <c r="B29" s="62">
        <v>0.2</v>
      </c>
      <c r="C29" s="65">
        <v>100</v>
      </c>
      <c r="D29" s="65">
        <v>100</v>
      </c>
      <c r="E29" s="65">
        <v>89</v>
      </c>
      <c r="F29" s="65">
        <v>100</v>
      </c>
      <c r="G29" s="65">
        <v>100</v>
      </c>
      <c r="H29" s="65">
        <v>100</v>
      </c>
      <c r="I29" s="65">
        <v>100</v>
      </c>
      <c r="J29" s="65">
        <v>100</v>
      </c>
      <c r="K29" s="65">
        <v>100</v>
      </c>
      <c r="L29" s="65">
        <v>100</v>
      </c>
      <c r="M29" s="65">
        <v>100</v>
      </c>
      <c r="N29" s="65">
        <v>100</v>
      </c>
      <c r="O29" s="66">
        <v>100</v>
      </c>
      <c r="P29" s="65">
        <v>100</v>
      </c>
      <c r="Q29" s="65">
        <v>100</v>
      </c>
    </row>
    <row r="30" spans="1:17">
      <c r="B30" s="62">
        <v>0.1</v>
      </c>
      <c r="C30" s="65">
        <v>100</v>
      </c>
      <c r="D30" s="65">
        <v>100</v>
      </c>
      <c r="E30" s="65">
        <v>89</v>
      </c>
      <c r="F30" s="65">
        <v>100</v>
      </c>
      <c r="G30" s="65">
        <v>100</v>
      </c>
      <c r="H30" s="65">
        <v>100</v>
      </c>
      <c r="I30" s="65">
        <v>100</v>
      </c>
      <c r="J30" s="65">
        <v>100</v>
      </c>
      <c r="K30" s="65">
        <v>100</v>
      </c>
      <c r="L30" s="65">
        <v>100</v>
      </c>
      <c r="M30" s="65">
        <v>100</v>
      </c>
      <c r="N30" s="65">
        <v>100</v>
      </c>
      <c r="O30" s="66">
        <v>100</v>
      </c>
      <c r="P30" s="65">
        <v>100</v>
      </c>
      <c r="Q30" s="65">
        <v>100</v>
      </c>
    </row>
    <row r="31" spans="1:17">
      <c r="B31" s="62">
        <v>0</v>
      </c>
      <c r="C31" s="65">
        <v>100</v>
      </c>
      <c r="D31" s="65">
        <v>100</v>
      </c>
      <c r="E31" s="65">
        <v>89</v>
      </c>
      <c r="F31" s="65">
        <v>100</v>
      </c>
      <c r="G31" s="65">
        <v>100</v>
      </c>
      <c r="H31" s="65">
        <v>100</v>
      </c>
      <c r="I31" s="65">
        <v>100</v>
      </c>
      <c r="J31" s="65">
        <v>100</v>
      </c>
      <c r="K31" s="65">
        <v>100</v>
      </c>
      <c r="L31" s="65">
        <v>100</v>
      </c>
      <c r="M31" s="65">
        <v>100</v>
      </c>
      <c r="N31" s="65">
        <v>100</v>
      </c>
      <c r="O31" s="66">
        <v>100</v>
      </c>
      <c r="P31" s="65">
        <v>100</v>
      </c>
      <c r="Q31" s="65">
        <v>100</v>
      </c>
    </row>
    <row r="32" spans="1:17" ht="30">
      <c r="B32" s="67" t="s">
        <v>50</v>
      </c>
      <c r="C32" s="65">
        <v>100</v>
      </c>
      <c r="D32" s="65">
        <v>100</v>
      </c>
      <c r="E32" s="65">
        <v>89</v>
      </c>
      <c r="F32" s="65">
        <v>46</v>
      </c>
      <c r="G32" s="65">
        <v>69</v>
      </c>
      <c r="H32" s="65">
        <v>77</v>
      </c>
      <c r="I32" s="65">
        <v>64</v>
      </c>
      <c r="J32" s="65">
        <v>52</v>
      </c>
      <c r="K32" s="65">
        <v>62</v>
      </c>
      <c r="L32" s="65">
        <v>73</v>
      </c>
      <c r="M32" s="65">
        <v>74</v>
      </c>
      <c r="N32" s="65">
        <v>72</v>
      </c>
      <c r="O32" s="66">
        <v>72</v>
      </c>
      <c r="P32" s="65">
        <v>92</v>
      </c>
      <c r="Q32" s="65">
        <v>94</v>
      </c>
    </row>
  </sheetData>
  <phoneticPr fontId="2"/>
  <conditionalFormatting sqref="C6:Q17">
    <cfRule type="colorScale" priority="2">
      <colorScale>
        <cfvo type="min"/>
        <cfvo type="max"/>
        <color theme="0"/>
        <color theme="7"/>
      </colorScale>
    </cfRule>
  </conditionalFormatting>
  <conditionalFormatting sqref="C21:Q32">
    <cfRule type="colorScale" priority="1">
      <colorScale>
        <cfvo type="min"/>
        <cfvo type="max"/>
        <color theme="0"/>
        <color theme="7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035B-27C4-4793-B970-B4D773A41D86}">
  <dimension ref="A1:Q46"/>
  <sheetViews>
    <sheetView workbookViewId="0">
      <selection activeCell="A2" sqref="A2"/>
    </sheetView>
  </sheetViews>
  <sheetFormatPr defaultRowHeight="18.75"/>
  <sheetData>
    <row r="1" spans="1:17">
      <c r="A1" t="s">
        <v>0</v>
      </c>
    </row>
    <row r="3" spans="1:17" s="224" customFormat="1" ht="13.5">
      <c r="A3" s="224" t="s">
        <v>53</v>
      </c>
    </row>
    <row r="4" spans="1:17" s="224" customFormat="1" ht="13.5">
      <c r="A4" s="224" t="s">
        <v>54</v>
      </c>
    </row>
    <row r="5" spans="1:17">
      <c r="B5" s="62" t="s">
        <v>47</v>
      </c>
      <c r="C5" s="63">
        <v>2021</v>
      </c>
      <c r="D5" s="63">
        <v>2022</v>
      </c>
      <c r="E5" s="63">
        <v>2023</v>
      </c>
      <c r="F5" s="63">
        <v>2024</v>
      </c>
      <c r="G5" s="63">
        <v>2025</v>
      </c>
      <c r="H5" s="63">
        <v>2026</v>
      </c>
      <c r="I5" s="63">
        <v>2027</v>
      </c>
      <c r="J5" s="63">
        <v>2028</v>
      </c>
      <c r="K5" s="63">
        <v>2029</v>
      </c>
      <c r="L5" s="63">
        <v>2030</v>
      </c>
      <c r="M5" s="63">
        <v>2031</v>
      </c>
      <c r="N5" s="63">
        <v>2032</v>
      </c>
      <c r="O5" s="64">
        <v>2033</v>
      </c>
      <c r="P5" s="63">
        <v>2043</v>
      </c>
      <c r="Q5" s="63">
        <v>2053</v>
      </c>
    </row>
    <row r="6" spans="1:17">
      <c r="B6" s="62">
        <v>1</v>
      </c>
      <c r="C6" s="68">
        <v>5.6</v>
      </c>
      <c r="D6" s="68">
        <v>6.5</v>
      </c>
      <c r="E6" s="68">
        <v>3.8</v>
      </c>
      <c r="F6" s="68">
        <v>3.7</v>
      </c>
      <c r="G6" s="68">
        <v>5</v>
      </c>
      <c r="H6" s="68">
        <v>5.5</v>
      </c>
      <c r="I6" s="68">
        <v>5.2</v>
      </c>
      <c r="J6" s="68">
        <v>5</v>
      </c>
      <c r="K6" s="68">
        <v>5.5</v>
      </c>
      <c r="L6" s="68">
        <v>7</v>
      </c>
      <c r="M6" s="68">
        <v>7.7</v>
      </c>
      <c r="N6" s="68">
        <v>7.8</v>
      </c>
      <c r="O6" s="69">
        <v>7.9</v>
      </c>
      <c r="P6" s="68">
        <v>10.6</v>
      </c>
      <c r="Q6" s="68">
        <v>10.6</v>
      </c>
    </row>
    <row r="7" spans="1:17">
      <c r="B7" s="62">
        <v>0.9</v>
      </c>
      <c r="C7" s="68">
        <v>5.6</v>
      </c>
      <c r="D7" s="68">
        <v>6.5</v>
      </c>
      <c r="E7" s="68">
        <v>3.8</v>
      </c>
      <c r="F7" s="68">
        <v>4</v>
      </c>
      <c r="G7" s="68">
        <v>5.5</v>
      </c>
      <c r="H7" s="68">
        <v>6.4</v>
      </c>
      <c r="I7" s="68">
        <v>6.1</v>
      </c>
      <c r="J7" s="68">
        <v>6</v>
      </c>
      <c r="K7" s="68">
        <v>6.5</v>
      </c>
      <c r="L7" s="68">
        <v>8.3000000000000007</v>
      </c>
      <c r="M7" s="68">
        <v>9.4</v>
      </c>
      <c r="N7" s="68">
        <v>9.6999999999999993</v>
      </c>
      <c r="O7" s="69">
        <v>9.6999999999999993</v>
      </c>
      <c r="P7" s="68">
        <v>12.3</v>
      </c>
      <c r="Q7" s="68">
        <v>12.2</v>
      </c>
    </row>
    <row r="8" spans="1:17">
      <c r="B8" s="62">
        <v>0.8</v>
      </c>
      <c r="C8" s="68">
        <v>5.6</v>
      </c>
      <c r="D8" s="68">
        <v>6.5</v>
      </c>
      <c r="E8" s="68">
        <v>3.8</v>
      </c>
      <c r="F8" s="68">
        <v>4.3</v>
      </c>
      <c r="G8" s="68">
        <v>6.1</v>
      </c>
      <c r="H8" s="68">
        <v>7.4</v>
      </c>
      <c r="I8" s="68">
        <v>7.4</v>
      </c>
      <c r="J8" s="68">
        <v>7.3</v>
      </c>
      <c r="K8" s="68">
        <v>7.8</v>
      </c>
      <c r="L8" s="68">
        <v>9.9</v>
      </c>
      <c r="M8" s="68">
        <v>11.4</v>
      </c>
      <c r="N8" s="68">
        <v>11.9</v>
      </c>
      <c r="O8" s="69">
        <v>12</v>
      </c>
      <c r="P8" s="68">
        <v>14.1</v>
      </c>
      <c r="Q8" s="68">
        <v>14.1</v>
      </c>
    </row>
    <row r="9" spans="1:17">
      <c r="B9" s="62">
        <v>0.7</v>
      </c>
      <c r="C9" s="68">
        <v>5.6</v>
      </c>
      <c r="D9" s="68">
        <v>6.5</v>
      </c>
      <c r="E9" s="68">
        <v>3.8</v>
      </c>
      <c r="F9" s="68">
        <v>4.5999999999999996</v>
      </c>
      <c r="G9" s="68">
        <v>6.9</v>
      </c>
      <c r="H9" s="68">
        <v>8.6999999999999993</v>
      </c>
      <c r="I9" s="68">
        <v>8.9</v>
      </c>
      <c r="J9" s="68">
        <v>9</v>
      </c>
      <c r="K9" s="68">
        <v>9.5</v>
      </c>
      <c r="L9" s="68">
        <v>11.9</v>
      </c>
      <c r="M9" s="68">
        <v>13.8</v>
      </c>
      <c r="N9" s="68">
        <v>14.6</v>
      </c>
      <c r="O9" s="69">
        <v>14.7</v>
      </c>
      <c r="P9" s="68">
        <v>16.2</v>
      </c>
      <c r="Q9" s="68">
        <v>16.100000000000001</v>
      </c>
    </row>
    <row r="10" spans="1:17">
      <c r="B10" s="62">
        <v>0.6</v>
      </c>
      <c r="C10" s="68">
        <v>5.6</v>
      </c>
      <c r="D10" s="68">
        <v>6.5</v>
      </c>
      <c r="E10" s="68">
        <v>3.8</v>
      </c>
      <c r="F10" s="68">
        <v>5</v>
      </c>
      <c r="G10" s="68">
        <v>7.7</v>
      </c>
      <c r="H10" s="68">
        <v>10.199999999999999</v>
      </c>
      <c r="I10" s="68">
        <v>10.9</v>
      </c>
      <c r="J10" s="68">
        <v>11.2</v>
      </c>
      <c r="K10" s="68">
        <v>11.6</v>
      </c>
      <c r="L10" s="68">
        <v>14.2</v>
      </c>
      <c r="M10" s="68">
        <v>16.5</v>
      </c>
      <c r="N10" s="68">
        <v>17.5</v>
      </c>
      <c r="O10" s="69">
        <v>17.7</v>
      </c>
      <c r="P10" s="68">
        <v>18.7</v>
      </c>
      <c r="Q10" s="68">
        <v>18.399999999999999</v>
      </c>
    </row>
    <row r="11" spans="1:17">
      <c r="B11" s="62">
        <v>0.5</v>
      </c>
      <c r="C11" s="68">
        <v>5.6</v>
      </c>
      <c r="D11" s="68">
        <v>6.5</v>
      </c>
      <c r="E11" s="68">
        <v>3.8</v>
      </c>
      <c r="F11" s="68">
        <v>5.3</v>
      </c>
      <c r="G11" s="68">
        <v>8.6999999999999993</v>
      </c>
      <c r="H11" s="68">
        <v>12.1</v>
      </c>
      <c r="I11" s="68">
        <v>13.4</v>
      </c>
      <c r="J11" s="68">
        <v>14</v>
      </c>
      <c r="K11" s="68">
        <v>14.5</v>
      </c>
      <c r="L11" s="68">
        <v>17.2</v>
      </c>
      <c r="M11" s="68">
        <v>19.600000000000001</v>
      </c>
      <c r="N11" s="68">
        <v>20.6</v>
      </c>
      <c r="O11" s="69">
        <v>20.7</v>
      </c>
      <c r="P11" s="68">
        <v>21.7</v>
      </c>
      <c r="Q11" s="68">
        <v>21.2</v>
      </c>
    </row>
    <row r="12" spans="1:17">
      <c r="B12" s="62">
        <v>0.4</v>
      </c>
      <c r="C12" s="68">
        <v>5.6</v>
      </c>
      <c r="D12" s="68">
        <v>6.5</v>
      </c>
      <c r="E12" s="68">
        <v>3.8</v>
      </c>
      <c r="F12" s="68">
        <v>5.7</v>
      </c>
      <c r="G12" s="68">
        <v>9.8000000000000007</v>
      </c>
      <c r="H12" s="68">
        <v>14.4</v>
      </c>
      <c r="I12" s="68">
        <v>16.600000000000001</v>
      </c>
      <c r="J12" s="68">
        <v>17.7</v>
      </c>
      <c r="K12" s="68">
        <v>18.399999999999999</v>
      </c>
      <c r="L12" s="68">
        <v>20.9</v>
      </c>
      <c r="M12" s="68">
        <v>23.1</v>
      </c>
      <c r="N12" s="68">
        <v>23.5</v>
      </c>
      <c r="O12" s="69">
        <v>23.1</v>
      </c>
      <c r="P12" s="68">
        <v>25.3</v>
      </c>
      <c r="Q12" s="68">
        <v>24.7</v>
      </c>
    </row>
    <row r="13" spans="1:17">
      <c r="B13" s="62">
        <v>0.3</v>
      </c>
      <c r="C13" s="68">
        <v>5.6</v>
      </c>
      <c r="D13" s="68">
        <v>6.5</v>
      </c>
      <c r="E13" s="68">
        <v>3.8</v>
      </c>
      <c r="F13" s="68">
        <v>6.1</v>
      </c>
      <c r="G13" s="68">
        <v>11.1</v>
      </c>
      <c r="H13" s="68">
        <v>17.2</v>
      </c>
      <c r="I13" s="68">
        <v>20.8</v>
      </c>
      <c r="J13" s="68">
        <v>22.8</v>
      </c>
      <c r="K13" s="68">
        <v>23.9</v>
      </c>
      <c r="L13" s="68">
        <v>25.9</v>
      </c>
      <c r="M13" s="68">
        <v>27</v>
      </c>
      <c r="N13" s="68">
        <v>26</v>
      </c>
      <c r="O13" s="69">
        <v>24.3</v>
      </c>
      <c r="P13" s="68">
        <v>29.1</v>
      </c>
      <c r="Q13" s="68">
        <v>29.7</v>
      </c>
    </row>
    <row r="14" spans="1:17">
      <c r="B14" s="62">
        <v>0.2</v>
      </c>
      <c r="C14" s="68">
        <v>5.6</v>
      </c>
      <c r="D14" s="68">
        <v>6.5</v>
      </c>
      <c r="E14" s="68">
        <v>3.8</v>
      </c>
      <c r="F14" s="68">
        <v>6.6</v>
      </c>
      <c r="G14" s="68">
        <v>12.5</v>
      </c>
      <c r="H14" s="68">
        <v>20.6</v>
      </c>
      <c r="I14" s="68">
        <v>26.4</v>
      </c>
      <c r="J14" s="68">
        <v>29.8</v>
      </c>
      <c r="K14" s="68">
        <v>31.7</v>
      </c>
      <c r="L14" s="68">
        <v>32.9</v>
      </c>
      <c r="M14" s="68">
        <v>31.9</v>
      </c>
      <c r="N14" s="68">
        <v>28.2</v>
      </c>
      <c r="O14" s="69">
        <v>24</v>
      </c>
      <c r="P14" s="68">
        <v>34.1</v>
      </c>
      <c r="Q14" s="68">
        <v>40.299999999999997</v>
      </c>
    </row>
    <row r="15" spans="1:17">
      <c r="B15" s="62">
        <v>0.1</v>
      </c>
      <c r="C15" s="68">
        <v>5.6</v>
      </c>
      <c r="D15" s="68">
        <v>6.5</v>
      </c>
      <c r="E15" s="68">
        <v>3.8</v>
      </c>
      <c r="F15" s="68">
        <v>7.1</v>
      </c>
      <c r="G15" s="68">
        <v>14.1</v>
      </c>
      <c r="H15" s="68">
        <v>24.8</v>
      </c>
      <c r="I15" s="68">
        <v>33.9</v>
      </c>
      <c r="J15" s="68">
        <v>39.799999999999997</v>
      </c>
      <c r="K15" s="68">
        <v>43.2</v>
      </c>
      <c r="L15" s="68">
        <v>43.4</v>
      </c>
      <c r="M15" s="68">
        <v>39.200000000000003</v>
      </c>
      <c r="N15" s="68">
        <v>31.7</v>
      </c>
      <c r="O15" s="69">
        <v>24.3</v>
      </c>
      <c r="P15" s="68">
        <v>47</v>
      </c>
      <c r="Q15" s="68">
        <v>65.2</v>
      </c>
    </row>
    <row r="16" spans="1:17">
      <c r="B16" s="62">
        <v>0</v>
      </c>
      <c r="C16" s="68">
        <v>5.6</v>
      </c>
      <c r="D16" s="68">
        <v>6.5</v>
      </c>
      <c r="E16" s="68">
        <v>3.8</v>
      </c>
      <c r="F16" s="68">
        <v>7.6</v>
      </c>
      <c r="G16" s="68">
        <v>16</v>
      </c>
      <c r="H16" s="68">
        <v>30</v>
      </c>
      <c r="I16" s="68">
        <v>44</v>
      </c>
      <c r="J16" s="68">
        <v>54.3</v>
      </c>
      <c r="K16" s="68">
        <v>60.9</v>
      </c>
      <c r="L16" s="68">
        <v>60.8</v>
      </c>
      <c r="M16" s="68">
        <v>53.4</v>
      </c>
      <c r="N16" s="68">
        <v>42.2</v>
      </c>
      <c r="O16" s="69">
        <v>31.4</v>
      </c>
      <c r="P16" s="68">
        <v>80.2</v>
      </c>
      <c r="Q16" s="68">
        <v>72.900000000000006</v>
      </c>
    </row>
    <row r="17" spans="1:17" ht="30">
      <c r="B17" s="67" t="s">
        <v>48</v>
      </c>
      <c r="C17" s="68">
        <v>5.6</v>
      </c>
      <c r="D17" s="68">
        <v>6.5</v>
      </c>
      <c r="E17" s="68">
        <v>3.8</v>
      </c>
      <c r="F17" s="68">
        <v>3.2</v>
      </c>
      <c r="G17" s="68">
        <v>3.8</v>
      </c>
      <c r="H17" s="68">
        <v>4</v>
      </c>
      <c r="I17" s="68">
        <v>3.6</v>
      </c>
      <c r="J17" s="68">
        <v>3.4</v>
      </c>
      <c r="K17" s="68">
        <v>3.8</v>
      </c>
      <c r="L17" s="68">
        <v>4.7</v>
      </c>
      <c r="M17" s="68">
        <v>4.9000000000000004</v>
      </c>
      <c r="N17" s="68">
        <v>4.9000000000000004</v>
      </c>
      <c r="O17" s="69">
        <v>5.0999999999999996</v>
      </c>
      <c r="P17" s="68">
        <v>7.8</v>
      </c>
      <c r="Q17" s="68">
        <v>8</v>
      </c>
    </row>
    <row r="19" spans="1:17" s="224" customFormat="1" ht="13.5">
      <c r="A19" s="224" t="s">
        <v>55</v>
      </c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</row>
    <row r="20" spans="1:17">
      <c r="B20" s="62" t="s">
        <v>47</v>
      </c>
      <c r="C20" s="63">
        <v>2021</v>
      </c>
      <c r="D20" s="63">
        <v>2022</v>
      </c>
      <c r="E20" s="63">
        <v>2023</v>
      </c>
      <c r="F20" s="63">
        <v>2024</v>
      </c>
      <c r="G20" s="63">
        <v>2025</v>
      </c>
      <c r="H20" s="63">
        <v>2026</v>
      </c>
      <c r="I20" s="63">
        <v>2027</v>
      </c>
      <c r="J20" s="63">
        <v>2028</v>
      </c>
      <c r="K20" s="63">
        <v>2029</v>
      </c>
      <c r="L20" s="63">
        <v>2030</v>
      </c>
      <c r="M20" s="63">
        <v>2031</v>
      </c>
      <c r="N20" s="63">
        <v>2032</v>
      </c>
      <c r="O20" s="64">
        <v>2033</v>
      </c>
      <c r="P20" s="63">
        <v>2043</v>
      </c>
      <c r="Q20" s="63">
        <v>2053</v>
      </c>
    </row>
    <row r="21" spans="1:17">
      <c r="B21" s="62">
        <v>1</v>
      </c>
      <c r="C21" s="68">
        <v>7.3</v>
      </c>
      <c r="D21" s="68">
        <v>7.9</v>
      </c>
      <c r="E21" s="68">
        <v>6.8</v>
      </c>
      <c r="F21" s="68">
        <v>7.4</v>
      </c>
      <c r="G21" s="68">
        <v>7.9</v>
      </c>
      <c r="H21" s="68">
        <v>8</v>
      </c>
      <c r="I21" s="68">
        <v>8.4</v>
      </c>
      <c r="J21" s="68">
        <v>10.6</v>
      </c>
      <c r="K21" s="68">
        <v>12</v>
      </c>
      <c r="L21" s="68">
        <v>13.1</v>
      </c>
      <c r="M21" s="68">
        <v>13.6</v>
      </c>
      <c r="N21" s="68">
        <v>14.4</v>
      </c>
      <c r="O21" s="69">
        <v>16.3</v>
      </c>
      <c r="P21" s="68">
        <v>20</v>
      </c>
      <c r="Q21" s="68">
        <v>20.100000000000001</v>
      </c>
    </row>
    <row r="22" spans="1:17">
      <c r="B22" s="62">
        <v>0.9</v>
      </c>
      <c r="C22" s="68">
        <v>7.3</v>
      </c>
      <c r="D22" s="68">
        <v>7.9</v>
      </c>
      <c r="E22" s="68">
        <v>6.4</v>
      </c>
      <c r="F22" s="68">
        <v>7.3</v>
      </c>
      <c r="G22" s="68">
        <v>8</v>
      </c>
      <c r="H22" s="68">
        <v>8.1999999999999993</v>
      </c>
      <c r="I22" s="68">
        <v>8.8000000000000007</v>
      </c>
      <c r="J22" s="68">
        <v>11.2</v>
      </c>
      <c r="K22" s="68">
        <v>12.8</v>
      </c>
      <c r="L22" s="68">
        <v>14.1</v>
      </c>
      <c r="M22" s="68">
        <v>14.7</v>
      </c>
      <c r="N22" s="68">
        <v>15.3</v>
      </c>
      <c r="O22" s="69">
        <v>17</v>
      </c>
      <c r="P22" s="68">
        <v>20</v>
      </c>
      <c r="Q22" s="68">
        <v>20</v>
      </c>
    </row>
    <row r="23" spans="1:17">
      <c r="B23" s="62">
        <v>0.8</v>
      </c>
      <c r="C23" s="68">
        <v>7.3</v>
      </c>
      <c r="D23" s="68">
        <v>7.9</v>
      </c>
      <c r="E23" s="68">
        <v>5.9</v>
      </c>
      <c r="F23" s="68">
        <v>7.1</v>
      </c>
      <c r="G23" s="68">
        <v>7.9</v>
      </c>
      <c r="H23" s="68">
        <v>8.5</v>
      </c>
      <c r="I23" s="68">
        <v>9.1999999999999993</v>
      </c>
      <c r="J23" s="68">
        <v>11.6</v>
      </c>
      <c r="K23" s="68">
        <v>13.4</v>
      </c>
      <c r="L23" s="68">
        <v>14.8</v>
      </c>
      <c r="M23" s="68">
        <v>15.6</v>
      </c>
      <c r="N23" s="68">
        <v>16</v>
      </c>
      <c r="O23" s="69">
        <v>17.3</v>
      </c>
      <c r="P23" s="68">
        <v>19.5</v>
      </c>
      <c r="Q23" s="68">
        <v>19.399999999999999</v>
      </c>
    </row>
    <row r="24" spans="1:17">
      <c r="B24" s="62">
        <v>0.7</v>
      </c>
      <c r="C24" s="68">
        <v>7.3</v>
      </c>
      <c r="D24" s="68">
        <v>7.9</v>
      </c>
      <c r="E24" s="68">
        <v>5.3</v>
      </c>
      <c r="F24" s="68">
        <v>6.9</v>
      </c>
      <c r="G24" s="68">
        <v>7.8</v>
      </c>
      <c r="H24" s="68">
        <v>8.6999999999999993</v>
      </c>
      <c r="I24" s="68">
        <v>9.5</v>
      </c>
      <c r="J24" s="68">
        <v>11.8</v>
      </c>
      <c r="K24" s="68">
        <v>13.6</v>
      </c>
      <c r="L24" s="68">
        <v>15.2</v>
      </c>
      <c r="M24" s="68">
        <v>16.100000000000001</v>
      </c>
      <c r="N24" s="68">
        <v>16.3</v>
      </c>
      <c r="O24" s="69">
        <v>17.100000000000001</v>
      </c>
      <c r="P24" s="68">
        <v>18.600000000000001</v>
      </c>
      <c r="Q24" s="68">
        <v>18.600000000000001</v>
      </c>
    </row>
    <row r="25" spans="1:17">
      <c r="B25" s="62">
        <v>0.6</v>
      </c>
      <c r="C25" s="68">
        <v>7.3</v>
      </c>
      <c r="D25" s="68">
        <v>7.9</v>
      </c>
      <c r="E25" s="68">
        <v>4.7</v>
      </c>
      <c r="F25" s="68">
        <v>6.4</v>
      </c>
      <c r="G25" s="68">
        <v>7.6</v>
      </c>
      <c r="H25" s="68">
        <v>8.8000000000000007</v>
      </c>
      <c r="I25" s="68">
        <v>9.6999999999999993</v>
      </c>
      <c r="J25" s="68">
        <v>11.8</v>
      </c>
      <c r="K25" s="68">
        <v>13.5</v>
      </c>
      <c r="L25" s="68">
        <v>15.1</v>
      </c>
      <c r="M25" s="68">
        <v>16</v>
      </c>
      <c r="N25" s="68">
        <v>16</v>
      </c>
      <c r="O25" s="69">
        <v>16.399999999999999</v>
      </c>
      <c r="P25" s="68">
        <v>17.5</v>
      </c>
      <c r="Q25" s="68">
        <v>17.399999999999999</v>
      </c>
    </row>
    <row r="26" spans="1:17">
      <c r="B26" s="62">
        <v>0.5</v>
      </c>
      <c r="C26" s="68">
        <v>7.3</v>
      </c>
      <c r="D26" s="68">
        <v>7.9</v>
      </c>
      <c r="E26" s="68">
        <v>4.0999999999999996</v>
      </c>
      <c r="F26" s="68">
        <v>5.9</v>
      </c>
      <c r="G26" s="68">
        <v>7.2</v>
      </c>
      <c r="H26" s="68">
        <v>8.6999999999999993</v>
      </c>
      <c r="I26" s="68">
        <v>9.8000000000000007</v>
      </c>
      <c r="J26" s="68">
        <v>11.5</v>
      </c>
      <c r="K26" s="68">
        <v>12.9</v>
      </c>
      <c r="L26" s="68">
        <v>14.2</v>
      </c>
      <c r="M26" s="68">
        <v>15</v>
      </c>
      <c r="N26" s="68">
        <v>14.8</v>
      </c>
      <c r="O26" s="69">
        <v>15</v>
      </c>
      <c r="P26" s="68">
        <v>16.100000000000001</v>
      </c>
      <c r="Q26" s="68">
        <v>15.9</v>
      </c>
    </row>
    <row r="27" spans="1:17">
      <c r="B27" s="62">
        <v>0.4</v>
      </c>
      <c r="C27" s="68">
        <v>7.3</v>
      </c>
      <c r="D27" s="68">
        <v>7.9</v>
      </c>
      <c r="E27" s="68">
        <v>3.4</v>
      </c>
      <c r="F27" s="68">
        <v>5.2</v>
      </c>
      <c r="G27" s="68">
        <v>6.6</v>
      </c>
      <c r="H27" s="68">
        <v>8.3000000000000007</v>
      </c>
      <c r="I27" s="68">
        <v>9.6</v>
      </c>
      <c r="J27" s="68">
        <v>10.9</v>
      </c>
      <c r="K27" s="68">
        <v>11.8</v>
      </c>
      <c r="L27" s="68">
        <v>12.7</v>
      </c>
      <c r="M27" s="68">
        <v>13.1</v>
      </c>
      <c r="N27" s="68">
        <v>12.7</v>
      </c>
      <c r="O27" s="69">
        <v>12.7</v>
      </c>
      <c r="P27" s="68">
        <v>14.2</v>
      </c>
      <c r="Q27" s="68">
        <v>14.2</v>
      </c>
    </row>
    <row r="28" spans="1:17">
      <c r="B28" s="62">
        <v>0.3</v>
      </c>
      <c r="C28" s="68">
        <v>7.3</v>
      </c>
      <c r="D28" s="68">
        <v>7.9</v>
      </c>
      <c r="E28" s="68">
        <v>2.7</v>
      </c>
      <c r="F28" s="68">
        <v>4.3</v>
      </c>
      <c r="G28" s="68">
        <v>5.7</v>
      </c>
      <c r="H28" s="68">
        <v>7.6</v>
      </c>
      <c r="I28" s="68">
        <v>8.9</v>
      </c>
      <c r="J28" s="68">
        <v>9.9</v>
      </c>
      <c r="K28" s="68">
        <v>10.4</v>
      </c>
      <c r="L28" s="68">
        <v>10.6</v>
      </c>
      <c r="M28" s="68">
        <v>10.5</v>
      </c>
      <c r="N28" s="68">
        <v>9.8000000000000007</v>
      </c>
      <c r="O28" s="69">
        <v>9.5</v>
      </c>
      <c r="P28" s="68">
        <v>11.4</v>
      </c>
      <c r="Q28" s="68">
        <v>12.1</v>
      </c>
    </row>
    <row r="29" spans="1:17">
      <c r="B29" s="62">
        <v>0.2</v>
      </c>
      <c r="C29" s="68">
        <v>7.3</v>
      </c>
      <c r="D29" s="68">
        <v>7.9</v>
      </c>
      <c r="E29" s="68">
        <v>1.8</v>
      </c>
      <c r="F29" s="68">
        <v>3.1</v>
      </c>
      <c r="G29" s="68">
        <v>4.5</v>
      </c>
      <c r="H29" s="68">
        <v>6.2</v>
      </c>
      <c r="I29" s="68">
        <v>7.5</v>
      </c>
      <c r="J29" s="68">
        <v>8.1999999999999993</v>
      </c>
      <c r="K29" s="68">
        <v>8.4</v>
      </c>
      <c r="L29" s="68">
        <v>8.1999999999999993</v>
      </c>
      <c r="M29" s="68">
        <v>7.6</v>
      </c>
      <c r="N29" s="68">
        <v>6.7</v>
      </c>
      <c r="O29" s="69">
        <v>6.1</v>
      </c>
      <c r="P29" s="68">
        <v>8.1999999999999993</v>
      </c>
      <c r="Q29" s="68">
        <v>10.1</v>
      </c>
    </row>
    <row r="30" spans="1:17">
      <c r="B30" s="62">
        <v>0.1</v>
      </c>
      <c r="C30" s="68">
        <v>7.3</v>
      </c>
      <c r="D30" s="68">
        <v>7.9</v>
      </c>
      <c r="E30" s="68">
        <v>1</v>
      </c>
      <c r="F30" s="68">
        <v>1.7</v>
      </c>
      <c r="G30" s="68">
        <v>2.6</v>
      </c>
      <c r="H30" s="68">
        <v>3.8</v>
      </c>
      <c r="I30" s="68">
        <v>4.8</v>
      </c>
      <c r="J30" s="68">
        <v>5.4</v>
      </c>
      <c r="K30" s="68">
        <v>5.4</v>
      </c>
      <c r="L30" s="68">
        <v>5.2</v>
      </c>
      <c r="M30" s="68">
        <v>4.5</v>
      </c>
      <c r="N30" s="68">
        <v>3.7</v>
      </c>
      <c r="O30" s="69">
        <v>3</v>
      </c>
      <c r="P30" s="68">
        <v>5.4</v>
      </c>
      <c r="Q30" s="68">
        <v>8.1</v>
      </c>
    </row>
    <row r="31" spans="1:17">
      <c r="B31" s="62">
        <v>0</v>
      </c>
      <c r="C31" s="68">
        <v>7.3</v>
      </c>
      <c r="D31" s="68">
        <v>7.9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6">
        <v>0</v>
      </c>
      <c r="P31" s="65">
        <v>0</v>
      </c>
      <c r="Q31" s="65">
        <v>0</v>
      </c>
    </row>
    <row r="32" spans="1:17" ht="30">
      <c r="B32" s="67" t="s">
        <v>48</v>
      </c>
      <c r="C32" s="68">
        <v>7.3</v>
      </c>
      <c r="D32" s="68">
        <v>7.9</v>
      </c>
      <c r="E32" s="68">
        <v>7.7</v>
      </c>
      <c r="F32" s="68">
        <v>7.9</v>
      </c>
      <c r="G32" s="68">
        <v>7.5</v>
      </c>
      <c r="H32" s="68">
        <v>7</v>
      </c>
      <c r="I32" s="68">
        <v>7.2</v>
      </c>
      <c r="J32" s="68">
        <v>9.1</v>
      </c>
      <c r="K32" s="68">
        <v>9.9</v>
      </c>
      <c r="L32" s="68">
        <v>10.4</v>
      </c>
      <c r="M32" s="68">
        <v>11</v>
      </c>
      <c r="N32" s="68">
        <v>11.9</v>
      </c>
      <c r="O32" s="69">
        <v>13.9</v>
      </c>
      <c r="P32" s="68">
        <v>18.899999999999999</v>
      </c>
      <c r="Q32" s="68">
        <v>19.2</v>
      </c>
    </row>
    <row r="33" spans="3:17">
      <c r="C33" s="70"/>
    </row>
    <row r="34" spans="3:17"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</row>
    <row r="35" spans="3:17"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</row>
    <row r="36" spans="3:17"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</row>
    <row r="37" spans="3:17"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3:17"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spans="3:17"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</row>
    <row r="40" spans="3:17"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spans="3:17"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3:17"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</row>
    <row r="43" spans="3:17"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</row>
    <row r="44" spans="3:17"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spans="3:17"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spans="3:17">
      <c r="C46" s="70"/>
    </row>
  </sheetData>
  <phoneticPr fontId="2"/>
  <conditionalFormatting sqref="C6:Q17">
    <cfRule type="colorScale" priority="14">
      <colorScale>
        <cfvo type="min"/>
        <cfvo type="max"/>
        <color theme="0"/>
        <color rgb="FF3AA8DA"/>
      </colorScale>
    </cfRule>
    <cfRule type="colorScale" priority="15">
      <colorScale>
        <cfvo type="min"/>
        <cfvo type="max"/>
        <color rgb="FF3AA8DA"/>
        <color theme="0"/>
      </colorScale>
    </cfRule>
    <cfRule type="colorScale" priority="16">
      <colorScale>
        <cfvo type="min"/>
        <cfvo type="max"/>
        <color theme="0"/>
        <color theme="9"/>
      </colorScale>
    </cfRule>
  </conditionalFormatting>
  <conditionalFormatting sqref="C21:Q32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3AA8DA"/>
      </colorScale>
    </cfRule>
    <cfRule type="colorScale" priority="3">
      <colorScale>
        <cfvo type="min"/>
        <cfvo type="max"/>
        <color theme="0"/>
        <color rgb="FF60A3E6"/>
      </colorScale>
    </cfRule>
    <cfRule type="colorScale" priority="4">
      <colorScale>
        <cfvo type="min"/>
        <cfvo type="max"/>
        <color theme="0"/>
        <color rgb="FF6BB0EF"/>
      </colorScale>
    </cfRule>
    <cfRule type="colorScale" priority="5">
      <colorScale>
        <cfvo type="min"/>
        <cfvo type="max"/>
        <color theme="0"/>
        <color theme="8"/>
      </colorScale>
    </cfRule>
    <cfRule type="colorScale" priority="6">
      <colorScale>
        <cfvo type="min"/>
        <cfvo type="max"/>
        <color theme="0"/>
        <color rgb="FF0099FF"/>
      </colorScale>
    </cfRule>
    <cfRule type="colorScale" priority="7">
      <colorScale>
        <cfvo type="min"/>
        <cfvo type="max"/>
        <color theme="0"/>
        <color rgb="FF0066FF"/>
      </colorScale>
    </cfRule>
    <cfRule type="colorScale" priority="8">
      <colorScale>
        <cfvo type="min"/>
        <cfvo type="max"/>
        <color theme="0"/>
        <color rgb="FF0099FF"/>
      </colorScale>
    </cfRule>
    <cfRule type="colorScale" priority="9">
      <colorScale>
        <cfvo type="min"/>
        <cfvo type="max"/>
        <color theme="0"/>
        <color rgb="FFAFB8ED"/>
      </colorScale>
    </cfRule>
    <cfRule type="colorScale" priority="10">
      <colorScale>
        <cfvo type="min"/>
        <cfvo type="max"/>
        <color theme="0"/>
        <color rgb="FF3399FF"/>
      </colorScale>
    </cfRule>
    <cfRule type="colorScale" priority="11">
      <colorScale>
        <cfvo type="min"/>
        <cfvo type="max"/>
        <color theme="0"/>
        <color rgb="FFB4BFE8"/>
      </colorScale>
    </cfRule>
    <cfRule type="colorScale" priority="12">
      <colorScale>
        <cfvo type="min"/>
        <cfvo type="max"/>
        <color theme="0"/>
        <color rgb="FF00B0F0"/>
      </colorScale>
    </cfRule>
    <cfRule type="colorScale" priority="13">
      <colorScale>
        <cfvo type="min"/>
        <cfvo type="max"/>
        <color theme="0"/>
        <color rgb="FF3399FF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FF36-5A93-4B63-8C3E-7C15A00B6F6F}">
  <dimension ref="A1:N18"/>
  <sheetViews>
    <sheetView topLeftCell="A2" workbookViewId="0">
      <selection activeCell="I26" sqref="I26"/>
    </sheetView>
  </sheetViews>
  <sheetFormatPr defaultRowHeight="18.75"/>
  <cols>
    <col min="4" max="4" width="9.875" customWidth="1"/>
  </cols>
  <sheetData>
    <row r="1" spans="1:14">
      <c r="A1" t="s">
        <v>0</v>
      </c>
    </row>
    <row r="3" spans="1:14">
      <c r="A3" s="71" t="s">
        <v>56</v>
      </c>
    </row>
    <row r="4" spans="1:14" ht="19.5" thickBot="1"/>
    <row r="5" spans="1:14" s="75" customFormat="1" ht="27">
      <c r="A5" s="227"/>
      <c r="B5" s="227" t="s">
        <v>66</v>
      </c>
      <c r="C5" s="227" t="s">
        <v>70</v>
      </c>
      <c r="D5" s="227" t="s">
        <v>71</v>
      </c>
      <c r="E5" s="227" t="s">
        <v>67</v>
      </c>
      <c r="F5" s="227" t="s">
        <v>68</v>
      </c>
      <c r="G5" s="227" t="s">
        <v>69</v>
      </c>
      <c r="H5" s="74"/>
      <c r="I5" s="74"/>
      <c r="J5" s="74"/>
      <c r="K5" s="74"/>
      <c r="L5" s="74"/>
      <c r="M5" s="74"/>
      <c r="N5" s="74"/>
    </row>
    <row r="6" spans="1:14">
      <c r="A6" s="72" t="s">
        <v>58</v>
      </c>
      <c r="B6" s="244">
        <v>0.16</v>
      </c>
      <c r="C6" s="244">
        <v>0.23</v>
      </c>
      <c r="D6" s="245">
        <v>0.3</v>
      </c>
      <c r="E6" s="244">
        <v>285</v>
      </c>
      <c r="F6" s="244">
        <v>0.35699999999999998</v>
      </c>
      <c r="G6" s="244">
        <v>0</v>
      </c>
      <c r="H6" s="70"/>
      <c r="I6" s="70"/>
      <c r="J6" s="70"/>
      <c r="K6" s="70"/>
      <c r="L6" s="70"/>
      <c r="M6" s="70"/>
      <c r="N6" s="70"/>
    </row>
    <row r="7" spans="1:14">
      <c r="A7" s="72" t="s">
        <v>59</v>
      </c>
      <c r="B7" s="244">
        <v>0.53</v>
      </c>
      <c r="C7" s="244">
        <v>0.75</v>
      </c>
      <c r="D7" s="244">
        <v>0.96</v>
      </c>
      <c r="E7" s="246">
        <v>1239</v>
      </c>
      <c r="F7" s="244">
        <v>0.35699999999999998</v>
      </c>
      <c r="G7" s="244">
        <v>0</v>
      </c>
      <c r="H7" s="70"/>
      <c r="I7" s="70"/>
      <c r="J7" s="70"/>
      <c r="K7" s="70"/>
      <c r="L7" s="70"/>
      <c r="M7" s="70"/>
      <c r="N7" s="70"/>
    </row>
    <row r="8" spans="1:14">
      <c r="A8" s="72" t="s">
        <v>60</v>
      </c>
      <c r="B8" s="244">
        <v>0.48</v>
      </c>
      <c r="C8" s="244">
        <v>0.69</v>
      </c>
      <c r="D8" s="244">
        <v>0.88</v>
      </c>
      <c r="E8" s="246">
        <v>2402</v>
      </c>
      <c r="F8" s="244">
        <v>0.35699999999999998</v>
      </c>
      <c r="G8" s="244" t="s">
        <v>61</v>
      </c>
      <c r="H8" s="70"/>
      <c r="I8" s="70"/>
      <c r="J8" s="70"/>
      <c r="K8" s="70"/>
      <c r="L8" s="70"/>
      <c r="M8" s="70"/>
      <c r="N8" s="70"/>
    </row>
    <row r="9" spans="1:14">
      <c r="A9" s="72" t="s">
        <v>62</v>
      </c>
      <c r="B9" s="244">
        <v>0.66</v>
      </c>
      <c r="C9" s="244">
        <v>0.95</v>
      </c>
      <c r="D9" s="244">
        <v>1.22</v>
      </c>
      <c r="E9" s="246">
        <v>3999</v>
      </c>
      <c r="F9" s="244">
        <v>0.35699999999999998</v>
      </c>
      <c r="G9" s="244" t="s">
        <v>63</v>
      </c>
      <c r="H9" s="70"/>
      <c r="I9" s="70"/>
      <c r="J9" s="70"/>
      <c r="K9" s="70"/>
      <c r="L9" s="70"/>
      <c r="M9" s="70"/>
      <c r="N9" s="70"/>
    </row>
    <row r="10" spans="1:14">
      <c r="A10" s="72" t="s">
        <v>64</v>
      </c>
      <c r="B10" s="245">
        <v>1</v>
      </c>
      <c r="C10" s="244">
        <v>1.42</v>
      </c>
      <c r="D10" s="244">
        <v>1.81</v>
      </c>
      <c r="E10" s="246">
        <v>5788</v>
      </c>
      <c r="F10" s="244">
        <v>0.35699999999999998</v>
      </c>
      <c r="G10" s="244">
        <v>1</v>
      </c>
      <c r="H10" s="70"/>
      <c r="I10" s="70"/>
      <c r="J10" s="70"/>
      <c r="K10" s="70"/>
      <c r="L10" s="70"/>
      <c r="M10" s="70"/>
      <c r="N10" s="70"/>
    </row>
    <row r="11" spans="1:14" ht="19.5" thickBot="1">
      <c r="A11" s="73" t="s">
        <v>65</v>
      </c>
      <c r="B11" s="247">
        <v>1</v>
      </c>
      <c r="C11" s="248">
        <v>1.42</v>
      </c>
      <c r="D11" s="248">
        <v>1.81</v>
      </c>
      <c r="E11" s="249">
        <v>8065</v>
      </c>
      <c r="F11" s="248">
        <v>0.35699999999999998</v>
      </c>
      <c r="G11" s="248">
        <v>1</v>
      </c>
      <c r="H11" s="70"/>
      <c r="I11" s="70"/>
      <c r="J11" s="70"/>
      <c r="K11" s="70"/>
      <c r="L11" s="70"/>
      <c r="M11" s="70"/>
      <c r="N11" s="70"/>
    </row>
    <row r="12" spans="1:14">
      <c r="C12" s="70"/>
    </row>
    <row r="13" spans="1:14">
      <c r="A13" t="s">
        <v>197</v>
      </c>
    </row>
    <row r="14" spans="1:14">
      <c r="A14" t="s">
        <v>198</v>
      </c>
    </row>
    <row r="15" spans="1:14">
      <c r="A15" t="s">
        <v>199</v>
      </c>
    </row>
    <row r="16" spans="1:14">
      <c r="A16" t="s">
        <v>200</v>
      </c>
    </row>
    <row r="17" spans="1:1" ht="20.25">
      <c r="A17" t="s">
        <v>202</v>
      </c>
    </row>
    <row r="18" spans="1:1" ht="20.25">
      <c r="A18" t="s">
        <v>203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4F11-1643-496C-ADAA-C93A8AF865B1}">
  <dimension ref="A1:H6"/>
  <sheetViews>
    <sheetView workbookViewId="0">
      <selection activeCell="J10" sqref="J10"/>
    </sheetView>
  </sheetViews>
  <sheetFormatPr defaultRowHeight="18.75"/>
  <cols>
    <col min="2" max="2" width="12.375" bestFit="1" customWidth="1"/>
    <col min="3" max="3" width="10.375" bestFit="1" customWidth="1"/>
    <col min="4" max="4" width="8.5" bestFit="1" customWidth="1"/>
    <col min="5" max="5" width="6.375" customWidth="1"/>
    <col min="6" max="6" width="11.375" bestFit="1" customWidth="1"/>
    <col min="7" max="8" width="5" bestFit="1" customWidth="1"/>
  </cols>
  <sheetData>
    <row r="1" spans="1:8">
      <c r="A1" t="s">
        <v>0</v>
      </c>
    </row>
    <row r="3" spans="1:8" s="224" customFormat="1" ht="13.5">
      <c r="A3" s="231" t="s">
        <v>201</v>
      </c>
    </row>
    <row r="5" spans="1:8">
      <c r="B5" s="76" t="s">
        <v>76</v>
      </c>
      <c r="C5" s="76" t="s">
        <v>77</v>
      </c>
      <c r="D5" s="76" t="s">
        <v>78</v>
      </c>
      <c r="E5" s="76" t="s">
        <v>72</v>
      </c>
      <c r="F5" s="76" t="s">
        <v>73</v>
      </c>
      <c r="G5" s="76" t="s">
        <v>74</v>
      </c>
      <c r="H5" s="76" t="s">
        <v>75</v>
      </c>
    </row>
    <row r="6" spans="1:8">
      <c r="B6" s="228" t="s">
        <v>79</v>
      </c>
      <c r="C6" s="228" t="s">
        <v>80</v>
      </c>
      <c r="D6" s="228" t="s">
        <v>81</v>
      </c>
      <c r="E6" s="229">
        <v>9116</v>
      </c>
      <c r="F6" s="228" t="s">
        <v>204</v>
      </c>
      <c r="G6" s="230">
        <v>0.36</v>
      </c>
      <c r="H6" s="230">
        <v>0.63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65B7-63CC-4161-9120-AB7937696501}">
  <dimension ref="A1:C15"/>
  <sheetViews>
    <sheetView workbookViewId="0">
      <selection activeCell="B19" sqref="B19"/>
    </sheetView>
  </sheetViews>
  <sheetFormatPr defaultRowHeight="18.75"/>
  <cols>
    <col min="1" max="2" width="21.375" customWidth="1"/>
    <col min="3" max="3" width="28.625" customWidth="1"/>
  </cols>
  <sheetData>
    <row r="1" spans="1:3">
      <c r="A1" t="s">
        <v>0</v>
      </c>
    </row>
    <row r="3" spans="1:3" s="77" customFormat="1">
      <c r="A3" s="71" t="s">
        <v>82</v>
      </c>
    </row>
    <row r="4" spans="1:3" ht="19.5" thickBot="1">
      <c r="A4" s="71"/>
    </row>
    <row r="5" spans="1:3" ht="19.5" thickBot="1">
      <c r="A5" s="78" t="s">
        <v>83</v>
      </c>
      <c r="B5" s="79" t="s">
        <v>84</v>
      </c>
      <c r="C5" s="79" t="s">
        <v>85</v>
      </c>
    </row>
    <row r="6" spans="1:3" ht="28.5" customHeight="1" thickBot="1">
      <c r="A6" s="80" t="s">
        <v>86</v>
      </c>
      <c r="B6" s="81" t="s">
        <v>87</v>
      </c>
      <c r="C6" s="82" t="s">
        <v>88</v>
      </c>
    </row>
    <row r="7" spans="1:3" ht="28.5" customHeight="1" thickBot="1">
      <c r="A7" s="80" t="s">
        <v>89</v>
      </c>
      <c r="B7" s="81" t="s">
        <v>90</v>
      </c>
      <c r="C7" s="82" t="s">
        <v>91</v>
      </c>
    </row>
    <row r="8" spans="1:3" ht="28.5" customHeight="1">
      <c r="A8" s="250" t="s">
        <v>92</v>
      </c>
      <c r="B8" s="252" t="s">
        <v>93</v>
      </c>
      <c r="C8" s="83" t="s">
        <v>94</v>
      </c>
    </row>
    <row r="9" spans="1:3" ht="28.5" customHeight="1" thickBot="1">
      <c r="A9" s="251"/>
      <c r="B9" s="253"/>
      <c r="C9" s="82" t="s">
        <v>95</v>
      </c>
    </row>
    <row r="10" spans="1:3" ht="28.5" customHeight="1">
      <c r="A10" s="250" t="s">
        <v>57</v>
      </c>
      <c r="B10" s="255" t="s">
        <v>96</v>
      </c>
      <c r="C10" s="256"/>
    </row>
    <row r="11" spans="1:3" ht="28.5" customHeight="1">
      <c r="A11" s="254"/>
      <c r="B11" s="257" t="s">
        <v>97</v>
      </c>
      <c r="C11" s="258"/>
    </row>
    <row r="12" spans="1:3" ht="28.5" customHeight="1" thickBot="1">
      <c r="A12" s="251"/>
      <c r="B12" s="259" t="s">
        <v>98</v>
      </c>
      <c r="C12" s="260"/>
    </row>
    <row r="13" spans="1:3" ht="28.5" customHeight="1" thickBot="1">
      <c r="A13" s="80" t="s">
        <v>99</v>
      </c>
      <c r="B13" s="87">
        <v>5.8999999999999997E-2</v>
      </c>
      <c r="C13" s="84" t="s">
        <v>100</v>
      </c>
    </row>
    <row r="14" spans="1:3" ht="28.5" customHeight="1" thickBot="1">
      <c r="A14" s="80" t="s">
        <v>101</v>
      </c>
      <c r="B14" s="81" t="s">
        <v>102</v>
      </c>
      <c r="C14" s="82" t="s">
        <v>103</v>
      </c>
    </row>
    <row r="15" spans="1:3">
      <c r="A15" s="86"/>
    </row>
  </sheetData>
  <mergeCells count="6">
    <mergeCell ref="A8:A9"/>
    <mergeCell ref="B8:B9"/>
    <mergeCell ref="A10:A12"/>
    <mergeCell ref="B10:C10"/>
    <mergeCell ref="B11:C11"/>
    <mergeCell ref="B12:C12"/>
  </mergeCells>
  <phoneticPr fontId="2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41CD-B784-41EB-BC39-CEDFF3607181}">
  <dimension ref="A1:C20"/>
  <sheetViews>
    <sheetView workbookViewId="0">
      <selection activeCell="H7" sqref="H7"/>
    </sheetView>
  </sheetViews>
  <sheetFormatPr defaultRowHeight="18.75"/>
  <cols>
    <col min="1" max="1" width="21.375" customWidth="1"/>
    <col min="2" max="2" width="14.5" customWidth="1"/>
    <col min="3" max="3" width="28.625" customWidth="1"/>
  </cols>
  <sheetData>
    <row r="1" spans="1:3">
      <c r="A1" t="s">
        <v>0</v>
      </c>
    </row>
    <row r="3" spans="1:3" s="77" customFormat="1" ht="19.5" thickBot="1">
      <c r="A3" s="71" t="s">
        <v>104</v>
      </c>
      <c r="B3"/>
      <c r="C3"/>
    </row>
    <row r="4" spans="1:3" ht="19.5" thickBot="1">
      <c r="A4" s="88" t="s">
        <v>83</v>
      </c>
      <c r="B4" s="89" t="s">
        <v>84</v>
      </c>
      <c r="C4" s="89" t="s">
        <v>85</v>
      </c>
    </row>
    <row r="5" spans="1:3" ht="19.5" thickBot="1">
      <c r="A5" s="80" t="s">
        <v>105</v>
      </c>
      <c r="B5" s="81" t="s">
        <v>106</v>
      </c>
      <c r="C5" s="84" t="s">
        <v>107</v>
      </c>
    </row>
    <row r="6" spans="1:3" ht="28.5" customHeight="1">
      <c r="A6" s="250" t="s">
        <v>108</v>
      </c>
      <c r="B6" s="263" t="s">
        <v>109</v>
      </c>
      <c r="C6" s="264"/>
    </row>
    <row r="7" spans="1:3" ht="28.5" customHeight="1">
      <c r="A7" s="254"/>
      <c r="B7" s="257" t="s">
        <v>110</v>
      </c>
      <c r="C7" s="258"/>
    </row>
    <row r="8" spans="1:3" ht="28.5" customHeight="1" thickBot="1">
      <c r="A8" s="251"/>
      <c r="B8" s="265" t="s">
        <v>98</v>
      </c>
      <c r="C8" s="266"/>
    </row>
    <row r="9" spans="1:3" ht="28.5" customHeight="1" thickBot="1">
      <c r="A9" s="80" t="s">
        <v>111</v>
      </c>
      <c r="B9" s="90">
        <v>0.42</v>
      </c>
      <c r="C9" s="84" t="s">
        <v>112</v>
      </c>
    </row>
    <row r="10" spans="1:3" ht="28.5" customHeight="1" thickBot="1">
      <c r="A10" s="80" t="s">
        <v>113</v>
      </c>
      <c r="B10" s="87">
        <v>4.8000000000000001E-2</v>
      </c>
      <c r="C10" s="84" t="s">
        <v>114</v>
      </c>
    </row>
    <row r="11" spans="1:3" ht="28.5" customHeight="1" thickBot="1">
      <c r="A11" s="80" t="s">
        <v>115</v>
      </c>
      <c r="B11" s="87">
        <v>4.7E-2</v>
      </c>
      <c r="C11" s="82" t="s">
        <v>116</v>
      </c>
    </row>
    <row r="12" spans="1:3" ht="28.5" customHeight="1" thickBot="1">
      <c r="A12" s="267" t="s">
        <v>117</v>
      </c>
      <c r="B12" s="268"/>
      <c r="C12" s="269"/>
    </row>
    <row r="13" spans="1:3" ht="28.5" customHeight="1">
      <c r="A13" s="85" t="s">
        <v>118</v>
      </c>
      <c r="B13" s="252">
        <v>0.51</v>
      </c>
      <c r="C13" s="270" t="s">
        <v>120</v>
      </c>
    </row>
    <row r="14" spans="1:3" ht="28.5" customHeight="1" thickBot="1">
      <c r="A14" s="80" t="s">
        <v>119</v>
      </c>
      <c r="B14" s="253"/>
      <c r="C14" s="271"/>
    </row>
    <row r="15" spans="1:3" ht="27" thickBot="1">
      <c r="A15" s="80" t="s">
        <v>121</v>
      </c>
      <c r="B15" s="81">
        <v>1.25</v>
      </c>
      <c r="C15" s="82" t="s">
        <v>122</v>
      </c>
    </row>
    <row r="16" spans="1:3" ht="19.5" thickBot="1">
      <c r="A16" s="91" t="s">
        <v>123</v>
      </c>
      <c r="B16" s="272" t="s">
        <v>124</v>
      </c>
      <c r="C16" s="273"/>
    </row>
    <row r="17" spans="1:3" ht="19.5" thickBot="1">
      <c r="A17" s="91" t="s">
        <v>125</v>
      </c>
      <c r="B17" s="272" t="s">
        <v>126</v>
      </c>
      <c r="C17" s="273"/>
    </row>
    <row r="18" spans="1:3" ht="19.5" thickBot="1">
      <c r="A18" s="91" t="s">
        <v>127</v>
      </c>
      <c r="B18" s="261" t="s">
        <v>128</v>
      </c>
      <c r="C18" s="262"/>
    </row>
    <row r="19" spans="1:3">
      <c r="A19" s="75" t="s">
        <v>129</v>
      </c>
    </row>
    <row r="20" spans="1:3">
      <c r="A20" s="93"/>
    </row>
  </sheetData>
  <mergeCells count="10">
    <mergeCell ref="B18:C18"/>
    <mergeCell ref="A6:A8"/>
    <mergeCell ref="B6:C6"/>
    <mergeCell ref="B7:C7"/>
    <mergeCell ref="B8:C8"/>
    <mergeCell ref="A12:C12"/>
    <mergeCell ref="B13:B14"/>
    <mergeCell ref="C13:C14"/>
    <mergeCell ref="B16:C16"/>
    <mergeCell ref="B17:C17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075C-1CAB-4DBC-9A43-9CCA535D9360}">
  <dimension ref="A1:E15"/>
  <sheetViews>
    <sheetView workbookViewId="0">
      <selection activeCell="G17" sqref="G17"/>
    </sheetView>
  </sheetViews>
  <sheetFormatPr defaultRowHeight="18.75"/>
  <cols>
    <col min="1" max="5" width="16" customWidth="1"/>
  </cols>
  <sheetData>
    <row r="1" spans="1:5">
      <c r="A1" t="s">
        <v>0</v>
      </c>
    </row>
    <row r="3" spans="1:5" ht="19.5" thickBot="1">
      <c r="A3" s="71" t="s">
        <v>130</v>
      </c>
    </row>
    <row r="4" spans="1:5" ht="19.5" thickBot="1">
      <c r="A4" s="274" t="s">
        <v>131</v>
      </c>
      <c r="B4" s="275"/>
      <c r="C4" s="275"/>
      <c r="D4" s="276"/>
      <c r="E4" s="94"/>
    </row>
    <row r="5" spans="1:5">
      <c r="A5" s="277" t="s">
        <v>83</v>
      </c>
      <c r="B5" s="95" t="s">
        <v>132</v>
      </c>
      <c r="C5" s="96" t="s">
        <v>135</v>
      </c>
      <c r="D5" s="98" t="s">
        <v>132</v>
      </c>
    </row>
    <row r="6" spans="1:5">
      <c r="A6" s="278"/>
      <c r="B6" s="96" t="s">
        <v>133</v>
      </c>
      <c r="C6" s="96" t="s">
        <v>136</v>
      </c>
      <c r="D6" s="99" t="s">
        <v>138</v>
      </c>
    </row>
    <row r="7" spans="1:5" ht="19.5" thickBot="1">
      <c r="A7" s="279"/>
      <c r="B7" s="97" t="s">
        <v>134</v>
      </c>
      <c r="C7" s="97" t="s">
        <v>137</v>
      </c>
      <c r="D7" s="100"/>
    </row>
    <row r="8" spans="1:5" ht="19.5" thickBot="1">
      <c r="A8" s="101" t="s">
        <v>139</v>
      </c>
      <c r="B8" s="102">
        <v>6.8</v>
      </c>
      <c r="C8" s="103">
        <v>0.92</v>
      </c>
      <c r="D8" s="103">
        <v>40</v>
      </c>
    </row>
    <row r="9" spans="1:5" ht="19.5" thickBot="1">
      <c r="A9" s="104" t="s">
        <v>140</v>
      </c>
      <c r="B9" s="103">
        <v>5.9</v>
      </c>
      <c r="C9" s="103">
        <v>0.74</v>
      </c>
      <c r="D9" s="103">
        <v>35</v>
      </c>
      <c r="E9" s="94"/>
    </row>
    <row r="10" spans="1:5" ht="19.5" thickBot="1">
      <c r="A10" s="104" t="s">
        <v>141</v>
      </c>
      <c r="B10" s="103">
        <v>4.7</v>
      </c>
      <c r="C10" s="103">
        <v>0.55000000000000004</v>
      </c>
      <c r="D10" s="103">
        <v>28</v>
      </c>
      <c r="E10" s="94"/>
    </row>
    <row r="11" spans="1:5" ht="19.5" thickBot="1">
      <c r="A11" s="104" t="s">
        <v>142</v>
      </c>
      <c r="B11" s="103">
        <v>3.4</v>
      </c>
      <c r="C11" s="103">
        <v>0.37</v>
      </c>
      <c r="D11" s="103">
        <v>20</v>
      </c>
      <c r="E11" s="94"/>
    </row>
    <row r="12" spans="1:5" ht="19.5" thickBot="1">
      <c r="A12" s="104" t="s">
        <v>143</v>
      </c>
      <c r="B12" s="103">
        <v>1.8</v>
      </c>
      <c r="C12" s="103">
        <v>0.18</v>
      </c>
      <c r="D12" s="103">
        <v>11</v>
      </c>
      <c r="E12" s="94"/>
    </row>
    <row r="13" spans="1:5" ht="19.5" thickBot="1">
      <c r="A13" s="104" t="s">
        <v>144</v>
      </c>
      <c r="B13" s="103">
        <v>0</v>
      </c>
      <c r="C13" s="103">
        <v>0</v>
      </c>
      <c r="D13" s="103">
        <v>0</v>
      </c>
      <c r="E13" s="94"/>
    </row>
    <row r="14" spans="1:5" ht="19.5" thickBot="1">
      <c r="A14" s="104" t="s">
        <v>48</v>
      </c>
      <c r="B14" s="103">
        <v>7.7</v>
      </c>
      <c r="C14" s="232">
        <v>1</v>
      </c>
      <c r="D14" s="103">
        <v>45</v>
      </c>
      <c r="E14" s="94"/>
    </row>
    <row r="15" spans="1:5">
      <c r="A15" s="71"/>
    </row>
  </sheetData>
  <mergeCells count="2">
    <mergeCell ref="A4:D4"/>
    <mergeCell ref="A5:A7"/>
  </mergeCells>
  <phoneticPr fontId="2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DCB2-12E8-4069-840A-135F5B5CBAB9}">
  <dimension ref="A1:F30"/>
  <sheetViews>
    <sheetView topLeftCell="A12" workbookViewId="0">
      <selection activeCell="E32" sqref="E32"/>
    </sheetView>
  </sheetViews>
  <sheetFormatPr defaultRowHeight="18.75"/>
  <cols>
    <col min="1" max="6" width="19.625" customWidth="1"/>
  </cols>
  <sheetData>
    <row r="1" spans="1:6">
      <c r="A1" t="s">
        <v>0</v>
      </c>
    </row>
    <row r="3" spans="1:6">
      <c r="A3" s="71" t="s">
        <v>145</v>
      </c>
    </row>
    <row r="4" spans="1:6" ht="19.5" thickBot="1"/>
    <row r="5" spans="1:6" ht="19.5" thickBot="1">
      <c r="A5" s="283" t="s">
        <v>146</v>
      </c>
      <c r="B5" s="284"/>
      <c r="C5" s="284"/>
      <c r="D5" s="284"/>
      <c r="E5" s="284"/>
      <c r="F5" s="285"/>
    </row>
    <row r="6" spans="1:6">
      <c r="A6" s="286" t="s">
        <v>47</v>
      </c>
      <c r="B6" s="105" t="s">
        <v>147</v>
      </c>
      <c r="C6" s="108">
        <v>0.9</v>
      </c>
      <c r="D6" s="295" t="s">
        <v>150</v>
      </c>
      <c r="E6" s="296"/>
      <c r="F6" s="297"/>
    </row>
    <row r="7" spans="1:6">
      <c r="A7" s="287"/>
      <c r="B7" s="106" t="s">
        <v>148</v>
      </c>
      <c r="C7" s="99" t="s">
        <v>149</v>
      </c>
      <c r="D7" s="289" t="s">
        <v>151</v>
      </c>
      <c r="E7" s="290"/>
      <c r="F7" s="291"/>
    </row>
    <row r="8" spans="1:6">
      <c r="A8" s="287"/>
      <c r="B8" s="106" t="s">
        <v>134</v>
      </c>
      <c r="C8" s="99" t="s">
        <v>134</v>
      </c>
      <c r="D8" s="292" t="s">
        <v>86</v>
      </c>
      <c r="E8" s="95" t="s">
        <v>152</v>
      </c>
      <c r="F8" s="95" t="s">
        <v>154</v>
      </c>
    </row>
    <row r="9" spans="1:6" ht="19.5" thickBot="1">
      <c r="A9" s="288"/>
      <c r="B9" s="107"/>
      <c r="C9" s="109"/>
      <c r="D9" s="293"/>
      <c r="E9" s="110" t="s">
        <v>153</v>
      </c>
      <c r="F9" s="110" t="s">
        <v>153</v>
      </c>
    </row>
    <row r="10" spans="1:6" ht="19.5" thickBot="1">
      <c r="A10" s="104" t="s">
        <v>139</v>
      </c>
      <c r="B10" s="112">
        <v>8</v>
      </c>
      <c r="C10" s="112" t="s">
        <v>155</v>
      </c>
      <c r="D10" s="112">
        <v>21</v>
      </c>
      <c r="E10" s="112">
        <v>98</v>
      </c>
      <c r="F10" s="112">
        <v>100</v>
      </c>
    </row>
    <row r="11" spans="1:6" ht="19.5" thickBot="1">
      <c r="A11" s="104" t="s">
        <v>140</v>
      </c>
      <c r="B11" s="112">
        <v>12</v>
      </c>
      <c r="C11" s="112" t="s">
        <v>156</v>
      </c>
      <c r="D11" s="112">
        <v>48</v>
      </c>
      <c r="E11" s="112">
        <v>100</v>
      </c>
      <c r="F11" s="112">
        <v>100</v>
      </c>
    </row>
    <row r="12" spans="1:6" ht="19.5" thickBot="1">
      <c r="A12" s="104" t="s">
        <v>141</v>
      </c>
      <c r="B12" s="112">
        <v>18</v>
      </c>
      <c r="C12" s="112" t="s">
        <v>157</v>
      </c>
      <c r="D12" s="112">
        <v>85</v>
      </c>
      <c r="E12" s="112">
        <v>100</v>
      </c>
      <c r="F12" s="112">
        <v>100</v>
      </c>
    </row>
    <row r="13" spans="1:6" ht="19.5" thickBot="1">
      <c r="A13" s="104" t="s">
        <v>142</v>
      </c>
      <c r="B13" s="112">
        <v>23</v>
      </c>
      <c r="C13" s="112" t="s">
        <v>158</v>
      </c>
      <c r="D13" s="112">
        <v>98</v>
      </c>
      <c r="E13" s="112">
        <v>100</v>
      </c>
      <c r="F13" s="112">
        <v>100</v>
      </c>
    </row>
    <row r="14" spans="1:6" ht="19.5" thickBot="1">
      <c r="A14" s="104" t="s">
        <v>143</v>
      </c>
      <c r="B14" s="112">
        <v>24</v>
      </c>
      <c r="C14" s="112" t="s">
        <v>159</v>
      </c>
      <c r="D14" s="112">
        <v>100</v>
      </c>
      <c r="E14" s="112">
        <v>100</v>
      </c>
      <c r="F14" s="112">
        <v>100</v>
      </c>
    </row>
    <row r="15" spans="1:6" ht="19.5" thickBot="1">
      <c r="A15" s="104" t="s">
        <v>144</v>
      </c>
      <c r="B15" s="112">
        <v>31</v>
      </c>
      <c r="C15" s="112" t="s">
        <v>160</v>
      </c>
      <c r="D15" s="112">
        <v>100</v>
      </c>
      <c r="E15" s="112">
        <v>100</v>
      </c>
      <c r="F15" s="112">
        <v>100</v>
      </c>
    </row>
    <row r="16" spans="1:6" ht="19.5" thickBot="1">
      <c r="A16" s="104" t="s">
        <v>48</v>
      </c>
      <c r="B16" s="112">
        <v>5</v>
      </c>
      <c r="C16" s="112" t="s">
        <v>161</v>
      </c>
      <c r="D16" s="112">
        <v>3</v>
      </c>
      <c r="E16" s="112">
        <v>72</v>
      </c>
      <c r="F16" s="112">
        <v>100</v>
      </c>
    </row>
    <row r="17" spans="1:4">
      <c r="A17" s="111"/>
    </row>
    <row r="18" spans="1:4">
      <c r="A18" s="86" t="s">
        <v>162</v>
      </c>
    </row>
    <row r="19" spans="1:4" ht="19.5" thickBot="1">
      <c r="A19" s="86"/>
    </row>
    <row r="20" spans="1:4" ht="19.5" thickBot="1">
      <c r="A20" s="283" t="s">
        <v>163</v>
      </c>
      <c r="B20" s="284"/>
      <c r="C20" s="284"/>
      <c r="D20" s="294"/>
    </row>
    <row r="21" spans="1:4" ht="19.5" thickBot="1">
      <c r="A21" s="286" t="s">
        <v>47</v>
      </c>
      <c r="B21" s="280" t="s">
        <v>164</v>
      </c>
      <c r="C21" s="281"/>
      <c r="D21" s="282"/>
    </row>
    <row r="22" spans="1:4" ht="19.5" thickBot="1">
      <c r="A22" s="288"/>
      <c r="B22" s="113" t="s">
        <v>86</v>
      </c>
      <c r="C22" s="113" t="s">
        <v>89</v>
      </c>
      <c r="D22" s="113" t="s">
        <v>92</v>
      </c>
    </row>
    <row r="23" spans="1:4" ht="19.5" thickBot="1">
      <c r="A23" s="101" t="s">
        <v>139</v>
      </c>
      <c r="B23" s="104" t="s">
        <v>165</v>
      </c>
      <c r="C23" s="114" t="s">
        <v>166</v>
      </c>
      <c r="D23" s="114" t="s">
        <v>166</v>
      </c>
    </row>
    <row r="24" spans="1:4" ht="19.5" thickBot="1">
      <c r="A24" s="101" t="s">
        <v>140</v>
      </c>
      <c r="B24" s="104" t="s">
        <v>167</v>
      </c>
      <c r="C24" s="114" t="s">
        <v>166</v>
      </c>
      <c r="D24" s="114" t="s">
        <v>166</v>
      </c>
    </row>
    <row r="25" spans="1:4" ht="19.5" thickBot="1">
      <c r="A25" s="101" t="s">
        <v>141</v>
      </c>
      <c r="B25" s="104" t="s">
        <v>168</v>
      </c>
      <c r="C25" s="114" t="s">
        <v>166</v>
      </c>
      <c r="D25" s="114" t="s">
        <v>166</v>
      </c>
    </row>
    <row r="26" spans="1:4" ht="19.5" thickBot="1">
      <c r="A26" s="101" t="s">
        <v>142</v>
      </c>
      <c r="B26" s="104" t="s">
        <v>169</v>
      </c>
      <c r="C26" s="114" t="s">
        <v>166</v>
      </c>
      <c r="D26" s="114" t="s">
        <v>166</v>
      </c>
    </row>
    <row r="27" spans="1:4" ht="19.5" thickBot="1">
      <c r="A27" s="101" t="s">
        <v>143</v>
      </c>
      <c r="B27" s="104" t="s">
        <v>170</v>
      </c>
      <c r="C27" s="114" t="s">
        <v>166</v>
      </c>
      <c r="D27" s="114" t="s">
        <v>166</v>
      </c>
    </row>
    <row r="28" spans="1:4" ht="19.5" thickBot="1">
      <c r="A28" s="101" t="s">
        <v>144</v>
      </c>
      <c r="B28" s="104" t="s">
        <v>170</v>
      </c>
      <c r="C28" s="114" t="s">
        <v>166</v>
      </c>
      <c r="D28" s="114" t="s">
        <v>166</v>
      </c>
    </row>
    <row r="29" spans="1:4" ht="19.5" thickBot="1">
      <c r="A29" s="101" t="s">
        <v>48</v>
      </c>
      <c r="B29" s="104" t="s">
        <v>165</v>
      </c>
      <c r="C29" s="114" t="s">
        <v>166</v>
      </c>
      <c r="D29" s="114" t="s">
        <v>166</v>
      </c>
    </row>
    <row r="30" spans="1:4">
      <c r="A30" s="92"/>
    </row>
  </sheetData>
  <mergeCells count="8">
    <mergeCell ref="B21:D21"/>
    <mergeCell ref="A5:F5"/>
    <mergeCell ref="A6:A9"/>
    <mergeCell ref="D7:F7"/>
    <mergeCell ref="D8:D9"/>
    <mergeCell ref="A20:D20"/>
    <mergeCell ref="A21:A22"/>
    <mergeCell ref="D6:F6"/>
  </mergeCells>
  <phoneticPr fontId="2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9617-5C64-438F-8824-23E295EF0B73}">
  <dimension ref="A1:N41"/>
  <sheetViews>
    <sheetView workbookViewId="0">
      <selection activeCell="A22" sqref="A22:XFD22"/>
    </sheetView>
  </sheetViews>
  <sheetFormatPr defaultRowHeight="18.75"/>
  <sheetData>
    <row r="1" spans="1:14">
      <c r="A1" t="s">
        <v>0</v>
      </c>
    </row>
    <row r="3" spans="1:14" ht="24">
      <c r="A3" s="115" t="s">
        <v>171</v>
      </c>
      <c r="B3" s="116"/>
      <c r="C3" s="116"/>
      <c r="D3" s="116"/>
      <c r="E3" s="116"/>
      <c r="F3" s="116"/>
      <c r="G3" s="117"/>
      <c r="H3" s="117"/>
      <c r="I3" s="118"/>
      <c r="J3" s="119"/>
      <c r="K3" s="119"/>
      <c r="L3" s="119"/>
      <c r="M3" s="119"/>
      <c r="N3" s="119"/>
    </row>
    <row r="4" spans="1:14">
      <c r="A4" s="120" t="s">
        <v>173</v>
      </c>
      <c r="B4" s="121">
        <v>1996</v>
      </c>
      <c r="C4" s="121">
        <v>1997</v>
      </c>
      <c r="D4" s="121">
        <v>1998</v>
      </c>
      <c r="E4" s="121">
        <v>1999</v>
      </c>
      <c r="F4" s="121">
        <v>2000</v>
      </c>
      <c r="G4" s="121">
        <v>2001</v>
      </c>
      <c r="H4" s="121">
        <v>2002</v>
      </c>
      <c r="I4" s="121">
        <v>2003</v>
      </c>
      <c r="J4" s="121">
        <v>2004</v>
      </c>
      <c r="K4" s="121">
        <v>2005</v>
      </c>
      <c r="L4" s="121">
        <v>2006</v>
      </c>
      <c r="M4" s="121">
        <v>2007</v>
      </c>
      <c r="N4" s="121">
        <v>2008</v>
      </c>
    </row>
    <row r="5" spans="1:14">
      <c r="A5" s="122">
        <v>1</v>
      </c>
      <c r="B5" s="123">
        <v>2760</v>
      </c>
      <c r="C5" s="123">
        <v>62926</v>
      </c>
      <c r="D5" s="123">
        <v>41935</v>
      </c>
      <c r="E5" s="123">
        <v>80259</v>
      </c>
      <c r="F5" s="123">
        <v>4438</v>
      </c>
      <c r="G5" s="123">
        <v>5776</v>
      </c>
      <c r="H5" s="123">
        <v>6668</v>
      </c>
      <c r="I5" s="123">
        <v>44938</v>
      </c>
      <c r="J5" s="123">
        <v>11182</v>
      </c>
      <c r="K5" s="123">
        <v>47355</v>
      </c>
      <c r="L5" s="123">
        <v>32062</v>
      </c>
      <c r="M5" s="123">
        <v>44063</v>
      </c>
      <c r="N5" s="123">
        <v>1843</v>
      </c>
    </row>
    <row r="6" spans="1:14">
      <c r="A6" s="122">
        <v>2</v>
      </c>
      <c r="B6" s="123">
        <v>3871</v>
      </c>
      <c r="C6" s="123">
        <v>1236</v>
      </c>
      <c r="D6" s="123">
        <v>11609</v>
      </c>
      <c r="E6" s="123">
        <v>6443</v>
      </c>
      <c r="F6" s="123">
        <v>18180</v>
      </c>
      <c r="G6" s="123">
        <v>447</v>
      </c>
      <c r="H6" s="123">
        <v>3889</v>
      </c>
      <c r="I6" s="123">
        <v>1931</v>
      </c>
      <c r="J6" s="123">
        <v>19750</v>
      </c>
      <c r="K6" s="123">
        <v>4936</v>
      </c>
      <c r="L6" s="123">
        <v>8747</v>
      </c>
      <c r="M6" s="123">
        <v>6512</v>
      </c>
      <c r="N6" s="123">
        <v>13409</v>
      </c>
    </row>
    <row r="7" spans="1:14">
      <c r="A7" s="122">
        <v>3</v>
      </c>
      <c r="B7" s="123">
        <v>752</v>
      </c>
      <c r="C7" s="123">
        <v>1656</v>
      </c>
      <c r="D7" s="123">
        <v>273</v>
      </c>
      <c r="E7" s="123">
        <v>3469</v>
      </c>
      <c r="F7" s="123">
        <v>968</v>
      </c>
      <c r="G7" s="123">
        <v>2053</v>
      </c>
      <c r="H7" s="123">
        <v>986</v>
      </c>
      <c r="I7" s="123">
        <v>2464</v>
      </c>
      <c r="J7" s="123">
        <v>3817</v>
      </c>
      <c r="K7" s="123">
        <v>5925</v>
      </c>
      <c r="L7" s="123">
        <v>3875</v>
      </c>
      <c r="M7" s="123">
        <v>2194</v>
      </c>
      <c r="N7" s="123">
        <v>1433</v>
      </c>
    </row>
    <row r="8" spans="1:14">
      <c r="A8" s="122">
        <v>4</v>
      </c>
      <c r="B8" s="123">
        <v>554</v>
      </c>
      <c r="C8" s="123">
        <v>458</v>
      </c>
      <c r="D8" s="123">
        <v>0</v>
      </c>
      <c r="E8" s="123">
        <v>75</v>
      </c>
      <c r="F8" s="123">
        <v>370</v>
      </c>
      <c r="G8" s="123">
        <v>303</v>
      </c>
      <c r="H8" s="123">
        <v>508</v>
      </c>
      <c r="I8" s="123">
        <v>245</v>
      </c>
      <c r="J8" s="123">
        <v>228</v>
      </c>
      <c r="K8" s="123">
        <v>399</v>
      </c>
      <c r="L8" s="123">
        <v>714</v>
      </c>
      <c r="M8" s="123">
        <v>477</v>
      </c>
      <c r="N8" s="123">
        <v>252</v>
      </c>
    </row>
    <row r="9" spans="1:14">
      <c r="A9" s="124">
        <v>5</v>
      </c>
      <c r="B9" s="123">
        <v>103</v>
      </c>
      <c r="C9" s="123">
        <v>286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158</v>
      </c>
      <c r="J9" s="123">
        <v>36</v>
      </c>
      <c r="K9" s="123">
        <v>0</v>
      </c>
      <c r="L9" s="123">
        <v>459</v>
      </c>
      <c r="M9" s="123">
        <v>191</v>
      </c>
      <c r="N9" s="123">
        <v>83</v>
      </c>
    </row>
    <row r="10" spans="1:14">
      <c r="A10" s="125" t="s">
        <v>175</v>
      </c>
      <c r="B10" s="126">
        <v>0</v>
      </c>
      <c r="C10" s="126">
        <v>0</v>
      </c>
      <c r="D10" s="126">
        <v>0</v>
      </c>
      <c r="E10" s="126">
        <v>0</v>
      </c>
      <c r="F10" s="126">
        <v>0</v>
      </c>
      <c r="G10" s="126">
        <v>0</v>
      </c>
      <c r="H10" s="126">
        <v>0</v>
      </c>
      <c r="I10" s="126">
        <v>0</v>
      </c>
      <c r="J10" s="126">
        <v>38</v>
      </c>
      <c r="K10" s="126">
        <v>0</v>
      </c>
      <c r="L10" s="126">
        <v>0</v>
      </c>
      <c r="M10" s="126">
        <v>0</v>
      </c>
      <c r="N10" s="126">
        <v>0</v>
      </c>
    </row>
    <row r="11" spans="1:14">
      <c r="A11" s="127" t="s">
        <v>176</v>
      </c>
      <c r="B11" s="128">
        <v>8040</v>
      </c>
      <c r="C11" s="128">
        <v>66561</v>
      </c>
      <c r="D11" s="128">
        <v>53817</v>
      </c>
      <c r="E11" s="128">
        <v>90246</v>
      </c>
      <c r="F11" s="128">
        <v>23956</v>
      </c>
      <c r="G11" s="128">
        <v>8579</v>
      </c>
      <c r="H11" s="128">
        <v>12050</v>
      </c>
      <c r="I11" s="128">
        <v>49735</v>
      </c>
      <c r="J11" s="128">
        <v>35049</v>
      </c>
      <c r="K11" s="128">
        <v>58615</v>
      </c>
      <c r="L11" s="128">
        <v>45858</v>
      </c>
      <c r="M11" s="128">
        <v>53438</v>
      </c>
      <c r="N11" s="128">
        <v>17020</v>
      </c>
    </row>
    <row r="12" spans="1:14">
      <c r="A12" s="124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</row>
    <row r="13" spans="1:14">
      <c r="A13" s="120" t="s">
        <v>173</v>
      </c>
      <c r="B13" s="121">
        <v>2009</v>
      </c>
      <c r="C13" s="121">
        <v>2010</v>
      </c>
      <c r="D13" s="121">
        <v>2011</v>
      </c>
      <c r="E13" s="121">
        <v>2012</v>
      </c>
      <c r="F13" s="121">
        <v>2013</v>
      </c>
      <c r="G13" s="121">
        <v>2014</v>
      </c>
      <c r="H13" s="121">
        <v>2015</v>
      </c>
      <c r="I13" s="121">
        <v>2016</v>
      </c>
      <c r="J13" s="121">
        <v>2017</v>
      </c>
      <c r="K13" s="121">
        <v>2018</v>
      </c>
      <c r="L13" s="121">
        <v>2019</v>
      </c>
      <c r="M13" s="121">
        <v>2020</v>
      </c>
      <c r="N13" s="121">
        <v>2021</v>
      </c>
    </row>
    <row r="14" spans="1:14">
      <c r="A14" s="122">
        <v>1</v>
      </c>
      <c r="B14" s="123">
        <v>49977</v>
      </c>
      <c r="C14" s="129">
        <v>42409</v>
      </c>
      <c r="D14" s="123">
        <v>129147</v>
      </c>
      <c r="E14" s="123">
        <v>79924</v>
      </c>
      <c r="F14" s="123">
        <v>43437</v>
      </c>
      <c r="G14" s="123">
        <v>61069</v>
      </c>
      <c r="H14" s="123">
        <v>72690</v>
      </c>
      <c r="I14" s="123">
        <v>43013</v>
      </c>
      <c r="J14" s="123">
        <v>28246</v>
      </c>
      <c r="K14" s="123">
        <v>45912</v>
      </c>
      <c r="L14" s="123">
        <v>24927</v>
      </c>
      <c r="M14" s="123">
        <v>13545</v>
      </c>
      <c r="N14" s="123">
        <v>596</v>
      </c>
    </row>
    <row r="15" spans="1:14">
      <c r="A15" s="122">
        <v>2</v>
      </c>
      <c r="B15" s="123">
        <v>1256</v>
      </c>
      <c r="C15" s="129">
        <v>25272</v>
      </c>
      <c r="D15" s="123">
        <v>7125</v>
      </c>
      <c r="E15" s="123">
        <v>99379</v>
      </c>
      <c r="F15" s="123">
        <v>41801</v>
      </c>
      <c r="G15" s="123">
        <v>23619</v>
      </c>
      <c r="H15" s="123">
        <v>38675</v>
      </c>
      <c r="I15" s="123">
        <v>24569</v>
      </c>
      <c r="J15" s="123">
        <v>12273</v>
      </c>
      <c r="K15" s="123">
        <v>8966</v>
      </c>
      <c r="L15" s="123">
        <v>9732</v>
      </c>
      <c r="M15" s="123">
        <v>13860</v>
      </c>
      <c r="N15" s="123">
        <v>6616</v>
      </c>
    </row>
    <row r="16" spans="1:14">
      <c r="A16" s="122">
        <v>3</v>
      </c>
      <c r="B16" s="123">
        <v>3987</v>
      </c>
      <c r="C16" s="129">
        <v>1353</v>
      </c>
      <c r="D16" s="123">
        <v>8444</v>
      </c>
      <c r="E16" s="123">
        <v>6348</v>
      </c>
      <c r="F16" s="123">
        <v>67852</v>
      </c>
      <c r="G16" s="123">
        <v>26274</v>
      </c>
      <c r="H16" s="123">
        <v>13919</v>
      </c>
      <c r="I16" s="123">
        <v>15534</v>
      </c>
      <c r="J16" s="123">
        <v>9767</v>
      </c>
      <c r="K16" s="123">
        <v>4754</v>
      </c>
      <c r="L16" s="123">
        <v>2474</v>
      </c>
      <c r="M16" s="123">
        <v>6899</v>
      </c>
      <c r="N16" s="123">
        <v>5424</v>
      </c>
    </row>
    <row r="17" spans="1:14">
      <c r="A17" s="122">
        <v>4</v>
      </c>
      <c r="B17" s="123">
        <v>677</v>
      </c>
      <c r="C17" s="129">
        <v>542</v>
      </c>
      <c r="D17" s="123">
        <v>557</v>
      </c>
      <c r="E17" s="123">
        <v>2710</v>
      </c>
      <c r="F17" s="123">
        <v>3462</v>
      </c>
      <c r="G17" s="123">
        <v>13149</v>
      </c>
      <c r="H17" s="123">
        <v>10186</v>
      </c>
      <c r="I17" s="123">
        <v>3752</v>
      </c>
      <c r="J17" s="123">
        <v>3634</v>
      </c>
      <c r="K17" s="123">
        <v>2571</v>
      </c>
      <c r="L17" s="123">
        <v>778</v>
      </c>
      <c r="M17" s="123">
        <v>2183</v>
      </c>
      <c r="N17" s="123">
        <v>823</v>
      </c>
    </row>
    <row r="18" spans="1:14">
      <c r="A18" s="124">
        <v>5</v>
      </c>
      <c r="B18" s="123">
        <v>163</v>
      </c>
      <c r="C18" s="129">
        <v>187</v>
      </c>
      <c r="D18" s="123">
        <v>174</v>
      </c>
      <c r="E18" s="123">
        <v>602</v>
      </c>
      <c r="F18" s="123">
        <v>1270</v>
      </c>
      <c r="G18" s="123">
        <v>1700</v>
      </c>
      <c r="H18" s="123">
        <v>3743</v>
      </c>
      <c r="I18" s="123">
        <v>2682</v>
      </c>
      <c r="J18" s="123">
        <v>791</v>
      </c>
      <c r="K18" s="123">
        <v>1003</v>
      </c>
      <c r="L18" s="123">
        <v>94</v>
      </c>
      <c r="M18" s="123">
        <v>623</v>
      </c>
      <c r="N18" s="123">
        <v>155</v>
      </c>
    </row>
    <row r="19" spans="1:14">
      <c r="A19" s="125" t="s">
        <v>175</v>
      </c>
      <c r="B19" s="126">
        <v>93</v>
      </c>
      <c r="C19" s="130">
        <v>71</v>
      </c>
      <c r="D19" s="126">
        <v>0</v>
      </c>
      <c r="E19" s="126">
        <v>120</v>
      </c>
      <c r="F19" s="126">
        <v>254</v>
      </c>
      <c r="G19" s="126">
        <v>138</v>
      </c>
      <c r="H19" s="126">
        <v>456</v>
      </c>
      <c r="I19" s="126">
        <v>844</v>
      </c>
      <c r="J19" s="126">
        <v>318</v>
      </c>
      <c r="K19" s="126">
        <v>288</v>
      </c>
      <c r="L19" s="126">
        <v>51</v>
      </c>
      <c r="M19" s="126">
        <v>8</v>
      </c>
      <c r="N19" s="126">
        <v>132</v>
      </c>
    </row>
    <row r="20" spans="1:14">
      <c r="A20" s="127" t="s">
        <v>176</v>
      </c>
      <c r="B20" s="128">
        <v>56154</v>
      </c>
      <c r="C20" s="128">
        <v>69834</v>
      </c>
      <c r="D20" s="128">
        <v>145446</v>
      </c>
      <c r="E20" s="128">
        <v>189084</v>
      </c>
      <c r="F20" s="128">
        <v>158076</v>
      </c>
      <c r="G20" s="128">
        <v>125949</v>
      </c>
      <c r="H20" s="128">
        <v>139668</v>
      </c>
      <c r="I20" s="128">
        <v>90393</v>
      </c>
      <c r="J20" s="128">
        <v>55029</v>
      </c>
      <c r="K20" s="128">
        <v>63494</v>
      </c>
      <c r="L20" s="128">
        <v>38055</v>
      </c>
      <c r="M20" s="128">
        <v>37119</v>
      </c>
      <c r="N20" s="128">
        <v>13746</v>
      </c>
    </row>
    <row r="21" spans="1:14">
      <c r="A21" s="131" t="s">
        <v>177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</row>
    <row r="22" spans="1:14">
      <c r="A22" s="233" t="s">
        <v>179</v>
      </c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</row>
    <row r="23" spans="1:14">
      <c r="A23" s="131" t="s">
        <v>180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</row>
    <row r="24" spans="1:14">
      <c r="A24" s="131" t="s">
        <v>181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</row>
    <row r="26" spans="1:14"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</row>
    <row r="27" spans="1:14"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</row>
    <row r="28" spans="1:14"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</row>
    <row r="29" spans="1:14"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</row>
    <row r="30" spans="1:14"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</row>
    <row r="31" spans="1:14"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</row>
    <row r="32" spans="1:14"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</row>
    <row r="35" spans="2:14"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</row>
    <row r="36" spans="2:14"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</row>
    <row r="37" spans="2:14"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</row>
    <row r="38" spans="2:14"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</row>
    <row r="39" spans="2:14"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</row>
    <row r="40" spans="2:14"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</row>
    <row r="41" spans="2:14"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713E-ACAA-4DE3-B661-FE1801E3ED4A}">
  <dimension ref="A1:N40"/>
  <sheetViews>
    <sheetView workbookViewId="0">
      <selection activeCell="A22" sqref="A22:XFD22"/>
    </sheetView>
  </sheetViews>
  <sheetFormatPr defaultRowHeight="18.75"/>
  <sheetData>
    <row r="1" spans="1:14">
      <c r="A1" t="s">
        <v>0</v>
      </c>
    </row>
    <row r="3" spans="1:14" ht="20.25">
      <c r="A3" s="235" t="s">
        <v>182</v>
      </c>
      <c r="B3" s="236"/>
      <c r="C3" s="236"/>
      <c r="D3" s="236"/>
      <c r="E3" s="236"/>
      <c r="F3" s="236"/>
      <c r="G3" s="237"/>
      <c r="H3" s="237"/>
      <c r="I3" s="236"/>
      <c r="J3" s="236"/>
      <c r="K3" s="236"/>
      <c r="L3" s="236"/>
      <c r="M3" s="236"/>
      <c r="N3" s="236"/>
    </row>
    <row r="4" spans="1:14">
      <c r="A4" s="120" t="s">
        <v>172</v>
      </c>
      <c r="B4" s="121">
        <v>1996</v>
      </c>
      <c r="C4" s="121">
        <v>1997</v>
      </c>
      <c r="D4" s="121">
        <v>1998</v>
      </c>
      <c r="E4" s="121">
        <v>1999</v>
      </c>
      <c r="F4" s="121">
        <v>2000</v>
      </c>
      <c r="G4" s="121">
        <v>2001</v>
      </c>
      <c r="H4" s="121">
        <v>2002</v>
      </c>
      <c r="I4" s="121">
        <v>2003</v>
      </c>
      <c r="J4" s="121">
        <v>2004</v>
      </c>
      <c r="K4" s="121">
        <v>2005</v>
      </c>
      <c r="L4" s="121">
        <v>2006</v>
      </c>
      <c r="M4" s="121">
        <v>2007</v>
      </c>
      <c r="N4" s="121">
        <v>2008</v>
      </c>
    </row>
    <row r="5" spans="1:14">
      <c r="A5" s="122">
        <v>1</v>
      </c>
      <c r="B5" s="123">
        <v>793</v>
      </c>
      <c r="C5" s="123">
        <v>18087</v>
      </c>
      <c r="D5" s="123">
        <v>12082</v>
      </c>
      <c r="E5" s="123">
        <v>23732</v>
      </c>
      <c r="F5" s="123">
        <v>960</v>
      </c>
      <c r="G5" s="123">
        <v>1699</v>
      </c>
      <c r="H5" s="123">
        <v>1890</v>
      </c>
      <c r="I5" s="123">
        <v>12917</v>
      </c>
      <c r="J5" s="123">
        <v>3214</v>
      </c>
      <c r="K5" s="123">
        <v>14148</v>
      </c>
      <c r="L5" s="123">
        <v>10450</v>
      </c>
      <c r="M5" s="123">
        <v>15664</v>
      </c>
      <c r="N5" s="123">
        <v>590</v>
      </c>
    </row>
    <row r="6" spans="1:14">
      <c r="A6" s="122">
        <v>2</v>
      </c>
      <c r="B6" s="123">
        <v>4758</v>
      </c>
      <c r="C6" s="123">
        <v>1518</v>
      </c>
      <c r="D6" s="123">
        <v>16207</v>
      </c>
      <c r="E6" s="123">
        <v>8797</v>
      </c>
      <c r="F6" s="123">
        <v>19885</v>
      </c>
      <c r="G6" s="123">
        <v>736</v>
      </c>
      <c r="H6" s="123">
        <v>6203</v>
      </c>
      <c r="I6" s="123">
        <v>3058</v>
      </c>
      <c r="J6" s="123">
        <v>29576</v>
      </c>
      <c r="K6" s="123">
        <v>7323</v>
      </c>
      <c r="L6" s="123">
        <v>5564</v>
      </c>
      <c r="M6" s="123">
        <v>9939</v>
      </c>
      <c r="N6" s="123">
        <v>16751</v>
      </c>
    </row>
    <row r="7" spans="1:14">
      <c r="A7" s="122">
        <v>3</v>
      </c>
      <c r="B7" s="123">
        <v>1790</v>
      </c>
      <c r="C7" s="123">
        <v>3943</v>
      </c>
      <c r="D7" s="123">
        <v>648</v>
      </c>
      <c r="E7" s="123">
        <v>9283</v>
      </c>
      <c r="F7" s="123">
        <v>2295</v>
      </c>
      <c r="G7" s="123">
        <v>5650</v>
      </c>
      <c r="H7" s="123">
        <v>2641</v>
      </c>
      <c r="I7" s="123">
        <v>6536</v>
      </c>
      <c r="J7" s="123">
        <v>9772</v>
      </c>
      <c r="K7" s="123">
        <v>16187</v>
      </c>
      <c r="L7" s="123">
        <v>5278</v>
      </c>
      <c r="M7" s="123">
        <v>6241</v>
      </c>
      <c r="N7" s="123">
        <v>3830</v>
      </c>
    </row>
    <row r="8" spans="1:14">
      <c r="A8" s="122">
        <v>4</v>
      </c>
      <c r="B8" s="123">
        <v>2178</v>
      </c>
      <c r="C8" s="123">
        <v>1800</v>
      </c>
      <c r="D8" s="123">
        <v>0</v>
      </c>
      <c r="E8" s="123">
        <v>358</v>
      </c>
      <c r="F8" s="123">
        <v>1435</v>
      </c>
      <c r="G8" s="123">
        <v>1146</v>
      </c>
      <c r="H8" s="123">
        <v>2265</v>
      </c>
      <c r="I8" s="123">
        <v>1198</v>
      </c>
      <c r="J8" s="123">
        <v>1160</v>
      </c>
      <c r="K8" s="123">
        <v>1783</v>
      </c>
      <c r="L8" s="123">
        <v>1880</v>
      </c>
      <c r="M8" s="123">
        <v>1959</v>
      </c>
      <c r="N8" s="123">
        <v>1020</v>
      </c>
    </row>
    <row r="9" spans="1:14">
      <c r="A9" s="124">
        <v>5</v>
      </c>
      <c r="B9" s="123">
        <v>600</v>
      </c>
      <c r="C9" s="123">
        <v>1664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1147</v>
      </c>
      <c r="J9" s="123">
        <v>275</v>
      </c>
      <c r="K9" s="123">
        <v>0</v>
      </c>
      <c r="L9" s="123">
        <v>2472</v>
      </c>
      <c r="M9" s="123">
        <v>1158</v>
      </c>
      <c r="N9" s="123">
        <v>492</v>
      </c>
    </row>
    <row r="10" spans="1:14">
      <c r="A10" s="125" t="s">
        <v>174</v>
      </c>
      <c r="B10" s="126">
        <v>0</v>
      </c>
      <c r="C10" s="126">
        <v>0</v>
      </c>
      <c r="D10" s="126">
        <v>0</v>
      </c>
      <c r="E10" s="126">
        <v>0</v>
      </c>
      <c r="F10" s="126">
        <v>0</v>
      </c>
      <c r="G10" s="126">
        <v>0</v>
      </c>
      <c r="H10" s="126">
        <v>0</v>
      </c>
      <c r="I10" s="126">
        <v>0</v>
      </c>
      <c r="J10" s="126">
        <v>417</v>
      </c>
      <c r="K10" s="126">
        <v>0</v>
      </c>
      <c r="L10" s="126">
        <v>0</v>
      </c>
      <c r="M10" s="126">
        <v>0</v>
      </c>
      <c r="N10" s="126">
        <v>0</v>
      </c>
    </row>
    <row r="11" spans="1:14">
      <c r="A11" s="134" t="s">
        <v>183</v>
      </c>
      <c r="B11" s="135">
        <v>10119</v>
      </c>
      <c r="C11" s="135">
        <v>27012</v>
      </c>
      <c r="D11" s="135">
        <v>28936</v>
      </c>
      <c r="E11" s="135">
        <v>42170</v>
      </c>
      <c r="F11" s="135">
        <v>24576</v>
      </c>
      <c r="G11" s="135">
        <v>9231</v>
      </c>
      <c r="H11" s="135">
        <v>12998</v>
      </c>
      <c r="I11" s="135">
        <v>24857</v>
      </c>
      <c r="J11" s="135">
        <v>43997</v>
      </c>
      <c r="K11" s="135">
        <v>39443</v>
      </c>
      <c r="L11" s="135">
        <v>25644</v>
      </c>
      <c r="M11" s="135">
        <v>34960</v>
      </c>
      <c r="N11" s="135">
        <v>22682</v>
      </c>
    </row>
    <row r="12" spans="1:14">
      <c r="A12" s="124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36"/>
      <c r="M12" s="123"/>
      <c r="N12" s="123"/>
    </row>
    <row r="13" spans="1:14">
      <c r="A13" s="120" t="s">
        <v>172</v>
      </c>
      <c r="B13" s="121">
        <v>2009</v>
      </c>
      <c r="C13" s="121">
        <v>2010</v>
      </c>
      <c r="D13" s="121">
        <v>2011</v>
      </c>
      <c r="E13" s="121">
        <v>2012</v>
      </c>
      <c r="F13" s="121">
        <v>2013</v>
      </c>
      <c r="G13" s="121">
        <v>2014</v>
      </c>
      <c r="H13" s="121">
        <v>2015</v>
      </c>
      <c r="I13" s="121">
        <v>2016</v>
      </c>
      <c r="J13" s="121">
        <v>2017</v>
      </c>
      <c r="K13" s="121">
        <v>2018</v>
      </c>
      <c r="L13" s="121">
        <v>2019</v>
      </c>
      <c r="M13" s="121">
        <v>2020</v>
      </c>
      <c r="N13" s="121">
        <v>2021</v>
      </c>
    </row>
    <row r="14" spans="1:14">
      <c r="A14" s="122">
        <v>1</v>
      </c>
      <c r="B14" s="123">
        <v>17961</v>
      </c>
      <c r="C14" s="123">
        <v>15196</v>
      </c>
      <c r="D14" s="123">
        <v>45065</v>
      </c>
      <c r="E14" s="123">
        <v>17912</v>
      </c>
      <c r="F14" s="123">
        <v>12514</v>
      </c>
      <c r="G14" s="123">
        <v>13297</v>
      </c>
      <c r="H14" s="123">
        <v>17488</v>
      </c>
      <c r="I14" s="123">
        <v>12207</v>
      </c>
      <c r="J14" s="123">
        <v>6862</v>
      </c>
      <c r="K14" s="123">
        <v>10078</v>
      </c>
      <c r="L14" s="123">
        <v>5471</v>
      </c>
      <c r="M14" s="123">
        <v>4091</v>
      </c>
      <c r="N14" s="123">
        <v>259</v>
      </c>
    </row>
    <row r="15" spans="1:14">
      <c r="A15" s="122">
        <v>2</v>
      </c>
      <c r="B15" s="123">
        <v>1691</v>
      </c>
      <c r="C15" s="123">
        <v>33318</v>
      </c>
      <c r="D15" s="123">
        <v>10294</v>
      </c>
      <c r="E15" s="123">
        <v>103840</v>
      </c>
      <c r="F15" s="123">
        <v>52900</v>
      </c>
      <c r="G15" s="123">
        <v>23393</v>
      </c>
      <c r="H15" s="123">
        <v>33524</v>
      </c>
      <c r="I15" s="123">
        <v>20888</v>
      </c>
      <c r="J15" s="123">
        <v>9688</v>
      </c>
      <c r="K15" s="123">
        <v>7346</v>
      </c>
      <c r="L15" s="123">
        <v>7974</v>
      </c>
      <c r="M15" s="123">
        <v>11268</v>
      </c>
      <c r="N15" s="123">
        <v>7089</v>
      </c>
    </row>
    <row r="16" spans="1:14">
      <c r="A16" s="122">
        <v>3</v>
      </c>
      <c r="B16" s="123">
        <v>9452</v>
      </c>
      <c r="C16" s="123">
        <v>3772</v>
      </c>
      <c r="D16" s="123">
        <v>21455</v>
      </c>
      <c r="E16" s="123">
        <v>15305</v>
      </c>
      <c r="F16" s="123">
        <v>169815</v>
      </c>
      <c r="G16" s="123">
        <v>52004</v>
      </c>
      <c r="H16" s="123">
        <v>29624</v>
      </c>
      <c r="I16" s="123">
        <v>27818</v>
      </c>
      <c r="J16" s="123">
        <v>17342</v>
      </c>
      <c r="K16" s="123">
        <v>9698</v>
      </c>
      <c r="L16" s="123">
        <v>5047</v>
      </c>
      <c r="M16" s="123">
        <v>12640</v>
      </c>
      <c r="N16" s="123">
        <v>11944</v>
      </c>
    </row>
    <row r="17" spans="1:14">
      <c r="A17" s="122">
        <v>4</v>
      </c>
      <c r="B17" s="123">
        <v>2345</v>
      </c>
      <c r="C17" s="123">
        <v>2502</v>
      </c>
      <c r="D17" s="123">
        <v>2130</v>
      </c>
      <c r="E17" s="123">
        <v>10614</v>
      </c>
      <c r="F17" s="123">
        <v>13345</v>
      </c>
      <c r="G17" s="123">
        <v>40872</v>
      </c>
      <c r="H17" s="123">
        <v>35000</v>
      </c>
      <c r="I17" s="123">
        <v>12839</v>
      </c>
      <c r="J17" s="123">
        <v>11003</v>
      </c>
      <c r="K17" s="123">
        <v>8601</v>
      </c>
      <c r="L17" s="123">
        <v>2604</v>
      </c>
      <c r="M17" s="123">
        <v>6781</v>
      </c>
      <c r="N17" s="123">
        <v>2975</v>
      </c>
    </row>
    <row r="18" spans="1:14">
      <c r="A18" s="124">
        <v>5</v>
      </c>
      <c r="B18" s="123">
        <v>955</v>
      </c>
      <c r="C18" s="123">
        <v>1215</v>
      </c>
      <c r="D18" s="123">
        <v>1121</v>
      </c>
      <c r="E18" s="123">
        <v>3393</v>
      </c>
      <c r="F18" s="123">
        <v>6936</v>
      </c>
      <c r="G18" s="123">
        <v>8491</v>
      </c>
      <c r="H18" s="123">
        <v>18389</v>
      </c>
      <c r="I18" s="123">
        <v>13464</v>
      </c>
      <c r="J18" s="123">
        <v>3819</v>
      </c>
      <c r="K18" s="123">
        <v>4815</v>
      </c>
      <c r="L18" s="123">
        <v>451</v>
      </c>
      <c r="M18" s="123">
        <v>3172</v>
      </c>
      <c r="N18" s="123">
        <v>785</v>
      </c>
    </row>
    <row r="19" spans="1:14">
      <c r="A19" s="125" t="s">
        <v>174</v>
      </c>
      <c r="B19" s="126">
        <v>1021</v>
      </c>
      <c r="C19" s="126">
        <v>515</v>
      </c>
      <c r="D19" s="126">
        <v>0</v>
      </c>
      <c r="E19" s="126">
        <v>1039</v>
      </c>
      <c r="F19" s="126">
        <v>1968</v>
      </c>
      <c r="G19" s="126">
        <v>1073</v>
      </c>
      <c r="H19" s="126">
        <v>3143</v>
      </c>
      <c r="I19" s="126">
        <v>5601</v>
      </c>
      <c r="J19" s="126">
        <v>2241</v>
      </c>
      <c r="K19" s="126">
        <v>2026</v>
      </c>
      <c r="L19" s="126">
        <v>356</v>
      </c>
      <c r="M19" s="126">
        <v>53</v>
      </c>
      <c r="N19" s="126">
        <v>1013</v>
      </c>
    </row>
    <row r="20" spans="1:14">
      <c r="A20" s="134" t="s">
        <v>183</v>
      </c>
      <c r="B20" s="135">
        <v>32403</v>
      </c>
      <c r="C20" s="135">
        <v>56003</v>
      </c>
      <c r="D20" s="135">
        <v>80066</v>
      </c>
      <c r="E20" s="135">
        <v>151064</v>
      </c>
      <c r="F20" s="135">
        <v>255511</v>
      </c>
      <c r="G20" s="135">
        <v>138056</v>
      </c>
      <c r="H20" s="135">
        <v>134025</v>
      </c>
      <c r="I20" s="135">
        <v>87217</v>
      </c>
      <c r="J20" s="135">
        <v>48713</v>
      </c>
      <c r="K20" s="135">
        <v>40537</v>
      </c>
      <c r="L20" s="135">
        <v>21547</v>
      </c>
      <c r="M20" s="135">
        <v>37953</v>
      </c>
      <c r="N20" s="135">
        <v>23050</v>
      </c>
    </row>
    <row r="21" spans="1:14">
      <c r="A21" s="137" t="s">
        <v>184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</row>
    <row r="22" spans="1:14">
      <c r="A22" s="238" t="s">
        <v>178</v>
      </c>
      <c r="B22" s="23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</row>
    <row r="23" spans="1:14">
      <c r="A23" s="140" t="s">
        <v>185</v>
      </c>
      <c r="B23" s="139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5" spans="1:14"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</row>
    <row r="26" spans="1:14"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</row>
    <row r="27" spans="1:14"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</row>
    <row r="28" spans="1:14"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</row>
    <row r="29" spans="1:14"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</row>
    <row r="30" spans="1:14"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</row>
    <row r="31" spans="1:14"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</row>
    <row r="34" spans="2:14"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</row>
    <row r="35" spans="2:14"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</row>
    <row r="36" spans="2:14"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</row>
    <row r="37" spans="2:14"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</row>
    <row r="38" spans="2:14"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</row>
    <row r="39" spans="2:14"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</row>
    <row r="40" spans="2:14"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1C65-1CAD-453D-AF57-C3CEAC577923}">
  <dimension ref="A1:N44"/>
  <sheetViews>
    <sheetView tabSelected="1" topLeftCell="A13" workbookViewId="0">
      <selection activeCell="J36" sqref="J36"/>
    </sheetView>
  </sheetViews>
  <sheetFormatPr defaultRowHeight="18.75"/>
  <cols>
    <col min="1" max="1" width="23.875" customWidth="1"/>
  </cols>
  <sheetData>
    <row r="1" spans="1:14">
      <c r="A1" t="s">
        <v>0</v>
      </c>
    </row>
    <row r="3" spans="1:14" s="224" customFormat="1" ht="13.5">
      <c r="A3" s="224" t="s">
        <v>186</v>
      </c>
    </row>
    <row r="5" spans="1:14">
      <c r="A5" s="141" t="s">
        <v>187</v>
      </c>
      <c r="B5" s="142">
        <v>1995</v>
      </c>
      <c r="C5" s="142">
        <v>1996</v>
      </c>
      <c r="D5" s="142">
        <v>1997</v>
      </c>
      <c r="E5" s="142">
        <v>1998</v>
      </c>
      <c r="F5" s="142">
        <v>1999</v>
      </c>
      <c r="G5" s="142">
        <v>2000</v>
      </c>
    </row>
    <row r="6" spans="1:14">
      <c r="A6" s="143" t="s">
        <v>188</v>
      </c>
      <c r="B6" s="144">
        <v>57</v>
      </c>
      <c r="C6" s="144">
        <v>57</v>
      </c>
      <c r="D6" s="144">
        <v>60</v>
      </c>
      <c r="E6" s="144">
        <v>61</v>
      </c>
      <c r="F6" s="144">
        <v>59</v>
      </c>
      <c r="G6" s="144">
        <v>74</v>
      </c>
    </row>
    <row r="7" spans="1:14">
      <c r="A7" s="143" t="s">
        <v>189</v>
      </c>
      <c r="B7" s="144">
        <v>41008</v>
      </c>
      <c r="C7" s="144">
        <v>164376</v>
      </c>
      <c r="D7" s="144">
        <v>252266</v>
      </c>
      <c r="E7" s="144">
        <v>253952</v>
      </c>
      <c r="F7" s="144">
        <v>56622</v>
      </c>
      <c r="G7" s="144">
        <v>35372</v>
      </c>
    </row>
    <row r="8" spans="1:14">
      <c r="A8" s="143" t="s">
        <v>190</v>
      </c>
      <c r="B8" s="145">
        <v>0.222</v>
      </c>
      <c r="C8" s="145">
        <v>0.57399999999999995</v>
      </c>
      <c r="D8" s="145">
        <v>0.52400000000000002</v>
      </c>
      <c r="E8" s="145">
        <v>0.371</v>
      </c>
      <c r="F8" s="145">
        <v>0.23400000000000001</v>
      </c>
      <c r="G8" s="145">
        <v>0.27600000000000002</v>
      </c>
    </row>
    <row r="9" spans="1:14">
      <c r="A9" s="143" t="s">
        <v>191</v>
      </c>
      <c r="B9" s="144">
        <v>9101</v>
      </c>
      <c r="C9" s="144">
        <v>94290</v>
      </c>
      <c r="D9" s="144">
        <v>132313</v>
      </c>
      <c r="E9" s="144">
        <v>94265</v>
      </c>
      <c r="F9" s="144">
        <v>13256</v>
      </c>
      <c r="G9" s="144">
        <v>9747</v>
      </c>
    </row>
    <row r="10" spans="1:14">
      <c r="A10" s="143" t="s">
        <v>192</v>
      </c>
      <c r="B10" s="144">
        <v>26540</v>
      </c>
      <c r="C10" s="144">
        <v>53363</v>
      </c>
      <c r="D10" s="144">
        <v>90328</v>
      </c>
      <c r="E10" s="144">
        <v>122730</v>
      </c>
      <c r="F10" s="144">
        <v>35793</v>
      </c>
      <c r="G10" s="144">
        <v>20593</v>
      </c>
      <c r="I10" s="154"/>
      <c r="J10" s="154"/>
      <c r="K10" s="154"/>
      <c r="L10" s="154"/>
      <c r="M10" s="154"/>
      <c r="N10" s="154"/>
    </row>
    <row r="11" spans="1:14">
      <c r="A11" s="146" t="s">
        <v>193</v>
      </c>
      <c r="B11" s="147">
        <v>63363</v>
      </c>
      <c r="C11" s="147">
        <v>506334</v>
      </c>
      <c r="D11" s="147">
        <v>704525</v>
      </c>
      <c r="E11" s="147">
        <v>525476</v>
      </c>
      <c r="F11" s="147">
        <v>89572</v>
      </c>
      <c r="G11" s="147">
        <v>60757</v>
      </c>
      <c r="I11" s="154"/>
      <c r="J11" s="154"/>
      <c r="K11" s="154"/>
      <c r="L11" s="154"/>
      <c r="M11" s="154"/>
      <c r="N11" s="154"/>
    </row>
    <row r="12" spans="1:14">
      <c r="A12" s="143"/>
      <c r="B12" s="144"/>
      <c r="C12" s="144"/>
      <c r="D12" s="144"/>
      <c r="E12" s="144"/>
      <c r="F12" s="144"/>
      <c r="G12" s="144"/>
    </row>
    <row r="13" spans="1:14">
      <c r="A13" s="141" t="s">
        <v>187</v>
      </c>
      <c r="B13" s="142">
        <v>2001</v>
      </c>
      <c r="C13" s="142">
        <v>2002</v>
      </c>
      <c r="D13" s="142">
        <v>2003</v>
      </c>
      <c r="E13" s="142">
        <v>2004</v>
      </c>
      <c r="F13" s="142">
        <v>2005</v>
      </c>
      <c r="G13" s="142">
        <v>2006</v>
      </c>
    </row>
    <row r="14" spans="1:14">
      <c r="A14" s="143" t="s">
        <v>188</v>
      </c>
      <c r="B14" s="144">
        <v>71</v>
      </c>
      <c r="C14" s="144">
        <v>75</v>
      </c>
      <c r="D14" s="144">
        <v>100</v>
      </c>
      <c r="E14" s="144">
        <v>145</v>
      </c>
      <c r="F14" s="144">
        <v>150</v>
      </c>
      <c r="G14" s="144">
        <v>146</v>
      </c>
    </row>
    <row r="15" spans="1:14">
      <c r="A15" s="143" t="s">
        <v>189</v>
      </c>
      <c r="B15" s="144">
        <v>83692</v>
      </c>
      <c r="C15" s="144">
        <v>148447</v>
      </c>
      <c r="D15" s="144">
        <v>66530</v>
      </c>
      <c r="E15" s="144">
        <v>116009</v>
      </c>
      <c r="F15" s="144">
        <v>127173</v>
      </c>
      <c r="G15" s="144">
        <v>139200</v>
      </c>
    </row>
    <row r="16" spans="1:14">
      <c r="A16" s="143" t="s">
        <v>190</v>
      </c>
      <c r="B16" s="145">
        <v>0.497</v>
      </c>
      <c r="C16" s="145">
        <v>0.29199999999999998</v>
      </c>
      <c r="D16" s="145">
        <v>0.25800000000000001</v>
      </c>
      <c r="E16" s="145">
        <v>0.49299999999999999</v>
      </c>
      <c r="F16" s="145">
        <v>0.218</v>
      </c>
      <c r="G16" s="145">
        <v>0.25600000000000001</v>
      </c>
    </row>
    <row r="17" spans="1:14">
      <c r="A17" s="143" t="s">
        <v>191</v>
      </c>
      <c r="B17" s="144">
        <v>41612</v>
      </c>
      <c r="C17" s="144">
        <v>43418</v>
      </c>
      <c r="D17" s="144">
        <v>17192</v>
      </c>
      <c r="E17" s="144">
        <v>57206</v>
      </c>
      <c r="F17" s="144">
        <v>27734</v>
      </c>
      <c r="G17" s="144">
        <v>35606</v>
      </c>
    </row>
    <row r="18" spans="1:14">
      <c r="A18" s="143" t="s">
        <v>192</v>
      </c>
      <c r="B18" s="144">
        <v>31596</v>
      </c>
      <c r="C18" s="144">
        <v>83756</v>
      </c>
      <c r="D18" s="144">
        <v>40124</v>
      </c>
      <c r="E18" s="144">
        <v>44141</v>
      </c>
      <c r="F18" s="144">
        <v>82953</v>
      </c>
      <c r="G18" s="144">
        <v>84281</v>
      </c>
      <c r="I18" s="154"/>
      <c r="J18" s="154"/>
      <c r="K18" s="154"/>
      <c r="L18" s="154"/>
      <c r="M18" s="154"/>
      <c r="N18" s="154"/>
    </row>
    <row r="19" spans="1:14">
      <c r="A19" s="146" t="s">
        <v>193</v>
      </c>
      <c r="B19" s="147">
        <v>221686</v>
      </c>
      <c r="C19" s="147">
        <v>263104</v>
      </c>
      <c r="D19" s="147">
        <v>110314</v>
      </c>
      <c r="E19" s="147">
        <v>304889</v>
      </c>
      <c r="F19" s="147">
        <v>194967</v>
      </c>
      <c r="G19" s="147">
        <v>229906</v>
      </c>
      <c r="I19" s="154"/>
      <c r="J19" s="154"/>
      <c r="K19" s="154"/>
      <c r="L19" s="154"/>
      <c r="M19" s="154"/>
      <c r="N19" s="154"/>
    </row>
    <row r="20" spans="1:14">
      <c r="A20" s="143"/>
      <c r="B20" s="143"/>
      <c r="C20" s="143"/>
      <c r="D20" s="143"/>
      <c r="E20" s="143"/>
      <c r="F20" s="143"/>
      <c r="G20" s="143"/>
    </row>
    <row r="21" spans="1:14">
      <c r="A21" s="141" t="s">
        <v>187</v>
      </c>
      <c r="B21" s="142">
        <v>2007</v>
      </c>
      <c r="C21" s="142">
        <v>2008</v>
      </c>
      <c r="D21" s="142">
        <v>2009</v>
      </c>
      <c r="E21" s="142">
        <v>2010</v>
      </c>
      <c r="F21" s="142">
        <v>2011</v>
      </c>
      <c r="G21" s="142">
        <v>2012</v>
      </c>
    </row>
    <row r="22" spans="1:14">
      <c r="A22" s="143" t="s">
        <v>188</v>
      </c>
      <c r="B22" s="144">
        <v>150</v>
      </c>
      <c r="C22" s="144">
        <v>148</v>
      </c>
      <c r="D22" s="144">
        <v>134</v>
      </c>
      <c r="E22" s="144">
        <v>124</v>
      </c>
      <c r="F22" s="144">
        <v>124</v>
      </c>
      <c r="G22" s="144">
        <v>101</v>
      </c>
    </row>
    <row r="23" spans="1:14">
      <c r="A23" s="143" t="s">
        <v>189</v>
      </c>
      <c r="B23" s="144">
        <v>34843</v>
      </c>
      <c r="C23" s="144">
        <v>86023</v>
      </c>
      <c r="D23" s="144">
        <v>79780</v>
      </c>
      <c r="E23" s="144">
        <v>96779</v>
      </c>
      <c r="F23" s="144">
        <v>160681</v>
      </c>
      <c r="G23" s="144">
        <v>165149</v>
      </c>
    </row>
    <row r="24" spans="1:14">
      <c r="A24" s="143" t="s">
        <v>190</v>
      </c>
      <c r="B24" s="145">
        <v>0.156</v>
      </c>
      <c r="C24" s="145">
        <v>0.26600000000000001</v>
      </c>
      <c r="D24" s="145">
        <v>0.25700000000000001</v>
      </c>
      <c r="E24" s="148">
        <v>0.21</v>
      </c>
      <c r="F24" s="145">
        <v>0.26600000000000001</v>
      </c>
      <c r="G24" s="145">
        <v>0.21099999999999999</v>
      </c>
    </row>
    <row r="25" spans="1:14">
      <c r="A25" s="143" t="s">
        <v>191</v>
      </c>
      <c r="B25" s="144">
        <v>5423</v>
      </c>
      <c r="C25" s="144">
        <v>22869</v>
      </c>
      <c r="D25" s="144">
        <v>20540</v>
      </c>
      <c r="E25" s="144">
        <v>20298</v>
      </c>
      <c r="F25" s="144">
        <v>42684</v>
      </c>
      <c r="G25" s="144">
        <v>34851</v>
      </c>
    </row>
    <row r="26" spans="1:14">
      <c r="A26" s="143" t="s">
        <v>192</v>
      </c>
      <c r="B26" s="144">
        <v>25664</v>
      </c>
      <c r="C26" s="144">
        <v>51073</v>
      </c>
      <c r="D26" s="144">
        <v>48209</v>
      </c>
      <c r="E26" s="144">
        <v>64125</v>
      </c>
      <c r="F26" s="144">
        <v>95398</v>
      </c>
      <c r="G26" s="144">
        <v>109212</v>
      </c>
      <c r="I26" s="154"/>
      <c r="J26" s="154"/>
      <c r="K26" s="154"/>
      <c r="L26" s="154"/>
      <c r="M26" s="154"/>
      <c r="N26" s="154"/>
    </row>
    <row r="27" spans="1:14">
      <c r="A27" s="146" t="s">
        <v>193</v>
      </c>
      <c r="B27" s="147">
        <v>47305</v>
      </c>
      <c r="C27" s="147">
        <v>144890</v>
      </c>
      <c r="D27" s="147">
        <v>132025</v>
      </c>
      <c r="E27" s="147">
        <v>146062</v>
      </c>
      <c r="F27" s="147">
        <v>270638</v>
      </c>
      <c r="G27" s="147">
        <v>249737</v>
      </c>
      <c r="I27" s="154"/>
      <c r="J27" s="154"/>
      <c r="K27" s="154"/>
      <c r="L27" s="154"/>
      <c r="M27" s="154"/>
      <c r="N27" s="154"/>
    </row>
    <row r="28" spans="1:14">
      <c r="A28" s="143"/>
      <c r="B28" s="143"/>
      <c r="C28" s="143"/>
      <c r="D28" s="143"/>
      <c r="E28" s="143"/>
      <c r="F28" s="143"/>
      <c r="G28" s="143"/>
    </row>
    <row r="29" spans="1:14">
      <c r="A29" s="141" t="s">
        <v>187</v>
      </c>
      <c r="B29" s="142">
        <v>2013</v>
      </c>
      <c r="C29" s="142">
        <v>2014</v>
      </c>
      <c r="D29" s="142">
        <v>2015</v>
      </c>
      <c r="E29" s="142">
        <v>2016</v>
      </c>
      <c r="F29" s="142">
        <v>2017</v>
      </c>
      <c r="G29" s="142">
        <v>2018</v>
      </c>
    </row>
    <row r="30" spans="1:14">
      <c r="A30" s="143" t="s">
        <v>188</v>
      </c>
      <c r="B30" s="144">
        <v>113</v>
      </c>
      <c r="C30" s="144">
        <v>110</v>
      </c>
      <c r="D30" s="144">
        <v>122</v>
      </c>
      <c r="E30" s="144">
        <v>121</v>
      </c>
      <c r="F30" s="144">
        <v>101</v>
      </c>
      <c r="G30" s="144">
        <v>107</v>
      </c>
    </row>
    <row r="31" spans="1:14">
      <c r="A31" s="143" t="s">
        <v>189</v>
      </c>
      <c r="B31" s="144">
        <v>184712</v>
      </c>
      <c r="C31" s="144">
        <v>143860</v>
      </c>
      <c r="D31" s="144">
        <v>232164</v>
      </c>
      <c r="E31" s="144">
        <v>323038</v>
      </c>
      <c r="F31" s="144">
        <v>112640</v>
      </c>
      <c r="G31" s="144">
        <v>82097</v>
      </c>
    </row>
    <row r="32" spans="1:14">
      <c r="A32" s="143" t="s">
        <v>190</v>
      </c>
      <c r="B32" s="145">
        <v>0.23400000000000001</v>
      </c>
      <c r="C32" s="145">
        <v>0.29799999999999999</v>
      </c>
      <c r="D32" s="145">
        <v>0.157</v>
      </c>
      <c r="E32" s="145">
        <v>0.17499999999999999</v>
      </c>
      <c r="F32" s="145">
        <v>0.255</v>
      </c>
      <c r="G32" s="145">
        <v>0.255</v>
      </c>
    </row>
    <row r="33" spans="1:14">
      <c r="A33" s="143" t="s">
        <v>191</v>
      </c>
      <c r="B33" s="144">
        <v>43197</v>
      </c>
      <c r="C33" s="144">
        <v>42843</v>
      </c>
      <c r="D33" s="144">
        <v>36512</v>
      </c>
      <c r="E33" s="144">
        <v>56423</v>
      </c>
      <c r="F33" s="144">
        <v>28776</v>
      </c>
      <c r="G33" s="144">
        <v>20903</v>
      </c>
    </row>
    <row r="34" spans="1:14">
      <c r="A34" s="143" t="s">
        <v>192</v>
      </c>
      <c r="B34" s="144">
        <v>116764</v>
      </c>
      <c r="C34" s="144">
        <v>80219</v>
      </c>
      <c r="D34" s="144">
        <v>170669</v>
      </c>
      <c r="E34" s="144">
        <v>229240</v>
      </c>
      <c r="F34" s="144">
        <v>68333</v>
      </c>
      <c r="G34" s="144">
        <v>49842</v>
      </c>
      <c r="I34" s="154"/>
      <c r="J34" s="154"/>
      <c r="K34" s="154"/>
      <c r="L34" s="154"/>
      <c r="M34" s="154"/>
      <c r="N34" s="154"/>
    </row>
    <row r="35" spans="1:14">
      <c r="A35" s="146" t="s">
        <v>193</v>
      </c>
      <c r="B35" s="147">
        <v>292200</v>
      </c>
      <c r="C35" s="147">
        <v>257990</v>
      </c>
      <c r="D35" s="147">
        <v>315817</v>
      </c>
      <c r="E35" s="147">
        <v>455215</v>
      </c>
      <c r="F35" s="147">
        <v>185675</v>
      </c>
      <c r="G35" s="147">
        <v>135226</v>
      </c>
      <c r="I35" s="154"/>
      <c r="J35" s="154"/>
      <c r="K35" s="154"/>
      <c r="L35" s="154"/>
      <c r="M35" s="154"/>
      <c r="N35" s="154"/>
    </row>
    <row r="36" spans="1:14">
      <c r="A36" s="143"/>
      <c r="B36" s="149"/>
      <c r="C36" s="149"/>
      <c r="D36" s="149"/>
      <c r="E36" s="149"/>
      <c r="F36" s="149"/>
      <c r="G36" s="149"/>
    </row>
    <row r="37" spans="1:14">
      <c r="A37" s="141" t="s">
        <v>187</v>
      </c>
      <c r="B37" s="142">
        <v>2019</v>
      </c>
      <c r="C37" s="142">
        <v>2020</v>
      </c>
      <c r="D37" s="142">
        <v>2021</v>
      </c>
      <c r="E37" s="149"/>
      <c r="F37" s="149"/>
      <c r="G37" s="149"/>
    </row>
    <row r="38" spans="1:14">
      <c r="A38" s="143" t="s">
        <v>188</v>
      </c>
      <c r="B38" s="144">
        <v>107</v>
      </c>
      <c r="C38" s="150">
        <v>153</v>
      </c>
      <c r="D38" s="150">
        <v>139</v>
      </c>
      <c r="E38" s="149"/>
      <c r="F38" s="149"/>
      <c r="G38" s="149"/>
    </row>
    <row r="39" spans="1:14">
      <c r="A39" s="143" t="s">
        <v>189</v>
      </c>
      <c r="B39" s="144">
        <v>51214</v>
      </c>
      <c r="C39" s="150">
        <v>21774</v>
      </c>
      <c r="D39" s="150">
        <v>15916</v>
      </c>
      <c r="E39" s="149"/>
      <c r="F39" s="149"/>
      <c r="G39" s="149"/>
    </row>
    <row r="40" spans="1:14">
      <c r="A40" s="143" t="s">
        <v>190</v>
      </c>
      <c r="B40" s="145">
        <v>0.38500000000000001</v>
      </c>
      <c r="C40" s="151">
        <v>0.183</v>
      </c>
      <c r="D40" s="151">
        <v>0.223</v>
      </c>
      <c r="E40" s="149"/>
      <c r="F40" s="149"/>
      <c r="G40" s="149"/>
    </row>
    <row r="41" spans="1:14">
      <c r="A41" s="143" t="s">
        <v>191</v>
      </c>
      <c r="B41" s="144">
        <v>19696</v>
      </c>
      <c r="C41" s="150">
        <v>3975</v>
      </c>
      <c r="D41" s="150">
        <v>3358</v>
      </c>
      <c r="E41" s="149"/>
      <c r="F41" s="149"/>
      <c r="G41" s="149"/>
    </row>
    <row r="42" spans="1:14">
      <c r="A42" s="143" t="s">
        <v>192</v>
      </c>
      <c r="B42" s="144">
        <v>24101</v>
      </c>
      <c r="C42" s="150">
        <v>15196</v>
      </c>
      <c r="D42" s="150">
        <v>10272</v>
      </c>
      <c r="E42" s="149"/>
      <c r="F42" s="149"/>
      <c r="G42" s="149"/>
      <c r="I42" s="154"/>
      <c r="J42" s="154"/>
      <c r="K42" s="154"/>
      <c r="L42" s="154"/>
      <c r="M42" s="154"/>
      <c r="N42" s="154"/>
    </row>
    <row r="43" spans="1:14">
      <c r="A43" s="146" t="s">
        <v>193</v>
      </c>
      <c r="B43" s="147">
        <v>108831</v>
      </c>
      <c r="C43" s="152">
        <v>31114</v>
      </c>
      <c r="D43" s="152">
        <v>24669</v>
      </c>
      <c r="E43" s="149"/>
      <c r="F43" s="149"/>
      <c r="G43" s="149"/>
      <c r="I43" s="154"/>
      <c r="J43" s="154"/>
      <c r="K43" s="154"/>
      <c r="L43" s="154"/>
      <c r="M43" s="154"/>
      <c r="N43" s="154"/>
    </row>
    <row r="44" spans="1:14">
      <c r="A44" s="153" t="s">
        <v>194</v>
      </c>
      <c r="B44" s="149"/>
      <c r="C44" s="149"/>
      <c r="D44" s="149"/>
      <c r="E44" s="149"/>
      <c r="F44" s="149"/>
      <c r="G44" s="14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表3-1</vt:lpstr>
      <vt:lpstr>表4-1</vt:lpstr>
      <vt:lpstr>補足表2-1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  <vt:lpstr>補足表6-5</vt:lpstr>
      <vt:lpstr>補足表7-1</vt:lpstr>
      <vt:lpstr>補足表7-2</vt:lpstr>
      <vt:lpstr>補足表7-3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2023-07-10T05:22:21Z</dcterms:created>
  <dcterms:modified xsi:type="dcterms:W3CDTF">2023-07-10T05:22:29Z</dcterms:modified>
</cp:coreProperties>
</file>