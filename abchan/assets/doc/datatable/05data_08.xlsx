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fileSharing readOnlyRecommended="1"/>
  <workbookPr filterPrivacy="1" defaultThemeVersion="124226"/>
  <xr:revisionPtr revIDLastSave="0" documentId="13_ncr:1_{F07C6A2F-A987-4FA9-A9C8-CC959FF2A798}" xr6:coauthVersionLast="47" xr6:coauthVersionMax="47" xr10:uidLastSave="{00000000-0000-0000-0000-000000000000}"/>
  <bookViews>
    <workbookView xWindow="3120" yWindow="-105" windowWidth="25725" windowHeight="15690" xr2:uid="{00000000-000D-0000-FFFF-FFFF00000000}"/>
  </bookViews>
  <sheets>
    <sheet name="表3-1" sheetId="5" r:id="rId1"/>
    <sheet name="表3-2" sheetId="2" r:id="rId2"/>
    <sheet name="表4-1" sheetId="7" r:id="rId3"/>
    <sheet name="表5-1~5-2" sheetId="9" r:id="rId4"/>
    <sheet name="補足表2-1~2-3" sheetId="8" r:id="rId5"/>
    <sheet name="補足表3-1" sheetId="16" r:id="rId6"/>
    <sheet name="補足表3-2" sheetId="17" r:id="rId7"/>
    <sheet name="補足表3-3" sheetId="18" r:id="rId8"/>
    <sheet name="補足表3-4" sheetId="19" r:id="rId9"/>
    <sheet name="補足表3-5" sheetId="15" r:id="rId10"/>
    <sheet name="補足表3-6~3-7" sheetId="12" r:id="rId11"/>
    <sheet name="補足資料4" sheetId="10" r:id="rId12"/>
    <sheet name="補足資料5" sheetId="11" r:id="rId13"/>
    <sheet name="補足表6-1" sheetId="20" r:id="rId14"/>
    <sheet name="補足表8-1" sheetId="13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<sst xmlns="http://schemas.openxmlformats.org/spreadsheetml/2006/main" count="363" uniqueCount="225">
  <si>
    <t>令和5（2023）年度ゴマサバ東シナ海系群の資源評価のデータセット</t>
    <phoneticPr fontId="1"/>
  </si>
  <si>
    <t>表3-1．大中型まき網のゴマサバ漁獲量と、大中型まき網以外の漁業種の府県別ゴマサバ漁獲量（トン）</t>
  </si>
  <si>
    <t>暦年</t>
  </si>
  <si>
    <t>大中まき</t>
  </si>
  <si>
    <t>鹿児島</t>
  </si>
  <si>
    <t>熊本</t>
  </si>
  <si>
    <t>長崎</t>
  </si>
  <si>
    <t>佐賀</t>
  </si>
  <si>
    <t>福岡</t>
  </si>
  <si>
    <t>山口</t>
  </si>
  <si>
    <t>島根</t>
  </si>
  <si>
    <t>鳥取</t>
  </si>
  <si>
    <t>兵庫</t>
  </si>
  <si>
    <t>京都</t>
  </si>
  <si>
    <t>福井</t>
  </si>
  <si>
    <t>合計</t>
  </si>
  <si>
    <t>漁獲量（千トン）</t>
  </si>
  <si>
    <t>漁獲努力量</t>
    <rPh sb="0" eb="2">
      <t>ギョカク</t>
    </rPh>
    <rPh sb="2" eb="4">
      <t>ドリョク</t>
    </rPh>
    <rPh sb="4" eb="5">
      <t>リョウ</t>
    </rPh>
    <phoneticPr fontId="2"/>
  </si>
  <si>
    <t>年</t>
  </si>
  <si>
    <t>日本</t>
  </si>
  <si>
    <t>韓国</t>
  </si>
  <si>
    <t>計</t>
  </si>
  <si>
    <t>（千網）</t>
    <rPh sb="1" eb="2">
      <t>セン</t>
    </rPh>
    <rPh sb="2" eb="3">
      <t>アミ</t>
    </rPh>
    <phoneticPr fontId="2"/>
  </si>
  <si>
    <t>表4-1.　コホート解析結果</t>
    <rPh sb="0" eb="1">
      <t>ヒョウ</t>
    </rPh>
    <rPh sb="10" eb="12">
      <t>カイセキ</t>
    </rPh>
    <rPh sb="12" eb="14">
      <t>ケッカ</t>
    </rPh>
    <phoneticPr fontId="1"/>
  </si>
  <si>
    <t>資源量</t>
  </si>
  <si>
    <t>親魚量</t>
  </si>
  <si>
    <t>加入量</t>
  </si>
  <si>
    <t>再生産成功率</t>
  </si>
  <si>
    <t>漁獲割合</t>
  </si>
  <si>
    <t>%SPR</t>
    <phoneticPr fontId="2"/>
  </si>
  <si>
    <t>F/Fmsy</t>
    <phoneticPr fontId="2"/>
  </si>
  <si>
    <t>（千トン）</t>
  </si>
  <si>
    <t>（100万尾）</t>
  </si>
  <si>
    <t>（尾／kg）</t>
  </si>
  <si>
    <t>（％）</t>
  </si>
  <si>
    <t>表5-1.　 将来の親魚量が目標・限界管理基準値を上回る確率</t>
    <rPh sb="0" eb="1">
      <t>ヒョウ</t>
    </rPh>
    <phoneticPr fontId="1"/>
  </si>
  <si>
    <t>a）目標管理基準値を上回る確率（%）</t>
    <rPh sb="2" eb="4">
      <t>モクヒョウ</t>
    </rPh>
    <rPh sb="4" eb="6">
      <t>カンリ</t>
    </rPh>
    <rPh sb="6" eb="8">
      <t>キジュン</t>
    </rPh>
    <rPh sb="8" eb="9">
      <t>チ</t>
    </rPh>
    <rPh sb="10" eb="12">
      <t>ウワマワ</t>
    </rPh>
    <rPh sb="13" eb="15">
      <t>カクリツ</t>
    </rPh>
    <phoneticPr fontId="1"/>
  </si>
  <si>
    <t>β</t>
  </si>
  <si>
    <t>F2022</t>
    <phoneticPr fontId="1"/>
  </si>
  <si>
    <t>b）限界管理基準値を上回る確率（%）</t>
    <rPh sb="2" eb="4">
      <t>ゲンカイ</t>
    </rPh>
    <rPh sb="4" eb="6">
      <t>カンリ</t>
    </rPh>
    <rPh sb="6" eb="8">
      <t>キジュン</t>
    </rPh>
    <rPh sb="8" eb="9">
      <t>チ</t>
    </rPh>
    <rPh sb="10" eb="12">
      <t>ウワマワ</t>
    </rPh>
    <rPh sb="13" eb="15">
      <t>カクリツ</t>
    </rPh>
    <phoneticPr fontId="1"/>
  </si>
  <si>
    <t>表5-2.　 将来の親魚量および漁獲量の平均値の推移</t>
    <rPh sb="0" eb="1">
      <t>ヒョウ</t>
    </rPh>
    <phoneticPr fontId="1"/>
  </si>
  <si>
    <t>a）親魚量の平均値の推移（千トン）</t>
    <rPh sb="2" eb="3">
      <t>シン</t>
    </rPh>
    <rPh sb="3" eb="4">
      <t>ギョ</t>
    </rPh>
    <rPh sb="4" eb="5">
      <t>リョウ</t>
    </rPh>
    <rPh sb="6" eb="9">
      <t>ヘイキンチ</t>
    </rPh>
    <rPh sb="10" eb="12">
      <t>スイイ</t>
    </rPh>
    <rPh sb="13" eb="14">
      <t>セン</t>
    </rPh>
    <phoneticPr fontId="1"/>
  </si>
  <si>
    <t>b）漁獲量の平均値の推移（千トン）</t>
    <phoneticPr fontId="1"/>
  </si>
  <si>
    <t>補足表2-1. 年齢別平均尾叉長と平均体重、成熟割合、自然死亡係数</t>
    <rPh sb="0" eb="3">
      <t xml:space="preserve">ホソクヒョウ </t>
    </rPh>
    <rPh sb="8" eb="11">
      <t xml:space="preserve">ネンレイベツ </t>
    </rPh>
    <rPh sb="17" eb="19">
      <t xml:space="preserve">ヘイキン </t>
    </rPh>
    <rPh sb="22" eb="26">
      <t>セイジュクワリアイ</t>
    </rPh>
    <rPh sb="27" eb="29">
      <t>シゼン</t>
    </rPh>
    <rPh sb="29" eb="31">
      <t>シボウ</t>
    </rPh>
    <rPh sb="31" eb="33">
      <t>ケイスウ</t>
    </rPh>
    <phoneticPr fontId="1"/>
  </si>
  <si>
    <t>年齢</t>
  </si>
  <si>
    <t>3+</t>
  </si>
  <si>
    <t>尾叉長 (cm)</t>
  </si>
  <si>
    <t>体重 (g)</t>
  </si>
  <si>
    <t>成熟割合</t>
    <phoneticPr fontId="1"/>
  </si>
  <si>
    <t>死亡係数</t>
    <rPh sb="0" eb="2">
      <t>シボウ</t>
    </rPh>
    <rPh sb="2" eb="4">
      <t>ケイスウ</t>
    </rPh>
    <phoneticPr fontId="1"/>
  </si>
  <si>
    <t>補足表2-2. 年齢別資源量指標値</t>
    <rPh sb="0" eb="3">
      <t xml:space="preserve">ホソクヒョウ </t>
    </rPh>
    <phoneticPr fontId="1"/>
  </si>
  <si>
    <t>指標値</t>
    <rPh sb="0" eb="3">
      <t>シヒョウチ</t>
    </rPh>
    <phoneticPr fontId="1"/>
  </si>
  <si>
    <t>k</t>
    <phoneticPr fontId="1"/>
  </si>
  <si>
    <t>0歳</t>
  </si>
  <si>
    <t>1歳</t>
  </si>
  <si>
    <t>2歳</t>
  </si>
  <si>
    <t>3歳以上</t>
  </si>
  <si>
    <t>枕崎中まき</t>
  </si>
  <si>
    <t>0～1歳</t>
  </si>
  <si>
    <t>2歳以上</t>
  </si>
  <si>
    <t>補足表2-3. 将来予測計算に用いたパラメータ</t>
    <rPh sb="0" eb="3">
      <t xml:space="preserve">ホソクヒョウ </t>
    </rPh>
    <rPh sb="8" eb="10">
      <t>ショウライ</t>
    </rPh>
    <rPh sb="10" eb="12">
      <t>ヨソク</t>
    </rPh>
    <rPh sb="12" eb="14">
      <t>ケイサン</t>
    </rPh>
    <rPh sb="15" eb="16">
      <t>モチ</t>
    </rPh>
    <phoneticPr fontId="1"/>
  </si>
  <si>
    <t>年齢</t>
    <rPh sb="0" eb="2">
      <t>ネンレイ</t>
    </rPh>
    <phoneticPr fontId="1"/>
  </si>
  <si>
    <t>選択率</t>
  </si>
  <si>
    <t>Fmsy</t>
  </si>
  <si>
    <t>平均体重（g）</t>
  </si>
  <si>
    <t>自然死亡係数</t>
  </si>
  <si>
    <t>成熟率</t>
  </si>
  <si>
    <t>（注1）</t>
  </si>
  <si>
    <t>（注2）</t>
  </si>
  <si>
    <t>（注3）</t>
  </si>
  <si>
    <t>注1：　平成31年度研究機関会議でMSYを実現する水準の推定の際に使用した選択率（すなわち、平成30年度資源評価でのFcurrentの選択率）。</t>
  </si>
  <si>
    <t>注2：　平成31年度研究機関会議で推定されたFmsy（すなわち、平成30年度資源評価でのFcurrentにFmsy/Fcurrentを掛けたもの）。</t>
  </si>
  <si>
    <t>注3：　上記の選択率の下で、今回の資源評価で推定された2022年の年齢別のFと同じ漁獲圧を与えるF値を%SPR換算して算出した。このF値は2023年の漁獲量の仮定に使用した。</t>
    <phoneticPr fontId="1"/>
  </si>
  <si>
    <t>補足表3-6. 漁獲シナリオに対応する将来予測の年齢別詳細情報</t>
    <rPh sb="0" eb="3">
      <t xml:space="preserve">ホソクヒョウ </t>
    </rPh>
    <rPh sb="8" eb="10">
      <t xml:space="preserve">ギョカクシナリオ </t>
    </rPh>
    <rPh sb="15" eb="17">
      <t xml:space="preserve">タイオウスル </t>
    </rPh>
    <rPh sb="19" eb="23">
      <t xml:space="preserve">ショウライヨソクノ </t>
    </rPh>
    <rPh sb="24" eb="27">
      <t xml:space="preserve">ネンレイベツ </t>
    </rPh>
    <rPh sb="27" eb="29">
      <t xml:space="preserve">ショウサイ </t>
    </rPh>
    <rPh sb="29" eb="31">
      <t xml:space="preserve">ジョウホウ </t>
    </rPh>
    <phoneticPr fontId="1"/>
  </si>
  <si>
    <r>
      <t>年齢別漁獲係数（F値）</t>
    </r>
    <r>
      <rPr>
        <vertAlign val="superscript"/>
        <sz val="10.5"/>
        <color theme="1"/>
        <rFont val="ＭＳ Ｐゴシック"/>
        <family val="3"/>
        <charset val="128"/>
        <scheme val="minor"/>
      </rPr>
      <t>＊</t>
    </r>
  </si>
  <si>
    <t>年齢＼年</t>
  </si>
  <si>
    <t>平均</t>
  </si>
  <si>
    <r>
      <t>年齢別平均資源尾数（百万尾）</t>
    </r>
    <r>
      <rPr>
        <vertAlign val="superscript"/>
        <sz val="10.5"/>
        <color theme="1"/>
        <rFont val="ＭＳ Ｐゴシック"/>
        <family val="3"/>
        <charset val="128"/>
        <scheme val="minor"/>
      </rPr>
      <t>＊</t>
    </r>
  </si>
  <si>
    <r>
      <t>年齢別平均資源量（千トン）</t>
    </r>
    <r>
      <rPr>
        <vertAlign val="superscript"/>
        <sz val="10.5"/>
        <color theme="1"/>
        <rFont val="ＭＳ Ｐゴシック"/>
        <family val="3"/>
        <charset val="128"/>
        <scheme val="minor"/>
      </rPr>
      <t>＊</t>
    </r>
  </si>
  <si>
    <r>
      <t>年齢別平均漁獲尾数（百万尾）</t>
    </r>
    <r>
      <rPr>
        <vertAlign val="superscript"/>
        <sz val="10.5"/>
        <color theme="1"/>
        <rFont val="ＭＳ Ｐゴシック"/>
        <family val="3"/>
        <charset val="128"/>
        <scheme val="minor"/>
      </rPr>
      <t>＊</t>
    </r>
  </si>
  <si>
    <r>
      <t>＊</t>
    </r>
    <r>
      <rPr>
        <sz val="10.5"/>
        <color theme="1"/>
        <rFont val="ＭＳ Ｐゴシック"/>
        <family val="3"/>
        <charset val="128"/>
        <scheme val="minor"/>
      </rPr>
      <t>10,000回の繰り返し計算を行った平均値</t>
    </r>
  </si>
  <si>
    <t>補足表3-7.現状の漁獲圧（F2022）に対応する将来予測の年齢別詳細情報</t>
    <rPh sb="0" eb="3">
      <t xml:space="preserve">ホソクヒョウ </t>
    </rPh>
    <rPh sb="7" eb="9">
      <t xml:space="preserve">ゲンジョウノ </t>
    </rPh>
    <rPh sb="10" eb="13">
      <t xml:space="preserve">ギョカクアツ </t>
    </rPh>
    <rPh sb="21" eb="23">
      <t xml:space="preserve">タイオウスル </t>
    </rPh>
    <rPh sb="25" eb="29">
      <t xml:space="preserve">ショウライヨソクノ </t>
    </rPh>
    <rPh sb="30" eb="33">
      <t xml:space="preserve">ネンレイベツ </t>
    </rPh>
    <rPh sb="33" eb="35">
      <t xml:space="preserve">ショウサイ </t>
    </rPh>
    <rPh sb="35" eb="37">
      <t xml:space="preserve">ジョウホウ </t>
    </rPh>
    <phoneticPr fontId="1"/>
  </si>
  <si>
    <t>ｎ</t>
    <phoneticPr fontId="1"/>
  </si>
  <si>
    <t>（1）計量魚探などを用いた浮魚類魚群量調査による現存量指標値</t>
    <rPh sb="3" eb="5">
      <t xml:space="preserve">ケイリョウ </t>
    </rPh>
    <rPh sb="5" eb="7">
      <t xml:space="preserve">ケイリョウギョタン </t>
    </rPh>
    <rPh sb="10" eb="11">
      <t xml:space="preserve">モチイタ </t>
    </rPh>
    <rPh sb="13" eb="16">
      <t xml:space="preserve">ウキウオルイ </t>
    </rPh>
    <rPh sb="16" eb="18">
      <t xml:space="preserve">ギョグン </t>
    </rPh>
    <rPh sb="18" eb="19">
      <t xml:space="preserve">リョウ </t>
    </rPh>
    <rPh sb="19" eb="21">
      <t xml:space="preserve">チョウサ </t>
    </rPh>
    <rPh sb="24" eb="26">
      <t>ゲンゾン</t>
    </rPh>
    <rPh sb="26" eb="27">
      <t>リョウ</t>
    </rPh>
    <rPh sb="27" eb="29">
      <t>シヒョウ</t>
    </rPh>
    <rPh sb="29" eb="30">
      <t>アタイ</t>
    </rPh>
    <phoneticPr fontId="1"/>
  </si>
  <si>
    <t>さば類</t>
  </si>
  <si>
    <t>（2）底魚類現存量調査（東シナ海）による現存量推定値（トン）</t>
    <rPh sb="3" eb="6">
      <t xml:space="preserve">ソコウオルイ </t>
    </rPh>
    <rPh sb="6" eb="8">
      <t xml:space="preserve">ゲンゾン </t>
    </rPh>
    <rPh sb="8" eb="9">
      <t xml:space="preserve">リョウ </t>
    </rPh>
    <rPh sb="9" eb="11">
      <t xml:space="preserve">チョウサ </t>
    </rPh>
    <rPh sb="20" eb="22">
      <t>ゲンゾン</t>
    </rPh>
    <rPh sb="22" eb="23">
      <t>リョウ</t>
    </rPh>
    <rPh sb="23" eb="26">
      <t>スイテイチ</t>
    </rPh>
    <phoneticPr fontId="1"/>
  </si>
  <si>
    <t>ゴマサバ</t>
    <phoneticPr fontId="1"/>
  </si>
  <si>
    <t>未実施</t>
    <rPh sb="0" eb="3">
      <t>ミジッシ</t>
    </rPh>
    <phoneticPr fontId="1"/>
  </si>
  <si>
    <t>年＼年齢</t>
  </si>
  <si>
    <t>漁獲尾数（百万尾）</t>
  </si>
  <si>
    <t>漁獲重量（千トン）</t>
    <phoneticPr fontId="2"/>
  </si>
  <si>
    <t>漁獲係数F</t>
  </si>
  <si>
    <t>平均体重(g)</t>
    <rPh sb="0" eb="2">
      <t>ヘイキン</t>
    </rPh>
    <rPh sb="2" eb="4">
      <t>タイジュウ</t>
    </rPh>
    <phoneticPr fontId="2"/>
  </si>
  <si>
    <t>資源尾数（百万尾）</t>
  </si>
  <si>
    <t>資源量（千トン）</t>
    <rPh sb="0" eb="2">
      <t>シゲン</t>
    </rPh>
    <rPh sb="2" eb="3">
      <t>リョウ</t>
    </rPh>
    <rPh sb="4" eb="5">
      <t>セン</t>
    </rPh>
    <phoneticPr fontId="2"/>
  </si>
  <si>
    <t>3+</t>
    <phoneticPr fontId="2"/>
  </si>
  <si>
    <t>補足表8-1. 評価年度別の各年の加入量、親魚量、資源量および漁獲圧</t>
    <rPh sb="0" eb="3">
      <t xml:space="preserve">ホソクヒョウ </t>
    </rPh>
    <phoneticPr fontId="1"/>
  </si>
  <si>
    <t>赤色の数字は当該年ABC計算時の予測値もしくは仮定値を、青色の数字は評価年の予測値もしくは仮定値を、黒色の数字は資源評価での推定値をそれぞれ示す。</t>
    <phoneticPr fontId="1"/>
  </si>
  <si>
    <t>(1)加入量（百万尾）</t>
    <rPh sb="3" eb="5">
      <t>カニュウ</t>
    </rPh>
    <rPh sb="5" eb="6">
      <t>リョウ</t>
    </rPh>
    <rPh sb="7" eb="10">
      <t>ヒャクマンビ</t>
    </rPh>
    <phoneticPr fontId="1"/>
  </si>
  <si>
    <t>評価年</t>
  </si>
  <si>
    <t>2020年</t>
  </si>
  <si>
    <t>2021年</t>
  </si>
  <si>
    <t>2022年</t>
  </si>
  <si>
    <t>2023年</t>
  </si>
  <si>
    <t>2024年</t>
  </si>
  <si>
    <t>(2)親魚量（千トン）</t>
    <rPh sb="3" eb="5">
      <t>オヤウオ</t>
    </rPh>
    <rPh sb="5" eb="6">
      <t>リョウ</t>
    </rPh>
    <rPh sb="7" eb="8">
      <t>セン</t>
    </rPh>
    <phoneticPr fontId="1"/>
  </si>
  <si>
    <t>(3)資源量（千トン）</t>
    <rPh sb="3" eb="5">
      <t>シゲン</t>
    </rPh>
    <rPh sb="5" eb="6">
      <t>リョウ</t>
    </rPh>
    <rPh sb="7" eb="8">
      <t>セン</t>
    </rPh>
    <phoneticPr fontId="1"/>
  </si>
  <si>
    <t>(4)漁獲圧（F/Fmsy）</t>
    <rPh sb="3" eb="5">
      <t>ギョカク</t>
    </rPh>
    <rPh sb="5" eb="6">
      <t>アツ</t>
    </rPh>
    <phoneticPr fontId="1"/>
  </si>
  <si>
    <t>表3-2．日本と韓国の漁獲量と東シナ海・日本海で操業する大中型まき網漁業の漁獲努力量</t>
    <rPh sb="5" eb="7">
      <t>ニホン</t>
    </rPh>
    <rPh sb="8" eb="10">
      <t>カンコク</t>
    </rPh>
    <rPh sb="15" eb="16">
      <t xml:space="preserve">ヒガシシナカイ </t>
    </rPh>
    <rPh sb="20" eb="23">
      <t xml:space="preserve">ニホンカイ </t>
    </rPh>
    <rPh sb="24" eb="26">
      <t xml:space="preserve">ソウギョウスル </t>
    </rPh>
    <rPh sb="28" eb="30">
      <t xml:space="preserve">ダイチュウ </t>
    </rPh>
    <rPh sb="30" eb="31">
      <t xml:space="preserve">ガタ </t>
    </rPh>
    <rPh sb="33" eb="34">
      <t xml:space="preserve">アミ </t>
    </rPh>
    <rPh sb="34" eb="36">
      <t xml:space="preserve">ギョギョウ </t>
    </rPh>
    <rPh sb="37" eb="39">
      <t xml:space="preserve">ギョカク </t>
    </rPh>
    <rPh sb="39" eb="42">
      <t xml:space="preserve">ドリョクリョウ </t>
    </rPh>
    <phoneticPr fontId="1"/>
  </si>
  <si>
    <r>
      <t>β</t>
    </r>
    <r>
      <rPr>
        <sz val="10.5"/>
        <rFont val="ＭＳ 明朝"/>
        <family val="1"/>
        <charset val="128"/>
      </rPr>
      <t>を</t>
    </r>
    <r>
      <rPr>
        <sz val="10.5"/>
        <rFont val="Times New Roman"/>
        <family val="1"/>
      </rPr>
      <t>0</t>
    </r>
    <r>
      <rPr>
        <sz val="10.5"/>
        <rFont val="ＭＳ 明朝"/>
        <family val="1"/>
        <charset val="128"/>
      </rPr>
      <t>～</t>
    </r>
    <r>
      <rPr>
        <sz val="10.5"/>
        <rFont val="Times New Roman"/>
        <family val="1"/>
      </rPr>
      <t>1.0</t>
    </r>
    <r>
      <rPr>
        <sz val="10.5"/>
        <rFont val="ＭＳ 明朝"/>
        <family val="1"/>
        <charset val="128"/>
      </rPr>
      <t>で変更した場合の将来予測の結果を示す。</t>
    </r>
    <r>
      <rPr>
        <sz val="10.5"/>
        <rFont val="Times New Roman"/>
        <family val="1"/>
      </rPr>
      <t>2023</t>
    </r>
    <r>
      <rPr>
        <sz val="10.5"/>
        <rFont val="ＭＳ 明朝"/>
        <family val="1"/>
        <charset val="128"/>
      </rPr>
      <t>年の漁獲量は現状の漁獲圧（</t>
    </r>
    <r>
      <rPr>
        <sz val="10.5"/>
        <rFont val="Times New Roman"/>
        <family val="1"/>
      </rPr>
      <t>F2022</t>
    </r>
    <r>
      <rPr>
        <sz val="10.5"/>
        <rFont val="ＭＳ 明朝"/>
        <family val="1"/>
        <charset val="128"/>
      </rPr>
      <t>）から予測される</t>
    </r>
    <r>
      <rPr>
        <sz val="10.5"/>
        <rFont val="Times New Roman"/>
        <family val="1"/>
      </rPr>
      <t>60</t>
    </r>
    <r>
      <rPr>
        <sz val="10.5"/>
        <rFont val="ＭＳ 明朝"/>
        <family val="1"/>
        <charset val="128"/>
      </rPr>
      <t>千トンとし、</t>
    </r>
    <r>
      <rPr>
        <sz val="10.5"/>
        <rFont val="Times New Roman"/>
        <family val="1"/>
      </rPr>
      <t>2024</t>
    </r>
    <r>
      <rPr>
        <sz val="10.5"/>
        <rFont val="ＭＳ 明朝"/>
        <family val="1"/>
        <charset val="128"/>
      </rPr>
      <t>年から漁獲管理規則による漁獲とした。比較のため現状の漁獲圧（</t>
    </r>
    <r>
      <rPr>
        <sz val="10.5"/>
        <rFont val="Times New Roman"/>
        <family val="1"/>
      </rPr>
      <t>F2022</t>
    </r>
    <r>
      <rPr>
        <sz val="10.5"/>
        <rFont val="ＭＳ 明朝"/>
        <family val="1"/>
        <charset val="128"/>
      </rPr>
      <t>、</t>
    </r>
    <r>
      <rPr>
        <sz val="10.5"/>
        <rFont val="Times New Roman"/>
        <family val="1"/>
      </rPr>
      <t>β=1.56</t>
    </r>
    <r>
      <rPr>
        <sz val="10.5"/>
        <rFont val="ＭＳ 明朝"/>
        <family val="1"/>
        <charset val="128"/>
      </rPr>
      <t>に相当）で漁獲を続けた場合の結果も示した。太字は漁獲管理規則による管理開始から</t>
    </r>
    <r>
      <rPr>
        <sz val="10.5"/>
        <rFont val="Times New Roman"/>
        <family val="1"/>
      </rPr>
      <t>10</t>
    </r>
    <r>
      <rPr>
        <sz val="10.5"/>
        <rFont val="ＭＳ 明朝"/>
        <family val="1"/>
        <charset val="128"/>
      </rPr>
      <t>年目となる目標年の値を示す。</t>
    </r>
    <phoneticPr fontId="1"/>
  </si>
  <si>
    <t>βを0～1.0で変更した場合の将来予測の結果を示す。2023年の漁獲量は現状の漁獲圧（F2022）から予測される60千トンとし、2024年から漁獲管理規則による漁獲とした。比較のため現状の漁獲圧（F2022、β=1.56に相当）で漁獲を続けた場合の結果も示した。太字は漁獲管理規則による管理開始から10年目となる目標年の値を示す。</t>
    <phoneticPr fontId="1"/>
  </si>
  <si>
    <r>
      <t>補足資料</t>
    </r>
    <r>
      <rPr>
        <sz val="10.5"/>
        <rFont val="Arial"/>
        <family val="2"/>
      </rPr>
      <t>4</t>
    </r>
    <r>
      <rPr>
        <sz val="10.5"/>
        <rFont val="ＭＳ ゴシック"/>
        <family val="3"/>
        <charset val="128"/>
      </rPr>
      <t>　調査船調査の結果</t>
    </r>
  </si>
  <si>
    <t>304*</t>
    <phoneticPr fontId="1"/>
  </si>
  <si>
    <r>
      <t>*2023</t>
    </r>
    <r>
      <rPr>
        <sz val="10.5"/>
        <rFont val="ＭＳ 明朝"/>
        <family val="1"/>
        <charset val="128"/>
      </rPr>
      <t>年については暫定値。</t>
    </r>
    <phoneticPr fontId="1"/>
  </si>
  <si>
    <t>補足資料5　コホート解析結果の詳細（1992～2022年）</t>
    <rPh sb="0" eb="4">
      <t>ホソクシリョウ</t>
    </rPh>
    <rPh sb="10" eb="14">
      <t xml:space="preserve">カイセキケッカノ </t>
    </rPh>
    <rPh sb="15" eb="17">
      <t xml:space="preserve">ショウサイ </t>
    </rPh>
    <rPh sb="27" eb="28">
      <t>ネン</t>
    </rPh>
    <phoneticPr fontId="1"/>
  </si>
  <si>
    <r>
      <t>・</t>
    </r>
    <r>
      <rPr>
        <sz val="7"/>
        <color theme="1"/>
        <rFont val="Times New Roman"/>
        <family val="1"/>
      </rPr>
      <t xml:space="preserve">  </t>
    </r>
    <r>
      <rPr>
        <sz val="10.5"/>
        <color theme="1"/>
        <rFont val="ＭＳ Ｐ明朝"/>
        <family val="1"/>
        <charset val="128"/>
      </rPr>
      <t>加入変動を考慮しない決定論的な結果である。</t>
    </r>
  </si>
  <si>
    <r>
      <t>・</t>
    </r>
    <r>
      <rPr>
        <sz val="7"/>
        <color theme="1"/>
        <rFont val="Times New Roman"/>
        <family val="1"/>
      </rPr>
      <t xml:space="preserve">  </t>
    </r>
    <r>
      <rPr>
        <sz val="10.5"/>
        <color theme="1"/>
        <rFont val="Times New Roman"/>
        <family val="1"/>
      </rPr>
      <t>ABC</t>
    </r>
    <r>
      <rPr>
        <sz val="10.5"/>
        <color theme="1"/>
        <rFont val="ＭＳ 明朝"/>
        <family val="1"/>
        <charset val="128"/>
      </rPr>
      <t>は日本と韓国を合わせた値。</t>
    </r>
  </si>
  <si>
    <r>
      <t>・</t>
    </r>
    <r>
      <rPr>
        <sz val="7"/>
        <color theme="1"/>
        <rFont val="Times New Roman"/>
        <family val="1"/>
      </rPr>
      <t xml:space="preserve">  </t>
    </r>
    <r>
      <rPr>
        <sz val="10.5"/>
        <color theme="1"/>
        <rFont val="ＭＳ 明朝"/>
        <family val="1"/>
        <charset val="128"/>
      </rPr>
      <t>数値はいずれも漁期年の値である。</t>
    </r>
  </si>
  <si>
    <r>
      <t>・</t>
    </r>
    <r>
      <rPr>
        <sz val="7"/>
        <color theme="1"/>
        <rFont val="Times New Roman"/>
        <family val="1"/>
      </rPr>
      <t xml:space="preserve">  </t>
    </r>
    <r>
      <rPr>
        <sz val="10.5"/>
        <color theme="1"/>
        <rFont val="Times New Roman"/>
        <family val="1"/>
      </rPr>
      <t>ABC</t>
    </r>
    <r>
      <rPr>
        <sz val="10.5"/>
        <color theme="1"/>
        <rFont val="ＭＳ Ｐ明朝"/>
        <family val="1"/>
        <charset val="128"/>
      </rPr>
      <t>の算定には、令和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Ｐ明朝"/>
        <family val="1"/>
        <charset val="128"/>
      </rPr>
      <t>年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Ｐ明朝"/>
        <family val="1"/>
        <charset val="128"/>
      </rPr>
      <t>月に開催された「資源管理方針に関する検討会」にて取りまとめられ、令和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Ｐ明朝"/>
        <family val="1"/>
        <charset val="128"/>
      </rPr>
      <t>年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ＭＳ Ｐ明朝"/>
        <family val="1"/>
        <charset val="128"/>
      </rPr>
      <t>月に開催された「水産政策審議会」を経て定められた漁獲シナリオでの漁獲管理規則を用いた。</t>
    </r>
  </si>
  <si>
    <t>コメント：</t>
  </si>
  <si>
    <r>
      <t>（</t>
    </r>
    <r>
      <rPr>
        <sz val="10.5"/>
        <color rgb="FF000000"/>
        <rFont val="Times New Roman"/>
        <family val="1"/>
      </rPr>
      <t>F/F2022</t>
    </r>
    <r>
      <rPr>
        <sz val="10.5"/>
        <color rgb="FF000000"/>
        <rFont val="ＭＳ Ｐ明朝"/>
        <family val="1"/>
        <charset val="128"/>
      </rPr>
      <t>）</t>
    </r>
  </si>
  <si>
    <r>
      <t>漁獲割合（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ＭＳ Ｐ明朝"/>
        <family val="1"/>
        <charset val="128"/>
      </rPr>
      <t>）</t>
    </r>
  </si>
  <si>
    <t>対する比</t>
  </si>
  <si>
    <t>予測平均値</t>
  </si>
  <si>
    <t>ABC</t>
  </si>
  <si>
    <r>
      <t>2024</t>
    </r>
    <r>
      <rPr>
        <sz val="10.5"/>
        <color rgb="FF000000"/>
        <rFont val="ＭＳ Ｐ明朝"/>
        <family val="1"/>
        <charset val="128"/>
      </rPr>
      <t>年の</t>
    </r>
  </si>
  <si>
    <t>現状の漁獲圧に</t>
  </si>
  <si>
    <r>
      <t>2024</t>
    </r>
    <r>
      <rPr>
        <sz val="10.5"/>
        <color rgb="FF000000"/>
        <rFont val="ＭＳ Ｐ明朝"/>
        <family val="1"/>
        <charset val="128"/>
      </rPr>
      <t>年漁期の親魚量</t>
    </r>
  </si>
  <si>
    <r>
      <t>2024</t>
    </r>
    <r>
      <rPr>
        <sz val="10.5"/>
        <color rgb="FF000000"/>
        <rFont val="ＭＳ Ｐ明朝"/>
        <family val="1"/>
        <charset val="128"/>
      </rPr>
      <t>年漁期の</t>
    </r>
  </si>
  <si>
    <t>補足表6-1. ABCと予測親魚量</t>
    <rPh sb="0" eb="3">
      <t xml:space="preserve">ホソクヒョウ </t>
    </rPh>
    <rPh sb="12" eb="14">
      <t>ヨソク</t>
    </rPh>
    <rPh sb="14" eb="17">
      <t>オヤウオリョウ</t>
    </rPh>
    <phoneticPr fontId="1"/>
  </si>
  <si>
    <t>再生産関係式</t>
  </si>
  <si>
    <t>最適化法</t>
  </si>
  <si>
    <t>自己相関</t>
  </si>
  <si>
    <t>a</t>
  </si>
  <si>
    <t>b</t>
  </si>
  <si>
    <t>S.D.</t>
  </si>
  <si>
    <t>ρ</t>
  </si>
  <si>
    <r>
      <t>ホッケー・スティック</t>
    </r>
    <r>
      <rPr>
        <sz val="10.5"/>
        <color rgb="FF000000"/>
        <rFont val="ＭＳ Ｐ明朝"/>
        <family val="1"/>
        <charset val="128"/>
      </rPr>
      <t>型</t>
    </r>
  </si>
  <si>
    <t>最小絶対値法</t>
  </si>
  <si>
    <t>無</t>
  </si>
  <si>
    <t>-</t>
  </si>
  <si>
    <t>項目</t>
  </si>
  <si>
    <t>値</t>
  </si>
  <si>
    <t>説明</t>
  </si>
  <si>
    <t>SBtarget</t>
  </si>
  <si>
    <r>
      <t>109</t>
    </r>
    <r>
      <rPr>
        <sz val="10.5"/>
        <color theme="1"/>
        <rFont val="ＭＳ Ｐ明朝"/>
        <family val="1"/>
        <charset val="128"/>
      </rPr>
      <t>千</t>
    </r>
    <r>
      <rPr>
        <sz val="10.5"/>
        <color rgb="FF000000"/>
        <rFont val="ＭＳ Ｐ明朝"/>
        <family val="1"/>
        <charset val="128"/>
      </rPr>
      <t>トン</t>
    </r>
  </si>
  <si>
    <r>
      <t>目標管理基準値。最大持続生産量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Ｐ明朝"/>
        <family val="1"/>
        <charset val="128"/>
      </rPr>
      <t>を実現する親魚量（</t>
    </r>
    <r>
      <rPr>
        <sz val="10.5"/>
        <color rgb="FF000000"/>
        <rFont val="Times New Roman"/>
        <family val="1"/>
      </rPr>
      <t>SBmsy</t>
    </r>
    <r>
      <rPr>
        <sz val="10.5"/>
        <color rgb="FF000000"/>
        <rFont val="ＭＳ Ｐ明朝"/>
        <family val="1"/>
        <charset val="128"/>
      </rPr>
      <t>）</t>
    </r>
  </si>
  <si>
    <t>SBlimit</t>
  </si>
  <si>
    <r>
      <t>51</t>
    </r>
    <r>
      <rPr>
        <sz val="10.5"/>
        <color theme="1"/>
        <rFont val="ＭＳ Ｐ明朝"/>
        <family val="1"/>
        <charset val="128"/>
      </rPr>
      <t>千</t>
    </r>
    <r>
      <rPr>
        <sz val="10.5"/>
        <color rgb="FF000000"/>
        <rFont val="ＭＳ Ｐ明朝"/>
        <family val="1"/>
        <charset val="128"/>
      </rPr>
      <t>トン</t>
    </r>
  </si>
  <si>
    <r>
      <t>限界管理基準値。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Ｐ明朝"/>
        <family val="1"/>
        <charset val="128"/>
      </rPr>
      <t>の</t>
    </r>
    <r>
      <rPr>
        <sz val="10.5"/>
        <color rgb="FF000000"/>
        <rFont val="Times New Roman"/>
        <family val="1"/>
      </rPr>
      <t>60%</t>
    </r>
    <r>
      <rPr>
        <sz val="10.5"/>
        <color rgb="FF000000"/>
        <rFont val="ＭＳ Ｐ明朝"/>
        <family val="1"/>
        <charset val="128"/>
      </rPr>
      <t>の漁獲量が得られる親魚量（</t>
    </r>
    <r>
      <rPr>
        <sz val="10.5"/>
        <color rgb="FF000000"/>
        <rFont val="Times New Roman"/>
        <family val="1"/>
      </rPr>
      <t>SB0.6msy</t>
    </r>
    <r>
      <rPr>
        <sz val="10.5"/>
        <color rgb="FF000000"/>
        <rFont val="ＭＳ Ｐ明朝"/>
        <family val="1"/>
        <charset val="128"/>
      </rPr>
      <t>）</t>
    </r>
    <phoneticPr fontId="42"/>
  </si>
  <si>
    <t>SBban</t>
  </si>
  <si>
    <r>
      <t xml:space="preserve"> 8</t>
    </r>
    <r>
      <rPr>
        <sz val="10.5"/>
        <color theme="1"/>
        <rFont val="ＭＳ Ｐ明朝"/>
        <family val="1"/>
        <charset val="128"/>
      </rPr>
      <t>千</t>
    </r>
    <r>
      <rPr>
        <sz val="10.5"/>
        <color rgb="FF000000"/>
        <rFont val="ＭＳ Ｐ明朝"/>
        <family val="1"/>
        <charset val="128"/>
      </rPr>
      <t>トン</t>
    </r>
  </si>
  <si>
    <r>
      <t>禁漁水準。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Ｐ明朝"/>
        <family val="1"/>
        <charset val="128"/>
      </rPr>
      <t>の</t>
    </r>
    <r>
      <rPr>
        <sz val="10.5"/>
        <color rgb="FF000000"/>
        <rFont val="Times New Roman"/>
        <family val="1"/>
      </rPr>
      <t>10%</t>
    </r>
    <r>
      <rPr>
        <sz val="10.5"/>
        <color rgb="FF000000"/>
        <rFont val="ＭＳ Ｐ明朝"/>
        <family val="1"/>
        <charset val="128"/>
      </rPr>
      <t>の漁獲量が得られる親魚量（</t>
    </r>
    <r>
      <rPr>
        <sz val="10.5"/>
        <color rgb="FF000000"/>
        <rFont val="Times New Roman"/>
        <family val="1"/>
      </rPr>
      <t>SB0.1msy</t>
    </r>
    <r>
      <rPr>
        <sz val="10.5"/>
        <color rgb="FF000000"/>
        <rFont val="ＭＳ Ｐ明朝"/>
        <family val="1"/>
        <charset val="128"/>
      </rPr>
      <t>）</t>
    </r>
    <rPh sb="0" eb="2">
      <t>キンリョウ</t>
    </rPh>
    <rPh sb="2" eb="4">
      <t>スイジュン</t>
    </rPh>
    <phoneticPr fontId="42"/>
  </si>
  <si>
    <r>
      <t>最大持続生産量</t>
    </r>
    <r>
      <rPr>
        <sz val="10.5"/>
        <color theme="1"/>
        <rFont val="Times New Roman"/>
        <family val="1"/>
      </rPr>
      <t>MSY</t>
    </r>
    <r>
      <rPr>
        <sz val="10.5"/>
        <color theme="1"/>
        <rFont val="ＭＳ Ｐ明朝"/>
        <family val="1"/>
        <charset val="128"/>
      </rPr>
      <t>を実現する漁獲圧（漁獲係数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Ｐ明朝"/>
        <family val="1"/>
        <charset val="128"/>
      </rPr>
      <t>）</t>
    </r>
  </si>
  <si>
    <r>
      <t>（</t>
    </r>
    <r>
      <rPr>
        <sz val="10.5"/>
        <color theme="1"/>
        <rFont val="Times New Roman"/>
        <family val="1"/>
      </rPr>
      <t>0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1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2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3</t>
    </r>
    <r>
      <rPr>
        <sz val="10.5"/>
        <color theme="1"/>
        <rFont val="ＭＳ Ｐ明朝"/>
        <family val="1"/>
        <charset val="128"/>
      </rPr>
      <t>歳以上）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0.36, 0.47, 0.66, 0.66</t>
    </r>
    <r>
      <rPr>
        <sz val="10.5"/>
        <color theme="1"/>
        <rFont val="ＭＳ Ｐ明朝"/>
        <family val="1"/>
        <charset val="128"/>
      </rPr>
      <t>）</t>
    </r>
  </si>
  <si>
    <r>
      <t>%SPR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Fmsy</t>
    </r>
    <r>
      <rPr>
        <sz val="10.5"/>
        <color theme="1"/>
        <rFont val="ＭＳ Ｐ明朝"/>
        <family val="1"/>
        <charset val="128"/>
      </rPr>
      <t>）</t>
    </r>
  </si>
  <si>
    <r>
      <t>Fmsy</t>
    </r>
    <r>
      <rPr>
        <sz val="10.5"/>
        <color theme="1"/>
        <rFont val="ＭＳ Ｐ明朝"/>
        <family val="1"/>
        <charset val="128"/>
      </rPr>
      <t>に対応する</t>
    </r>
    <r>
      <rPr>
        <sz val="10.5"/>
        <color theme="1"/>
        <rFont val="Times New Roman"/>
        <family val="1"/>
      </rPr>
      <t>%SPR</t>
    </r>
  </si>
  <si>
    <t>MSY</t>
  </si>
  <si>
    <r>
      <t>76</t>
    </r>
    <r>
      <rPr>
        <sz val="10.5"/>
        <color theme="1"/>
        <rFont val="ＭＳ Ｐ明朝"/>
        <family val="1"/>
        <charset val="128"/>
      </rPr>
      <t>千</t>
    </r>
    <r>
      <rPr>
        <sz val="10.5"/>
        <color rgb="FF000000"/>
        <rFont val="ＭＳ Ｐ明朝"/>
        <family val="1"/>
        <charset val="128"/>
      </rPr>
      <t>トン</t>
    </r>
  </si>
  <si>
    <r>
      <t>最大持続生産量</t>
    </r>
    <r>
      <rPr>
        <sz val="10.5"/>
        <color rgb="FF000000"/>
        <rFont val="Times New Roman"/>
        <family val="1"/>
      </rPr>
      <t xml:space="preserve">MSY </t>
    </r>
  </si>
  <si>
    <t>補足表3-1. 再生産関係式のパラメータ</t>
    <rPh sb="0" eb="3">
      <t xml:space="preserve">ホソクヒョウ </t>
    </rPh>
    <rPh sb="8" eb="11">
      <t>サイセイサン</t>
    </rPh>
    <rPh sb="11" eb="13">
      <t>カンケイ</t>
    </rPh>
    <rPh sb="13" eb="14">
      <t>シキ</t>
    </rPh>
    <phoneticPr fontId="1"/>
  </si>
  <si>
    <t>補足表3-2. 管理基準値とMSY</t>
    <rPh sb="0" eb="3">
      <t xml:space="preserve">ホソクヒョウ </t>
    </rPh>
    <rPh sb="8" eb="10">
      <t>カンリ</t>
    </rPh>
    <rPh sb="10" eb="12">
      <t>キジュン</t>
    </rPh>
    <rPh sb="12" eb="13">
      <t>チ</t>
    </rPh>
    <phoneticPr fontId="1"/>
  </si>
  <si>
    <t>aとbは各再生産関係式の推定パラメータ、S.D.は加入量の標準偏差、ρは自己相関係数である。</t>
  </si>
  <si>
    <t>SB2022</t>
  </si>
  <si>
    <r>
      <t>50</t>
    </r>
    <r>
      <rPr>
        <sz val="10.5"/>
        <color theme="1"/>
        <rFont val="ＭＳ Ｐ明朝"/>
        <family val="1"/>
        <charset val="128"/>
      </rPr>
      <t>千トン</t>
    </r>
  </si>
  <si>
    <r>
      <t>2022</t>
    </r>
    <r>
      <rPr>
        <sz val="10.5"/>
        <color rgb="FF000000"/>
        <rFont val="ＭＳ Ｐ明朝"/>
        <family val="1"/>
        <charset val="128"/>
      </rPr>
      <t>年の親魚量</t>
    </r>
  </si>
  <si>
    <t>F2022</t>
  </si>
  <si>
    <r>
      <t>2022</t>
    </r>
    <r>
      <rPr>
        <sz val="10.5"/>
        <color theme="1"/>
        <rFont val="ＭＳ Ｐ明朝"/>
        <family val="1"/>
        <charset val="128"/>
      </rPr>
      <t>年の漁獲圧（漁獲係数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Ｐ明朝"/>
        <family val="1"/>
        <charset val="128"/>
      </rPr>
      <t>）（</t>
    </r>
    <r>
      <rPr>
        <sz val="10.5"/>
        <color theme="1"/>
        <rFont val="Times New Roman"/>
        <family val="1"/>
      </rPr>
      <t>0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1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2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3</t>
    </r>
    <r>
      <rPr>
        <sz val="10.5"/>
        <color theme="1"/>
        <rFont val="ＭＳ Ｐ明朝"/>
        <family val="1"/>
        <charset val="128"/>
      </rPr>
      <t>歳以上）</t>
    </r>
  </si>
  <si>
    <r>
      <t>=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0.86, 0.75, 0.27, 0.27</t>
    </r>
    <r>
      <rPr>
        <sz val="10.5"/>
        <color theme="1"/>
        <rFont val="ＭＳ Ｐ明朝"/>
        <family val="1"/>
        <charset val="128"/>
      </rPr>
      <t>）</t>
    </r>
  </si>
  <si>
    <t>U2022</t>
  </si>
  <si>
    <r>
      <t>2022</t>
    </r>
    <r>
      <rPr>
        <sz val="10.5"/>
        <color theme="1"/>
        <rFont val="ＭＳ Ｐ明朝"/>
        <family val="1"/>
        <charset val="128"/>
      </rPr>
      <t>年の漁獲割合</t>
    </r>
  </si>
  <si>
    <r>
      <t>%SPR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F2022</t>
    </r>
    <r>
      <rPr>
        <sz val="10.5"/>
        <color theme="1"/>
        <rFont val="ＭＳ Ｐ明朝"/>
        <family val="1"/>
        <charset val="128"/>
      </rPr>
      <t>）</t>
    </r>
  </si>
  <si>
    <r>
      <t>2022</t>
    </r>
    <r>
      <rPr>
        <sz val="10.5"/>
        <color rgb="FF000000"/>
        <rFont val="ＭＳ Ｐ明朝"/>
        <family val="1"/>
        <charset val="128"/>
      </rPr>
      <t>年の</t>
    </r>
    <r>
      <rPr>
        <sz val="10.5"/>
        <color rgb="FF000000"/>
        <rFont val="Times New Roman"/>
        <family val="1"/>
      </rPr>
      <t>%SPR</t>
    </r>
  </si>
  <si>
    <r>
      <t>現状（</t>
    </r>
    <r>
      <rPr>
        <sz val="10.5"/>
        <color rgb="FF000000"/>
        <rFont val="Times New Roman"/>
        <family val="1"/>
      </rPr>
      <t>2022</t>
    </r>
    <r>
      <rPr>
        <sz val="10.5"/>
        <color rgb="FF000000"/>
        <rFont val="ＭＳ Ｐ明朝"/>
        <family val="1"/>
        <charset val="128"/>
      </rPr>
      <t>年）の漁獲圧に対応する</t>
    </r>
    <r>
      <rPr>
        <sz val="10.5"/>
        <color rgb="FF000000"/>
        <rFont val="Times New Roman"/>
        <family val="1"/>
      </rPr>
      <t>%SPR</t>
    </r>
  </si>
  <si>
    <t>管理基準値との比較</t>
  </si>
  <si>
    <t>SB2022/ SBmsy</t>
  </si>
  <si>
    <r>
      <t>最大持続生産量を実現する親魚量（目標管理基準値）に対する</t>
    </r>
    <r>
      <rPr>
        <sz val="10.5"/>
        <color rgb="FF000000"/>
        <rFont val="Times New Roman"/>
        <family val="1"/>
      </rPr>
      <t>2022</t>
    </r>
    <r>
      <rPr>
        <sz val="10.5"/>
        <color rgb="FF000000"/>
        <rFont val="ＭＳ Ｐ明朝"/>
        <family val="1"/>
        <charset val="128"/>
      </rPr>
      <t>年の親魚量の比</t>
    </r>
  </si>
  <si>
    <t xml:space="preserve"> (SBtarget)</t>
  </si>
  <si>
    <t>F2022/ Fmsy</t>
  </si>
  <si>
    <r>
      <t>最大持続生産量を実現する漁獲圧に対する</t>
    </r>
    <r>
      <rPr>
        <sz val="10.5"/>
        <color rgb="FF000000"/>
        <rFont val="Times New Roman"/>
        <family val="1"/>
      </rPr>
      <t>2022</t>
    </r>
    <r>
      <rPr>
        <sz val="10.5"/>
        <color rgb="FF000000"/>
        <rFont val="ＭＳ Ｐ明朝"/>
        <family val="1"/>
        <charset val="128"/>
      </rPr>
      <t>年の漁獲圧の比</t>
    </r>
    <r>
      <rPr>
        <sz val="10.5"/>
        <color rgb="FF000000"/>
        <rFont val="Times New Roman"/>
        <family val="1"/>
      </rPr>
      <t>*</t>
    </r>
  </si>
  <si>
    <t>親魚量の水準</t>
  </si>
  <si>
    <r>
      <t>MSY</t>
    </r>
    <r>
      <rPr>
        <sz val="10.5"/>
        <color theme="1"/>
        <rFont val="ＭＳ Ｐ明朝"/>
        <family val="1"/>
        <charset val="128"/>
      </rPr>
      <t>を実現する水準を下回る</t>
    </r>
  </si>
  <si>
    <t>漁獲圧の水準</t>
  </si>
  <si>
    <r>
      <t>MSY</t>
    </r>
    <r>
      <rPr>
        <sz val="10.5"/>
        <color theme="1"/>
        <rFont val="ＭＳ Ｐ明朝"/>
        <family val="1"/>
        <charset val="128"/>
      </rPr>
      <t>を実現する水準を上回る</t>
    </r>
  </si>
  <si>
    <t>親魚量の動向</t>
  </si>
  <si>
    <t>横ばい</t>
  </si>
  <si>
    <t>* 2022年の選択率の下でFmsyの漁獲圧を与えるFを%SPR換算して算出し求めた比率。</t>
  </si>
  <si>
    <t>補足表3-3. 最新年の親魚量と漁獲圧</t>
    <rPh sb="0" eb="3">
      <t xml:space="preserve">ホソクヒョウ </t>
    </rPh>
    <rPh sb="8" eb="11">
      <t>サイシンネン</t>
    </rPh>
    <rPh sb="12" eb="14">
      <t>オヤウオ</t>
    </rPh>
    <rPh sb="14" eb="15">
      <t>リョウ</t>
    </rPh>
    <rPh sb="16" eb="19">
      <t>ギョカクアツ</t>
    </rPh>
    <phoneticPr fontId="1"/>
  </si>
  <si>
    <r>
      <t>2024</t>
    </r>
    <r>
      <rPr>
        <sz val="10.5"/>
        <color rgb="FF000000"/>
        <rFont val="ＭＳ Ｐ明朝"/>
        <family val="1"/>
        <charset val="128"/>
      </rPr>
      <t>年の親魚量</t>
    </r>
  </si>
  <si>
    <r>
      <t>・</t>
    </r>
    <r>
      <rPr>
        <sz val="7"/>
        <color theme="1"/>
        <rFont val="Times New Roman"/>
        <family val="1"/>
      </rPr>
      <t xml:space="preserve">  </t>
    </r>
    <r>
      <rPr>
        <sz val="10.5"/>
        <color theme="1"/>
        <rFont val="ＭＳ 明朝"/>
        <family val="1"/>
        <charset val="128"/>
      </rPr>
      <t>数値はいずれも暦年の値である。</t>
    </r>
  </si>
  <si>
    <r>
      <t>・</t>
    </r>
    <r>
      <rPr>
        <sz val="7"/>
        <color theme="1"/>
        <rFont val="Times New Roman"/>
        <family val="1"/>
      </rPr>
      <t xml:space="preserve">  </t>
    </r>
    <r>
      <rPr>
        <sz val="10.5"/>
        <color theme="1"/>
        <rFont val="Times New Roman"/>
        <family val="1"/>
      </rPr>
      <t>2024</t>
    </r>
    <r>
      <rPr>
        <sz val="10.5"/>
        <color theme="1"/>
        <rFont val="ＭＳ Ｐ明朝"/>
        <family val="1"/>
        <charset val="128"/>
      </rPr>
      <t>年漁期での</t>
    </r>
    <r>
      <rPr>
        <sz val="10.5"/>
        <color theme="1"/>
        <rFont val="Times New Roman"/>
        <family val="1"/>
      </rPr>
      <t>ABC</t>
    </r>
    <r>
      <rPr>
        <sz val="10.5"/>
        <color theme="1"/>
        <rFont val="ＭＳ Ｐ明朝"/>
        <family val="1"/>
        <charset val="128"/>
      </rPr>
      <t>は</t>
    </r>
    <r>
      <rPr>
        <sz val="10.5"/>
        <color theme="1"/>
        <rFont val="Times New Roman"/>
        <family val="1"/>
      </rPr>
      <t>34</t>
    </r>
    <r>
      <rPr>
        <sz val="10.5"/>
        <color theme="1"/>
        <rFont val="ＭＳ Ｐ明朝"/>
        <family val="1"/>
        <charset val="128"/>
      </rPr>
      <t>千トンである（漁期は</t>
    </r>
    <r>
      <rPr>
        <sz val="10.5"/>
        <color theme="1"/>
        <rFont val="Times New Roman"/>
        <family val="1"/>
      </rPr>
      <t>7</t>
    </r>
    <r>
      <rPr>
        <sz val="10.5"/>
        <color theme="1"/>
        <rFont val="ＭＳ Ｐ明朝"/>
        <family val="1"/>
        <charset val="128"/>
      </rPr>
      <t>月～翌年</t>
    </r>
    <r>
      <rPr>
        <sz val="10.5"/>
        <color theme="1"/>
        <rFont val="Times New Roman"/>
        <family val="1"/>
      </rPr>
      <t>6</t>
    </r>
    <r>
      <rPr>
        <sz val="10.5"/>
        <color theme="1"/>
        <rFont val="ＭＳ Ｐ明朝"/>
        <family val="1"/>
        <charset val="128"/>
      </rPr>
      <t>月）。</t>
    </r>
  </si>
  <si>
    <t>補足表3-4. ABCと予測親魚量</t>
    <rPh sb="0" eb="3">
      <t xml:space="preserve">ホソクヒョウ </t>
    </rPh>
    <rPh sb="12" eb="14">
      <t>ヨソク</t>
    </rPh>
    <rPh sb="14" eb="17">
      <t>オヤウオリョウ</t>
    </rPh>
    <phoneticPr fontId="1"/>
  </si>
  <si>
    <t>考慮している不確実性：加入量</t>
  </si>
  <si>
    <t>考慮している不確実性：加入量　</t>
  </si>
  <si>
    <r>
      <t>2030</t>
    </r>
    <r>
      <rPr>
        <sz val="10.5"/>
        <color rgb="FF000000"/>
        <rFont val="ＭＳ Ｐ明朝"/>
        <family val="1"/>
        <charset val="128"/>
      </rPr>
      <t>年</t>
    </r>
  </si>
  <si>
    <r>
      <t>2030</t>
    </r>
    <r>
      <rPr>
        <sz val="10.5"/>
        <color rgb="FF000000"/>
        <rFont val="ＭＳ Ｐ明朝"/>
        <family val="1"/>
        <charset val="128"/>
      </rPr>
      <t>年に親魚量が以下の</t>
    </r>
  </si>
  <si>
    <r>
      <t>親魚量が管理基準値を</t>
    </r>
    <r>
      <rPr>
        <sz val="10.5"/>
        <color rgb="FF000000"/>
        <rFont val="Times New Roman"/>
        <family val="1"/>
      </rPr>
      <t>50%</t>
    </r>
    <r>
      <rPr>
        <sz val="10.5"/>
        <color rgb="FF000000"/>
        <rFont val="ＭＳ Ｐ明朝"/>
        <family val="1"/>
        <charset val="128"/>
      </rPr>
      <t>以上の確率で上回る年</t>
    </r>
  </si>
  <si>
    <t>の親魚量</t>
    <phoneticPr fontId="42"/>
  </si>
  <si>
    <t>予測区間</t>
  </si>
  <si>
    <r>
      <t>管理基準値を上回る確率（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ＭＳ Ｐ明朝"/>
        <family val="1"/>
        <charset val="128"/>
      </rPr>
      <t>）</t>
    </r>
  </si>
  <si>
    <r>
      <t>漁獲管理規則で使用する</t>
    </r>
    <r>
      <rPr>
        <sz val="10.5"/>
        <color rgb="FF000000"/>
        <rFont val="Times New Roman"/>
        <family val="1"/>
      </rPr>
      <t>β</t>
    </r>
    <r>
      <rPr>
        <sz val="10.5"/>
        <color rgb="FF000000"/>
        <rFont val="ＭＳ Ｐ明朝"/>
        <family val="1"/>
        <charset val="128"/>
      </rPr>
      <t>　</t>
    </r>
  </si>
  <si>
    <r>
      <t>漁獲管理規則で使用する</t>
    </r>
    <r>
      <rPr>
        <sz val="10.5"/>
        <color rgb="FF000000"/>
        <rFont val="Times New Roman"/>
        <family val="1"/>
      </rPr>
      <t>β</t>
    </r>
  </si>
  <si>
    <t>β=0. 95</t>
  </si>
  <si>
    <r>
      <t>2032</t>
    </r>
    <r>
      <rPr>
        <sz val="10.5"/>
        <color rgb="FF000000"/>
        <rFont val="ＭＳ Ｐ明朝"/>
        <family val="1"/>
        <charset val="128"/>
      </rPr>
      <t>年</t>
    </r>
  </si>
  <si>
    <r>
      <t>2025</t>
    </r>
    <r>
      <rPr>
        <sz val="10.5"/>
        <color rgb="FF000000"/>
        <rFont val="ＭＳ Ｐ明朝"/>
        <family val="1"/>
        <charset val="128"/>
      </rPr>
      <t>年</t>
    </r>
  </si>
  <si>
    <r>
      <t>2023</t>
    </r>
    <r>
      <rPr>
        <sz val="10.5"/>
        <color rgb="FF000000"/>
        <rFont val="ＭＳ Ｐ明朝"/>
        <family val="1"/>
        <charset val="128"/>
      </rPr>
      <t>年</t>
    </r>
  </si>
  <si>
    <t>β=0.95</t>
  </si>
  <si>
    <t>62 – 147</t>
  </si>
  <si>
    <r>
      <t>上記と異なる</t>
    </r>
    <r>
      <rPr>
        <sz val="10.5"/>
        <color rgb="FF000000"/>
        <rFont val="Times New Roman"/>
        <family val="1"/>
      </rPr>
      <t>β</t>
    </r>
    <r>
      <rPr>
        <sz val="10.5"/>
        <color rgb="FF000000"/>
        <rFont val="ＭＳ Ｐ明朝"/>
        <family val="1"/>
        <charset val="128"/>
      </rPr>
      <t>を使用した場合</t>
    </r>
  </si>
  <si>
    <t>β=1.0</t>
  </si>
  <si>
    <r>
      <t>2051</t>
    </r>
    <r>
      <rPr>
        <sz val="10.5"/>
        <color rgb="FF000000"/>
        <rFont val="ＭＳ Ｐ明朝"/>
        <family val="1"/>
        <charset val="128"/>
      </rPr>
      <t>年以降</t>
    </r>
  </si>
  <si>
    <t>56 – 139</t>
  </si>
  <si>
    <t>β=0.9</t>
  </si>
  <si>
    <t>69 – 155</t>
  </si>
  <si>
    <t>β=0.8</t>
  </si>
  <si>
    <r>
      <t>2028</t>
    </r>
    <r>
      <rPr>
        <sz val="10.5"/>
        <color rgb="FF000000"/>
        <rFont val="ＭＳ Ｐ明朝"/>
        <family val="1"/>
        <charset val="128"/>
      </rPr>
      <t>年</t>
    </r>
  </si>
  <si>
    <t>87 – 172</t>
  </si>
  <si>
    <t>β=0</t>
  </si>
  <si>
    <r>
      <t>2026</t>
    </r>
    <r>
      <rPr>
        <sz val="10.5"/>
        <color rgb="FF000000"/>
        <rFont val="ＭＳ Ｐ明朝"/>
        <family val="1"/>
        <charset val="128"/>
      </rPr>
      <t>年</t>
    </r>
  </si>
  <si>
    <t>278 – 455</t>
  </si>
  <si>
    <r>
      <t>2050</t>
    </r>
    <r>
      <rPr>
        <sz val="10.5"/>
        <color rgb="FF000000"/>
        <rFont val="ＭＳ Ｐ明朝"/>
        <family val="1"/>
        <charset val="128"/>
      </rPr>
      <t>年以降</t>
    </r>
  </si>
  <si>
    <r>
      <t>10   –</t>
    </r>
    <r>
      <rPr>
        <sz val="10.5"/>
        <color rgb="FF000000"/>
        <rFont val="ＭＳ Ｐ明朝"/>
        <family val="1"/>
        <charset val="128"/>
      </rPr>
      <t xml:space="preserve"> </t>
    </r>
    <r>
      <rPr>
        <sz val="10.5"/>
        <color rgb="FF000000"/>
        <rFont val="Times New Roman"/>
        <family val="1"/>
      </rPr>
      <t xml:space="preserve">  48</t>
    </r>
    <phoneticPr fontId="1"/>
  </si>
  <si>
    <t>補足表3-5. 異なるβを用いた将来予測結果</t>
    <rPh sb="0" eb="3">
      <t xml:space="preserve">ホソクヒョウ </t>
    </rPh>
    <rPh sb="8" eb="9">
      <t>コト</t>
    </rPh>
    <rPh sb="13" eb="14">
      <t>モチ</t>
    </rPh>
    <rPh sb="16" eb="18">
      <t>ショウライ</t>
    </rPh>
    <rPh sb="18" eb="20">
      <t>ヨソク</t>
    </rPh>
    <rPh sb="20" eb="22">
      <t>ケッカ</t>
    </rPh>
    <phoneticPr fontId="1"/>
  </si>
  <si>
    <t>補足表3-5. 異なるβを用いた将来予測結果（つづき）</t>
    <rPh sb="0" eb="3">
      <t xml:space="preserve">ホソクヒョウ </t>
    </rPh>
    <rPh sb="8" eb="9">
      <t>コト</t>
    </rPh>
    <rPh sb="13" eb="14">
      <t>モチ</t>
    </rPh>
    <rPh sb="16" eb="18">
      <t>ショウライ</t>
    </rPh>
    <rPh sb="18" eb="20">
      <t>ヨソク</t>
    </rPh>
    <rPh sb="20" eb="22">
      <t>ケッカ</t>
    </rPh>
    <phoneticPr fontId="1"/>
  </si>
  <si>
    <r>
      <t>漁獲割合（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ＭＳ Ｐ明朝"/>
        <family val="1"/>
        <charset val="128"/>
      </rPr>
      <t>）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</si>
</sst>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,##0_ "/>
    <numFmt numFmtId="177" formatCode="0_ "/>
    <numFmt numFmtId="178" formatCode="0.00_ "/>
    <numFmt numFmtId="179" formatCode="0.0_ "/>
    <numFmt numFmtId="180" formatCode="#,##0.000_);[Red]\(#,##0.000\)"/>
    <numFmt numFmtId="181" formatCode="0_);[Red]\(0\)"/>
    <numFmt numFmtId="182" formatCode="0.00_);[Red]\(0.00\)"/>
    <numFmt numFmtId="183" formatCode="0.0"/>
    <numFmt numFmtId="184" formatCode="#,##0_);[Red]\(#,##0\)"/>
  </numFmts>
  <fonts count="43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6"/>
      <name val="Osaka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ゴシック"/>
      <family val="2"/>
      <charset val="128"/>
    </font>
    <font>
      <sz val="10.5"/>
      <name val="ＭＳ Ｐゴシック"/>
      <family val="3"/>
      <charset val="128"/>
      <scheme val="minor"/>
    </font>
    <font>
      <sz val="10.5"/>
      <name val="ＭＳ Ｐゴシック"/>
      <family val="2"/>
      <charset val="128"/>
      <scheme val="minor"/>
    </font>
    <font>
      <sz val="11"/>
      <color theme="1"/>
      <name val="Times New Roman"/>
      <family val="1"/>
    </font>
    <font>
      <sz val="10.5"/>
      <color theme="1"/>
      <name val="ＭＳ Ｐゴシック"/>
      <family val="3"/>
      <charset val="128"/>
      <scheme val="minor"/>
    </font>
    <font>
      <sz val="10.5"/>
      <color rgb="FF0D0D0D"/>
      <name val="ＭＳ Ｐゴシック"/>
      <family val="3"/>
      <charset val="128"/>
      <scheme val="minor"/>
    </font>
    <font>
      <sz val="10.5"/>
      <color rgb="FFFF0000"/>
      <name val="ＭＳ Ｐゴシック"/>
      <family val="3"/>
      <charset val="128"/>
      <scheme val="minor"/>
    </font>
    <font>
      <sz val="10.5"/>
      <color rgb="FF0070C0"/>
      <name val="ＭＳ Ｐゴシック"/>
      <family val="3"/>
      <charset val="128"/>
      <scheme val="minor"/>
    </font>
    <font>
      <sz val="10.5"/>
      <color rgb="FF000000"/>
      <name val="ＭＳ Ｐゴシック"/>
      <family val="3"/>
      <charset val="128"/>
      <scheme val="minor"/>
    </font>
    <font>
      <sz val="12"/>
      <color rgb="FF000000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vertAlign val="superscript"/>
      <sz val="10.5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rgb="FF000000"/>
      <name val="Times New Roman"/>
      <family val="1"/>
    </font>
    <font>
      <sz val="10.5"/>
      <color theme="1"/>
      <name val="Times New Roman"/>
      <family val="1"/>
    </font>
    <font>
      <sz val="10.5"/>
      <color rgb="FF00B0F0"/>
      <name val="Times New Roman"/>
      <family val="1"/>
    </font>
    <font>
      <b/>
      <sz val="11"/>
      <color rgb="FFFF0000"/>
      <name val="ＭＳ Ｐ明朝"/>
      <family val="1"/>
      <charset val="128"/>
    </font>
    <font>
      <sz val="11"/>
      <name val="ＭＳ Ｐゴシック"/>
      <family val="3"/>
      <charset val="128"/>
      <scheme val="minor"/>
    </font>
    <font>
      <sz val="10.5"/>
      <color theme="1"/>
      <name val="ＭＳ ゴシック"/>
      <family val="3"/>
      <charset val="128"/>
    </font>
    <font>
      <b/>
      <sz val="11"/>
      <color rgb="FF0070C0"/>
      <name val="ＭＳ Ｐゴシック"/>
      <family val="3"/>
      <charset val="128"/>
      <scheme val="minor"/>
    </font>
    <font>
      <sz val="11"/>
      <color rgb="FF0070C0"/>
      <name val="ＭＳ Ｐゴシック"/>
      <family val="3"/>
      <charset val="128"/>
      <scheme val="minor"/>
    </font>
    <font>
      <b/>
      <sz val="11"/>
      <color theme="4"/>
      <name val="ＭＳ Ｐゴシック"/>
      <family val="3"/>
      <charset val="128"/>
      <scheme val="minor"/>
    </font>
    <font>
      <sz val="10.5"/>
      <name val="Times New Roman"/>
      <family val="1"/>
    </font>
    <font>
      <sz val="10.5"/>
      <name val="ＭＳ 明朝"/>
      <family val="1"/>
      <charset val="128"/>
    </font>
    <font>
      <sz val="11"/>
      <color theme="3"/>
      <name val="ＭＳ Ｐゴシック"/>
      <family val="2"/>
      <charset val="128"/>
      <scheme val="minor"/>
    </font>
    <font>
      <b/>
      <sz val="12"/>
      <color rgb="FF000000"/>
      <name val="ＭＳ Ｐゴシック"/>
      <family val="3"/>
      <charset val="128"/>
      <scheme val="minor"/>
    </font>
    <font>
      <sz val="11"/>
      <color theme="1"/>
      <name val="ＭＳ Ｐ明朝"/>
      <family val="1"/>
      <charset val="128"/>
    </font>
    <font>
      <sz val="10.5"/>
      <name val="ＭＳ ゴシック"/>
      <family val="3"/>
      <charset val="128"/>
    </font>
    <font>
      <sz val="10.5"/>
      <name val="Arial"/>
      <family val="2"/>
    </font>
    <font>
      <sz val="10.5"/>
      <name val="ＭＳ Ｐゴシック"/>
      <family val="3"/>
      <charset val="128"/>
    </font>
    <font>
      <sz val="10.5"/>
      <color theme="1"/>
      <name val="ＭＳ Ｐ明朝"/>
      <family val="1"/>
      <charset val="128"/>
    </font>
    <font>
      <sz val="7"/>
      <color theme="1"/>
      <name val="Times New Roman"/>
      <family val="1"/>
    </font>
    <font>
      <sz val="10.5"/>
      <color theme="1"/>
      <name val="ＭＳ 明朝"/>
      <family val="1"/>
      <charset val="128"/>
    </font>
    <font>
      <sz val="10.5"/>
      <color rgb="FF000000"/>
      <name val="ＭＳ Ｐ明朝"/>
      <family val="1"/>
      <charset val="128"/>
    </font>
    <font>
      <sz val="10.5"/>
      <color rgb="FF000000"/>
      <name val="Times New Roman"/>
      <family val="1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272">
    <xf numFmtId="0" fontId="0" fillId="0" borderId="0" xfId="0">
      <alignment vertical="center"/>
    </xf>
    <xf numFmtId="0" fontId="3" fillId="0" borderId="0" xfId="0" applyFont="1">
      <alignment vertical="center"/>
    </xf>
    <xf numFmtId="3" fontId="0" fillId="0" borderId="0" xfId="0" applyNumberFormat="1">
      <alignment vertical="center"/>
    </xf>
    <xf numFmtId="0" fontId="0" fillId="0" borderId="8" xfId="0" applyBorder="1">
      <alignment vertical="center"/>
    </xf>
    <xf numFmtId="3" fontId="0" fillId="0" borderId="8" xfId="0" applyNumberFormat="1" applyBorder="1">
      <alignment vertical="center"/>
    </xf>
    <xf numFmtId="0" fontId="0" fillId="0" borderId="10" xfId="0" applyBorder="1">
      <alignment vertical="center"/>
    </xf>
    <xf numFmtId="0" fontId="0" fillId="0" borderId="6" xfId="0" applyBorder="1">
      <alignment vertical="center"/>
    </xf>
    <xf numFmtId="38" fontId="0" fillId="0" borderId="0" xfId="1" applyFont="1" applyBorder="1">
      <alignment vertical="center"/>
    </xf>
    <xf numFmtId="1" fontId="0" fillId="0" borderId="0" xfId="0" applyNumberFormat="1">
      <alignment vertical="center"/>
    </xf>
    <xf numFmtId="38" fontId="0" fillId="0" borderId="0" xfId="0" applyNumberFormat="1">
      <alignment vertical="center"/>
    </xf>
    <xf numFmtId="40" fontId="0" fillId="0" borderId="0" xfId="0" applyNumberFormat="1">
      <alignment vertical="center"/>
    </xf>
    <xf numFmtId="0" fontId="6" fillId="2" borderId="13" xfId="0" applyFont="1" applyFill="1" applyBorder="1" applyAlignment="1">
      <alignment horizontal="left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5" xfId="0" applyFont="1" applyFill="1" applyBorder="1">
      <alignment vertical="center"/>
    </xf>
    <xf numFmtId="1" fontId="6" fillId="2" borderId="14" xfId="0" applyNumberFormat="1" applyFont="1" applyFill="1" applyBorder="1" applyAlignment="1"/>
    <xf numFmtId="1" fontId="6" fillId="2" borderId="12" xfId="0" applyNumberFormat="1" applyFont="1" applyFill="1" applyBorder="1" applyAlignment="1"/>
    <xf numFmtId="1" fontId="6" fillId="2" borderId="15" xfId="0" applyNumberFormat="1" applyFont="1" applyFill="1" applyBorder="1" applyAlignment="1"/>
    <xf numFmtId="180" fontId="6" fillId="2" borderId="6" xfId="0" applyNumberFormat="1" applyFont="1" applyFill="1" applyBorder="1">
      <alignment vertical="center"/>
    </xf>
    <xf numFmtId="1" fontId="6" fillId="2" borderId="5" xfId="0" applyNumberFormat="1" applyFont="1" applyFill="1" applyBorder="1" applyAlignment="1"/>
    <xf numFmtId="1" fontId="6" fillId="2" borderId="0" xfId="0" applyNumberFormat="1" applyFont="1" applyFill="1" applyAlignment="1"/>
    <xf numFmtId="1" fontId="6" fillId="2" borderId="6" xfId="0" applyNumberFormat="1" applyFont="1" applyFill="1" applyBorder="1" applyAlignment="1"/>
    <xf numFmtId="0" fontId="6" fillId="2" borderId="9" xfId="0" applyFont="1" applyFill="1" applyBorder="1">
      <alignment vertical="center"/>
    </xf>
    <xf numFmtId="1" fontId="6" fillId="2" borderId="9" xfId="0" applyNumberFormat="1" applyFont="1" applyFill="1" applyBorder="1" applyAlignment="1"/>
    <xf numFmtId="1" fontId="6" fillId="2" borderId="8" xfId="0" applyNumberFormat="1" applyFont="1" applyFill="1" applyBorder="1" applyAlignment="1"/>
    <xf numFmtId="1" fontId="6" fillId="2" borderId="10" xfId="0" applyNumberFormat="1" applyFont="1" applyFill="1" applyBorder="1" applyAlignment="1"/>
    <xf numFmtId="180" fontId="6" fillId="2" borderId="10" xfId="0" applyNumberFormat="1" applyFont="1" applyFill="1" applyBorder="1">
      <alignment vertical="center"/>
    </xf>
    <xf numFmtId="0" fontId="6" fillId="2" borderId="4" xfId="0" applyFont="1" applyFill="1" applyBorder="1" applyAlignment="1">
      <alignment horizontal="right" vertical="center"/>
    </xf>
    <xf numFmtId="38" fontId="6" fillId="2" borderId="4" xfId="0" applyNumberFormat="1" applyFont="1" applyFill="1" applyBorder="1" applyAlignment="1">
      <alignment horizontal="right" vertical="center"/>
    </xf>
    <xf numFmtId="38" fontId="6" fillId="2" borderId="6" xfId="0" applyNumberFormat="1" applyFont="1" applyFill="1" applyBorder="1" applyAlignment="1">
      <alignment horizontal="right" vertical="center"/>
    </xf>
    <xf numFmtId="182" fontId="6" fillId="2" borderId="4" xfId="0" applyNumberFormat="1" applyFont="1" applyFill="1" applyBorder="1" applyAlignment="1">
      <alignment horizontal="right" vertical="center"/>
    </xf>
    <xf numFmtId="38" fontId="6" fillId="2" borderId="0" xfId="0" applyNumberFormat="1" applyFont="1" applyFill="1" applyAlignment="1">
      <alignment horizontal="right" vertical="center"/>
    </xf>
    <xf numFmtId="38" fontId="6" fillId="2" borderId="5" xfId="0" applyNumberFormat="1" applyFont="1" applyFill="1" applyBorder="1" applyAlignment="1">
      <alignment horizontal="right" vertical="center"/>
    </xf>
    <xf numFmtId="0" fontId="6" fillId="2" borderId="5" xfId="0" applyFont="1" applyFill="1" applyBorder="1" applyAlignment="1">
      <alignment horizontal="right" vertical="center"/>
    </xf>
    <xf numFmtId="0" fontId="6" fillId="2" borderId="7" xfId="0" applyFont="1" applyFill="1" applyBorder="1" applyAlignment="1">
      <alignment horizontal="right" vertical="center"/>
    </xf>
    <xf numFmtId="38" fontId="6" fillId="2" borderId="9" xfId="0" applyNumberFormat="1" applyFont="1" applyFill="1" applyBorder="1" applyAlignment="1">
      <alignment horizontal="right" vertical="center"/>
    </xf>
    <xf numFmtId="182" fontId="6" fillId="2" borderId="7" xfId="0" applyNumberFormat="1" applyFont="1" applyFill="1" applyBorder="1" applyAlignment="1">
      <alignment horizontal="right" vertical="center"/>
    </xf>
    <xf numFmtId="0" fontId="3" fillId="0" borderId="8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2" xfId="0" applyFont="1" applyBorder="1" applyAlignment="1">
      <alignment horizontal="right" vertical="center"/>
    </xf>
    <xf numFmtId="179" fontId="3" fillId="0" borderId="0" xfId="0" applyNumberFormat="1" applyFont="1">
      <alignment vertical="center"/>
    </xf>
    <xf numFmtId="177" fontId="3" fillId="0" borderId="0" xfId="0" applyNumberFormat="1" applyFont="1">
      <alignment vertical="center"/>
    </xf>
    <xf numFmtId="178" fontId="3" fillId="0" borderId="8" xfId="0" applyNumberFormat="1" applyFont="1" applyBorder="1">
      <alignment vertical="center"/>
    </xf>
    <xf numFmtId="0" fontId="3" fillId="0" borderId="12" xfId="0" applyFont="1" applyBorder="1">
      <alignment vertical="center"/>
    </xf>
    <xf numFmtId="178" fontId="3" fillId="0" borderId="0" xfId="0" applyNumberFormat="1" applyFont="1">
      <alignment vertical="center"/>
    </xf>
    <xf numFmtId="2" fontId="3" fillId="0" borderId="0" xfId="0" applyNumberFormat="1" applyFont="1">
      <alignment vertical="center"/>
    </xf>
    <xf numFmtId="2" fontId="3" fillId="0" borderId="8" xfId="0" applyNumberFormat="1" applyFont="1" applyBorder="1">
      <alignment vertical="center"/>
    </xf>
    <xf numFmtId="179" fontId="3" fillId="0" borderId="2" xfId="0" applyNumberFormat="1" applyFont="1" applyBorder="1">
      <alignment vertical="center"/>
    </xf>
    <xf numFmtId="183" fontId="3" fillId="0" borderId="2" xfId="0" applyNumberFormat="1" applyFont="1" applyBorder="1">
      <alignment vertical="center"/>
    </xf>
    <xf numFmtId="3" fontId="3" fillId="0" borderId="2" xfId="0" applyNumberFormat="1" applyFont="1" applyBorder="1">
      <alignment vertical="center"/>
    </xf>
    <xf numFmtId="3" fontId="3" fillId="0" borderId="2" xfId="0" applyNumberFormat="1" applyFont="1" applyBorder="1" applyAlignment="1">
      <alignment horizontal="right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177" fontId="6" fillId="2" borderId="5" xfId="0" applyNumberFormat="1" applyFont="1" applyFill="1" applyBorder="1">
      <alignment vertical="center"/>
    </xf>
    <xf numFmtId="177" fontId="6" fillId="2" borderId="0" xfId="0" applyNumberFormat="1" applyFont="1" applyFill="1">
      <alignment vertical="center"/>
    </xf>
    <xf numFmtId="178" fontId="6" fillId="2" borderId="5" xfId="0" applyNumberFormat="1" applyFont="1" applyFill="1" applyBorder="1">
      <alignment vertical="center"/>
    </xf>
    <xf numFmtId="178" fontId="6" fillId="2" borderId="0" xfId="0" applyNumberFormat="1" applyFont="1" applyFill="1">
      <alignment vertical="center"/>
    </xf>
    <xf numFmtId="178" fontId="6" fillId="2" borderId="6" xfId="0" applyNumberFormat="1" applyFont="1" applyFill="1" applyBorder="1">
      <alignment vertical="center"/>
    </xf>
    <xf numFmtId="177" fontId="6" fillId="2" borderId="6" xfId="0" applyNumberFormat="1" applyFont="1" applyFill="1" applyBorder="1">
      <alignment vertical="center"/>
    </xf>
    <xf numFmtId="181" fontId="6" fillId="2" borderId="5" xfId="0" applyNumberFormat="1" applyFont="1" applyFill="1" applyBorder="1">
      <alignment vertical="center"/>
    </xf>
    <xf numFmtId="181" fontId="6" fillId="2" borderId="0" xfId="0" applyNumberFormat="1" applyFont="1" applyFill="1">
      <alignment vertical="center"/>
    </xf>
    <xf numFmtId="182" fontId="6" fillId="2" borderId="5" xfId="0" applyNumberFormat="1" applyFont="1" applyFill="1" applyBorder="1">
      <alignment vertical="center"/>
    </xf>
    <xf numFmtId="182" fontId="6" fillId="2" borderId="0" xfId="0" applyNumberFormat="1" applyFont="1" applyFill="1">
      <alignment vertical="center"/>
    </xf>
    <xf numFmtId="182" fontId="6" fillId="2" borderId="6" xfId="0" applyNumberFormat="1" applyFont="1" applyFill="1" applyBorder="1">
      <alignment vertical="center"/>
    </xf>
    <xf numFmtId="181" fontId="6" fillId="2" borderId="9" xfId="0" applyNumberFormat="1" applyFont="1" applyFill="1" applyBorder="1">
      <alignment vertical="center"/>
    </xf>
    <xf numFmtId="181" fontId="6" fillId="2" borderId="8" xfId="0" applyNumberFormat="1" applyFont="1" applyFill="1" applyBorder="1">
      <alignment vertical="center"/>
    </xf>
    <xf numFmtId="182" fontId="6" fillId="2" borderId="9" xfId="0" applyNumberFormat="1" applyFont="1" applyFill="1" applyBorder="1">
      <alignment vertical="center"/>
    </xf>
    <xf numFmtId="182" fontId="6" fillId="2" borderId="8" xfId="0" applyNumberFormat="1" applyFont="1" applyFill="1" applyBorder="1">
      <alignment vertical="center"/>
    </xf>
    <xf numFmtId="182" fontId="6" fillId="2" borderId="10" xfId="0" applyNumberFormat="1" applyFont="1" applyFill="1" applyBorder="1">
      <alignment vertical="center"/>
    </xf>
    <xf numFmtId="177" fontId="6" fillId="2" borderId="9" xfId="0" applyNumberFormat="1" applyFont="1" applyFill="1" applyBorder="1">
      <alignment vertical="center"/>
    </xf>
    <xf numFmtId="177" fontId="6" fillId="2" borderId="8" xfId="0" applyNumberFormat="1" applyFont="1" applyFill="1" applyBorder="1">
      <alignment vertical="center"/>
    </xf>
    <xf numFmtId="177" fontId="6" fillId="2" borderId="10" xfId="0" applyNumberFormat="1" applyFont="1" applyFill="1" applyBorder="1">
      <alignment vertical="center"/>
    </xf>
    <xf numFmtId="179" fontId="7" fillId="2" borderId="4" xfId="0" applyNumberFormat="1" applyFont="1" applyFill="1" applyBorder="1">
      <alignment vertical="center"/>
    </xf>
    <xf numFmtId="178" fontId="7" fillId="2" borderId="4" xfId="0" applyNumberFormat="1" applyFont="1" applyFill="1" applyBorder="1">
      <alignment vertical="center"/>
    </xf>
    <xf numFmtId="179" fontId="7" fillId="2" borderId="7" xfId="0" applyNumberFormat="1" applyFont="1" applyFill="1" applyBorder="1">
      <alignment vertical="center"/>
    </xf>
    <xf numFmtId="178" fontId="7" fillId="2" borderId="7" xfId="0" applyNumberFormat="1" applyFont="1" applyFill="1" applyBorder="1">
      <alignment vertical="center"/>
    </xf>
    <xf numFmtId="0" fontId="8" fillId="0" borderId="0" xfId="0" applyFont="1">
      <alignment vertical="center"/>
    </xf>
    <xf numFmtId="38" fontId="8" fillId="0" borderId="0" xfId="0" applyNumberFormat="1" applyFo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83" fontId="3" fillId="0" borderId="0" xfId="0" applyNumberFormat="1" applyFont="1">
      <alignment vertical="center"/>
    </xf>
    <xf numFmtId="183" fontId="3" fillId="0" borderId="8" xfId="0" applyNumberFormat="1" applyFont="1" applyBorder="1">
      <alignment vertical="center"/>
    </xf>
    <xf numFmtId="179" fontId="3" fillId="0" borderId="8" xfId="0" applyNumberFormat="1" applyFont="1" applyBorder="1">
      <alignment vertical="center"/>
    </xf>
    <xf numFmtId="0" fontId="9" fillId="0" borderId="0" xfId="0" applyFont="1" applyAlignment="1">
      <alignment horizontal="left" vertical="center" indent="1"/>
    </xf>
    <xf numFmtId="0" fontId="10" fillId="0" borderId="13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9" fillId="0" borderId="0" xfId="0" applyFont="1">
      <alignment vertical="center"/>
    </xf>
    <xf numFmtId="0" fontId="14" fillId="0" borderId="16" xfId="0" applyFont="1" applyBorder="1" applyAlignment="1">
      <alignment horizontal="center" vertical="center"/>
    </xf>
    <xf numFmtId="0" fontId="14" fillId="0" borderId="17" xfId="0" applyFont="1" applyBorder="1" applyAlignment="1">
      <alignment horizontal="right" vertical="center"/>
    </xf>
    <xf numFmtId="2" fontId="15" fillId="0" borderId="18" xfId="0" applyNumberFormat="1" applyFont="1" applyBorder="1" applyAlignment="1">
      <alignment horizontal="center" vertical="center"/>
    </xf>
    <xf numFmtId="0" fontId="14" fillId="0" borderId="19" xfId="0" applyFont="1" applyBorder="1" applyAlignment="1">
      <alignment horizontal="right" vertical="center"/>
    </xf>
    <xf numFmtId="0" fontId="15" fillId="0" borderId="18" xfId="0" applyFont="1" applyBorder="1" applyAlignment="1">
      <alignment horizontal="center" vertical="center"/>
    </xf>
    <xf numFmtId="3" fontId="14" fillId="0" borderId="19" xfId="0" applyNumberFormat="1" applyFont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right" vertical="center"/>
    </xf>
    <xf numFmtId="0" fontId="13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right" vertical="center"/>
    </xf>
    <xf numFmtId="0" fontId="3" fillId="0" borderId="0" xfId="0" applyFont="1" applyAlignment="1"/>
    <xf numFmtId="0" fontId="16" fillId="0" borderId="0" xfId="0" applyFont="1">
      <alignment vertical="center"/>
    </xf>
    <xf numFmtId="184" fontId="18" fillId="0" borderId="0" xfId="0" applyNumberFormat="1" applyFont="1">
      <alignment vertical="center"/>
    </xf>
    <xf numFmtId="0" fontId="17" fillId="0" borderId="0" xfId="0" applyFont="1">
      <alignment vertical="center"/>
    </xf>
    <xf numFmtId="38" fontId="18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0" borderId="0" xfId="0" applyFont="1" applyAlignment="1">
      <alignment vertical="center" wrapText="1"/>
    </xf>
    <xf numFmtId="0" fontId="22" fillId="0" borderId="0" xfId="0" applyFont="1" applyAlignment="1">
      <alignment vertical="center" wrapText="1"/>
    </xf>
    <xf numFmtId="0" fontId="23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38" fontId="26" fillId="0" borderId="0" xfId="0" applyNumberFormat="1" applyFont="1">
      <alignment vertical="center"/>
    </xf>
    <xf numFmtId="0" fontId="27" fillId="0" borderId="0" xfId="0" applyFont="1">
      <alignment vertical="center"/>
    </xf>
    <xf numFmtId="184" fontId="28" fillId="0" borderId="0" xfId="0" applyNumberFormat="1" applyFont="1">
      <alignment vertical="center"/>
    </xf>
    <xf numFmtId="38" fontId="28" fillId="0" borderId="0" xfId="0" applyNumberFormat="1" applyFont="1">
      <alignment vertical="center"/>
    </xf>
    <xf numFmtId="0" fontId="28" fillId="0" borderId="0" xfId="0" applyFont="1">
      <alignment vertical="center"/>
    </xf>
    <xf numFmtId="0" fontId="28" fillId="0" borderId="8" xfId="0" applyFont="1" applyBorder="1">
      <alignment vertical="center"/>
    </xf>
    <xf numFmtId="0" fontId="31" fillId="0" borderId="0" xfId="0" applyFont="1">
      <alignment vertical="center"/>
    </xf>
    <xf numFmtId="38" fontId="0" fillId="0" borderId="0" xfId="1" applyFont="1" applyFill="1" applyBorder="1">
      <alignment vertical="center"/>
    </xf>
    <xf numFmtId="0" fontId="32" fillId="0" borderId="17" xfId="0" applyFont="1" applyBorder="1" applyAlignment="1">
      <alignment horizontal="right" vertical="center"/>
    </xf>
    <xf numFmtId="0" fontId="32" fillId="0" borderId="19" xfId="0" applyFont="1" applyBorder="1" applyAlignment="1">
      <alignment horizontal="right" vertical="center"/>
    </xf>
    <xf numFmtId="0" fontId="33" fillId="0" borderId="0" xfId="0" applyFont="1">
      <alignment vertical="center"/>
    </xf>
    <xf numFmtId="3" fontId="32" fillId="0" borderId="19" xfId="0" applyNumberFormat="1" applyFont="1" applyBorder="1" applyAlignment="1">
      <alignment horizontal="right" vertical="center"/>
    </xf>
    <xf numFmtId="2" fontId="6" fillId="0" borderId="19" xfId="0" applyNumberFormat="1" applyFont="1" applyBorder="1" applyAlignment="1">
      <alignment horizontal="right" vertical="center"/>
    </xf>
    <xf numFmtId="0" fontId="6" fillId="0" borderId="19" xfId="0" applyFont="1" applyBorder="1" applyAlignment="1">
      <alignment horizontal="right" vertical="center"/>
    </xf>
    <xf numFmtId="0" fontId="34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4" fillId="0" borderId="2" xfId="0" applyFont="1" applyBorder="1">
      <alignment vertical="center"/>
    </xf>
    <xf numFmtId="3" fontId="24" fillId="0" borderId="2" xfId="0" applyNumberFormat="1" applyFont="1" applyBorder="1" applyAlignment="1">
      <alignment horizontal="right" vertical="center"/>
    </xf>
    <xf numFmtId="0" fontId="29" fillId="0" borderId="0" xfId="0" applyFont="1" applyAlignment="1">
      <alignment horizontal="left" vertical="center"/>
    </xf>
    <xf numFmtId="0" fontId="24" fillId="0" borderId="0" xfId="0" applyFont="1">
      <alignment vertical="center"/>
    </xf>
    <xf numFmtId="0" fontId="36" fillId="0" borderId="0" xfId="0" applyFont="1">
      <alignment vertical="center"/>
    </xf>
    <xf numFmtId="2" fontId="11" fillId="0" borderId="13" xfId="0" applyNumberFormat="1" applyFont="1" applyBorder="1" applyAlignment="1">
      <alignment horizontal="center" vertical="center" wrapText="1"/>
    </xf>
    <xf numFmtId="2" fontId="10" fillId="0" borderId="13" xfId="0" applyNumberFormat="1" applyFont="1" applyBorder="1" applyAlignment="1">
      <alignment horizontal="center" vertical="center" wrapText="1"/>
    </xf>
    <xf numFmtId="0" fontId="21" fillId="2" borderId="19" xfId="0" applyFont="1" applyFill="1" applyBorder="1" applyAlignment="1">
      <alignment horizontal="center" vertical="center" wrapText="1"/>
    </xf>
    <xf numFmtId="0" fontId="21" fillId="2" borderId="18" xfId="0" applyFont="1" applyFill="1" applyBorder="1" applyAlignment="1">
      <alignment horizontal="center" vertical="center" wrapText="1"/>
    </xf>
    <xf numFmtId="0" fontId="0" fillId="0" borderId="0" xfId="0" applyAlignment="1"/>
    <xf numFmtId="0" fontId="41" fillId="3" borderId="28" xfId="0" applyFont="1" applyFill="1" applyBorder="1" applyAlignment="1">
      <alignment horizontal="center" vertical="center" wrapText="1"/>
    </xf>
    <xf numFmtId="0" fontId="41" fillId="3" borderId="24" xfId="0" applyFont="1" applyFill="1" applyBorder="1" applyAlignment="1">
      <alignment horizontal="center" vertical="center" wrapText="1"/>
    </xf>
    <xf numFmtId="0" fontId="40" fillId="3" borderId="24" xfId="0" applyFont="1" applyFill="1" applyBorder="1" applyAlignment="1">
      <alignment horizontal="center" vertical="center" wrapText="1"/>
    </xf>
    <xf numFmtId="0" fontId="41" fillId="3" borderId="27" xfId="0" applyFont="1" applyFill="1" applyBorder="1" applyAlignment="1">
      <alignment horizontal="center" vertical="center" wrapText="1"/>
    </xf>
    <xf numFmtId="0" fontId="40" fillId="3" borderId="22" xfId="0" applyFont="1" applyFill="1" applyBorder="1" applyAlignment="1">
      <alignment horizontal="center" vertical="center" wrapText="1"/>
    </xf>
    <xf numFmtId="0" fontId="40" fillId="3" borderId="18" xfId="0" applyFont="1" applyFill="1" applyBorder="1" applyAlignment="1">
      <alignment horizontal="center" vertical="center" wrapText="1"/>
    </xf>
    <xf numFmtId="0" fontId="40" fillId="3" borderId="19" xfId="0" applyFont="1" applyFill="1" applyBorder="1" applyAlignment="1">
      <alignment horizontal="center" vertical="center" wrapText="1"/>
    </xf>
    <xf numFmtId="0" fontId="0" fillId="3" borderId="19" xfId="0" applyFill="1" applyBorder="1" applyAlignment="1">
      <alignment vertical="center" wrapText="1"/>
    </xf>
    <xf numFmtId="0" fontId="40" fillId="4" borderId="16" xfId="0" applyFont="1" applyFill="1" applyBorder="1" applyAlignment="1">
      <alignment horizontal="center" vertical="center" wrapText="1"/>
    </xf>
    <xf numFmtId="0" fontId="40" fillId="4" borderId="17" xfId="0" applyFont="1" applyFill="1" applyBorder="1" applyAlignment="1">
      <alignment horizontal="center" vertical="center" wrapText="1"/>
    </xf>
    <xf numFmtId="0" fontId="41" fillId="4" borderId="17" xfId="0" applyFont="1" applyFill="1" applyBorder="1" applyAlignment="1">
      <alignment horizontal="center" vertical="center" wrapText="1"/>
    </xf>
    <xf numFmtId="0" fontId="37" fillId="0" borderId="18" xfId="0" applyFont="1" applyBorder="1" applyAlignment="1">
      <alignment horizontal="justify" vertical="center" wrapText="1"/>
    </xf>
    <xf numFmtId="0" fontId="40" fillId="0" borderId="19" xfId="0" applyFont="1" applyBorder="1" applyAlignment="1">
      <alignment horizontal="center" vertical="center" wrapText="1"/>
    </xf>
    <xf numFmtId="0" fontId="37" fillId="0" borderId="19" xfId="0" applyFont="1" applyBorder="1" applyAlignment="1">
      <alignment horizontal="center" vertical="center" wrapText="1"/>
    </xf>
    <xf numFmtId="0" fontId="41" fillId="0" borderId="19" xfId="0" applyFont="1" applyBorder="1" applyAlignment="1">
      <alignment horizontal="center" vertical="center" wrapText="1"/>
    </xf>
    <xf numFmtId="11" fontId="41" fillId="0" borderId="19" xfId="0" applyNumberFormat="1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justify" vertical="center" wrapText="1"/>
    </xf>
    <xf numFmtId="0" fontId="40" fillId="0" borderId="19" xfId="0" applyFont="1" applyBorder="1" applyAlignment="1">
      <alignment horizontal="left" vertical="center" wrapText="1"/>
    </xf>
    <xf numFmtId="0" fontId="21" fillId="0" borderId="28" xfId="0" applyFont="1" applyBorder="1" applyAlignment="1">
      <alignment horizontal="justify" vertical="center" wrapText="1"/>
    </xf>
    <xf numFmtId="0" fontId="21" fillId="0" borderId="28" xfId="0" applyFont="1" applyBorder="1" applyAlignment="1">
      <alignment horizontal="center" vertical="center" wrapText="1"/>
    </xf>
    <xf numFmtId="9" fontId="21" fillId="0" borderId="19" xfId="0" applyNumberFormat="1" applyFont="1" applyBorder="1" applyAlignment="1">
      <alignment horizontal="center" vertical="center" wrapText="1"/>
    </xf>
    <xf numFmtId="0" fontId="21" fillId="0" borderId="19" xfId="0" applyFont="1" applyBorder="1" applyAlignment="1">
      <alignment horizontal="left" vertical="center" wrapText="1"/>
    </xf>
    <xf numFmtId="0" fontId="40" fillId="4" borderId="16" xfId="0" applyFont="1" applyFill="1" applyBorder="1" applyAlignment="1">
      <alignment horizontal="justify" vertical="center" wrapText="1"/>
    </xf>
    <xf numFmtId="0" fontId="40" fillId="4" borderId="17" xfId="0" applyFont="1" applyFill="1" applyBorder="1" applyAlignment="1">
      <alignment horizontal="justify" vertical="center" wrapText="1"/>
    </xf>
    <xf numFmtId="0" fontId="41" fillId="0" borderId="19" xfId="0" applyFont="1" applyBorder="1" applyAlignment="1">
      <alignment horizontal="justify" vertical="center" wrapText="1"/>
    </xf>
    <xf numFmtId="0" fontId="21" fillId="0" borderId="19" xfId="0" applyFont="1" applyBorder="1" applyAlignment="1">
      <alignment horizontal="justify" vertical="center" wrapText="1"/>
    </xf>
    <xf numFmtId="0" fontId="40" fillId="0" borderId="19" xfId="0" applyFont="1" applyBorder="1" applyAlignment="1">
      <alignment horizontal="justify" vertical="center" wrapText="1"/>
    </xf>
    <xf numFmtId="0" fontId="21" fillId="0" borderId="27" xfId="0" applyFont="1" applyBorder="1" applyAlignment="1">
      <alignment horizontal="justify" vertical="center" wrapText="1"/>
    </xf>
    <xf numFmtId="0" fontId="21" fillId="0" borderId="18" xfId="0" applyFont="1" applyBorder="1" applyAlignment="1">
      <alignment horizontal="center" vertical="center" wrapText="1"/>
    </xf>
    <xf numFmtId="0" fontId="25" fillId="0" borderId="0" xfId="0" applyFont="1" applyAlignment="1">
      <alignment horizontal="justify" vertical="center"/>
    </xf>
    <xf numFmtId="0" fontId="41" fillId="4" borderId="28" xfId="0" applyFont="1" applyFill="1" applyBorder="1" applyAlignment="1">
      <alignment horizontal="center" vertical="center" wrapText="1"/>
    </xf>
    <xf numFmtId="0" fontId="41" fillId="4" borderId="24" xfId="0" applyFont="1" applyFill="1" applyBorder="1" applyAlignment="1">
      <alignment horizontal="center" vertical="center" wrapText="1"/>
    </xf>
    <xf numFmtId="0" fontId="40" fillId="4" borderId="24" xfId="0" applyFont="1" applyFill="1" applyBorder="1" applyAlignment="1">
      <alignment horizontal="center" vertical="center" wrapText="1"/>
    </xf>
    <xf numFmtId="0" fontId="41" fillId="4" borderId="27" xfId="0" applyFont="1" applyFill="1" applyBorder="1" applyAlignment="1">
      <alignment horizontal="center" vertical="center" wrapText="1"/>
    </xf>
    <xf numFmtId="0" fontId="40" fillId="4" borderId="22" xfId="0" applyFont="1" applyFill="1" applyBorder="1" applyAlignment="1">
      <alignment horizontal="center" vertical="center" wrapText="1"/>
    </xf>
    <xf numFmtId="0" fontId="40" fillId="4" borderId="18" xfId="0" applyFont="1" applyFill="1" applyBorder="1" applyAlignment="1">
      <alignment horizontal="center" vertical="center" wrapText="1"/>
    </xf>
    <xf numFmtId="0" fontId="40" fillId="4" borderId="19" xfId="0" applyFont="1" applyFill="1" applyBorder="1" applyAlignment="1">
      <alignment horizontal="center" vertical="center" wrapText="1"/>
    </xf>
    <xf numFmtId="0" fontId="0" fillId="4" borderId="19" xfId="0" applyFill="1" applyBorder="1" applyAlignment="1">
      <alignment vertical="center" wrapText="1"/>
    </xf>
    <xf numFmtId="9" fontId="41" fillId="4" borderId="0" xfId="0" applyNumberFormat="1" applyFont="1" applyFill="1" applyAlignment="1">
      <alignment horizontal="center" vertical="center"/>
    </xf>
    <xf numFmtId="0" fontId="40" fillId="4" borderId="27" xfId="0" applyFont="1" applyFill="1" applyBorder="1" applyAlignment="1">
      <alignment horizontal="left" vertical="center"/>
    </xf>
    <xf numFmtId="0" fontId="40" fillId="4" borderId="27" xfId="0" applyFont="1" applyFill="1" applyBorder="1" applyAlignment="1">
      <alignment horizontal="center" vertical="center" wrapText="1"/>
    </xf>
    <xf numFmtId="0" fontId="40" fillId="4" borderId="0" xfId="0" applyFont="1" applyFill="1" applyAlignment="1">
      <alignment horizontal="center" vertical="center"/>
    </xf>
    <xf numFmtId="0" fontId="40" fillId="4" borderId="18" xfId="0" applyFont="1" applyFill="1" applyBorder="1" applyAlignment="1">
      <alignment horizontal="left" vertical="center"/>
    </xf>
    <xf numFmtId="0" fontId="41" fillId="4" borderId="19" xfId="0" applyFont="1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 wrapText="1"/>
    </xf>
    <xf numFmtId="0" fontId="40" fillId="4" borderId="20" xfId="0" applyFont="1" applyFill="1" applyBorder="1" applyAlignment="1">
      <alignment horizontal="center" vertical="center"/>
    </xf>
    <xf numFmtId="0" fontId="41" fillId="4" borderId="29" xfId="0" applyFont="1" applyFill="1" applyBorder="1" applyAlignment="1">
      <alignment horizontal="center" vertical="center" wrapText="1"/>
    </xf>
    <xf numFmtId="0" fontId="41" fillId="4" borderId="16" xfId="0" applyFont="1" applyFill="1" applyBorder="1" applyAlignment="1">
      <alignment horizontal="center" vertical="center" wrapText="1"/>
    </xf>
    <xf numFmtId="0" fontId="41" fillId="5" borderId="23" xfId="0" applyFont="1" applyFill="1" applyBorder="1" applyAlignment="1">
      <alignment horizontal="center" vertical="center"/>
    </xf>
    <xf numFmtId="0" fontId="41" fillId="5" borderId="18" xfId="0" applyFont="1" applyFill="1" applyBorder="1" applyAlignment="1">
      <alignment horizontal="center" vertical="center"/>
    </xf>
    <xf numFmtId="0" fontId="41" fillId="5" borderId="19" xfId="0" applyFont="1" applyFill="1" applyBorder="1" applyAlignment="1">
      <alignment horizontal="center" vertical="center"/>
    </xf>
    <xf numFmtId="0" fontId="41" fillId="5" borderId="19" xfId="0" applyFont="1" applyFill="1" applyBorder="1" applyAlignment="1">
      <alignment horizontal="right" vertical="center"/>
    </xf>
    <xf numFmtId="0" fontId="41" fillId="5" borderId="21" xfId="0" applyFont="1" applyFill="1" applyBorder="1" applyAlignment="1">
      <alignment horizontal="center" vertical="center"/>
    </xf>
    <xf numFmtId="0" fontId="41" fillId="5" borderId="19" xfId="0" applyFont="1" applyFill="1" applyBorder="1" applyAlignment="1">
      <alignment horizontal="right" vertical="center" indent="1"/>
    </xf>
    <xf numFmtId="2" fontId="21" fillId="0" borderId="19" xfId="0" applyNumberFormat="1" applyFont="1" applyBorder="1" applyAlignment="1">
      <alignment horizontal="center" vertical="center" wrapText="1"/>
    </xf>
    <xf numFmtId="0" fontId="41" fillId="5" borderId="16" xfId="0" applyFont="1" applyFill="1" applyBorder="1" applyAlignment="1">
      <alignment horizontal="right" vertical="center" indent="1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2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29" fillId="0" borderId="0" xfId="0" applyFont="1" applyAlignment="1">
      <alignment vertical="center" wrapText="1"/>
    </xf>
    <xf numFmtId="0" fontId="24" fillId="0" borderId="0" xfId="0" applyFont="1" applyAlignment="1">
      <alignment horizontal="left" vertical="top" wrapText="1"/>
    </xf>
    <xf numFmtId="0" fontId="24" fillId="0" borderId="12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1" fillId="0" borderId="28" xfId="0" applyFont="1" applyBorder="1" applyAlignment="1">
      <alignment horizontal="justify" vertical="center" wrapText="1"/>
    </xf>
    <xf numFmtId="0" fontId="21" fillId="0" borderId="18" xfId="0" applyFont="1" applyBorder="1" applyAlignment="1">
      <alignment horizontal="justify" vertical="center" wrapText="1"/>
    </xf>
    <xf numFmtId="0" fontId="37" fillId="0" borderId="26" xfId="0" applyFont="1" applyBorder="1" applyAlignment="1">
      <alignment vertical="center" wrapText="1"/>
    </xf>
    <xf numFmtId="0" fontId="37" fillId="0" borderId="24" xfId="0" applyFont="1" applyBorder="1" applyAlignment="1">
      <alignment vertical="center" wrapText="1"/>
    </xf>
    <xf numFmtId="0" fontId="37" fillId="0" borderId="21" xfId="0" applyFont="1" applyBorder="1" applyAlignment="1">
      <alignment vertical="center" wrapText="1"/>
    </xf>
    <xf numFmtId="0" fontId="37" fillId="0" borderId="19" xfId="0" applyFont="1" applyBorder="1" applyAlignment="1">
      <alignment vertical="center" wrapText="1"/>
    </xf>
    <xf numFmtId="0" fontId="21" fillId="0" borderId="29" xfId="0" applyFont="1" applyBorder="1" applyAlignment="1">
      <alignment horizontal="justify" vertical="center" wrapText="1"/>
    </xf>
    <xf numFmtId="0" fontId="21" fillId="0" borderId="17" xfId="0" applyFont="1" applyBorder="1" applyAlignment="1">
      <alignment horizontal="justify" vertical="center" wrapText="1"/>
    </xf>
    <xf numFmtId="0" fontId="37" fillId="0" borderId="29" xfId="0" applyFont="1" applyBorder="1" applyAlignment="1">
      <alignment horizontal="justify" vertical="center" wrapText="1"/>
    </xf>
    <xf numFmtId="0" fontId="37" fillId="0" borderId="17" xfId="0" applyFont="1" applyBorder="1" applyAlignment="1">
      <alignment horizontal="justify" vertical="center" wrapText="1"/>
    </xf>
    <xf numFmtId="0" fontId="21" fillId="0" borderId="26" xfId="0" applyFont="1" applyBorder="1" applyAlignment="1">
      <alignment horizontal="justify" vertical="center" wrapText="1"/>
    </xf>
    <xf numFmtId="0" fontId="21" fillId="0" borderId="24" xfId="0" applyFont="1" applyBorder="1" applyAlignment="1">
      <alignment horizontal="justify" vertical="center" wrapText="1"/>
    </xf>
    <xf numFmtId="0" fontId="21" fillId="0" borderId="21" xfId="0" applyFont="1" applyBorder="1" applyAlignment="1">
      <alignment horizontal="justify" vertical="center" wrapText="1"/>
    </xf>
    <xf numFmtId="0" fontId="21" fillId="0" borderId="19" xfId="0" applyFont="1" applyBorder="1" applyAlignment="1">
      <alignment horizontal="justify" vertical="center" wrapText="1"/>
    </xf>
    <xf numFmtId="0" fontId="40" fillId="4" borderId="29" xfId="0" applyFont="1" applyFill="1" applyBorder="1" applyAlignment="1">
      <alignment horizontal="justify" vertical="center" wrapText="1"/>
    </xf>
    <xf numFmtId="0" fontId="40" fillId="4" borderId="30" xfId="0" applyFont="1" applyFill="1" applyBorder="1" applyAlignment="1">
      <alignment horizontal="justify" vertical="center" wrapText="1"/>
    </xf>
    <xf numFmtId="0" fontId="40" fillId="4" borderId="17" xfId="0" applyFont="1" applyFill="1" applyBorder="1" applyAlignment="1">
      <alignment horizontal="justify" vertical="center" wrapText="1"/>
    </xf>
    <xf numFmtId="0" fontId="21" fillId="0" borderId="28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40" fillId="0" borderId="28" xfId="0" applyFont="1" applyBorder="1" applyAlignment="1">
      <alignment horizontal="justify" vertical="center" wrapText="1"/>
    </xf>
    <xf numFmtId="0" fontId="40" fillId="0" borderId="18" xfId="0" applyFont="1" applyBorder="1" applyAlignment="1">
      <alignment horizontal="justify" vertical="center" wrapText="1"/>
    </xf>
    <xf numFmtId="0" fontId="37" fillId="0" borderId="26" xfId="0" applyFont="1" applyBorder="1" applyAlignment="1">
      <alignment horizontal="justify" vertical="center" wrapText="1"/>
    </xf>
    <xf numFmtId="0" fontId="37" fillId="0" borderId="25" xfId="0" applyFont="1" applyBorder="1" applyAlignment="1">
      <alignment horizontal="justify" vertical="center" wrapText="1"/>
    </xf>
    <xf numFmtId="0" fontId="37" fillId="0" borderId="24" xfId="0" applyFont="1" applyBorder="1" applyAlignment="1">
      <alignment horizontal="justify" vertical="center" wrapText="1"/>
    </xf>
    <xf numFmtId="0" fontId="37" fillId="0" borderId="23" xfId="0" applyFont="1" applyBorder="1" applyAlignment="1">
      <alignment horizontal="justify" vertical="center" wrapText="1"/>
    </xf>
    <xf numFmtId="0" fontId="37" fillId="0" borderId="0" xfId="0" applyFont="1" applyAlignment="1">
      <alignment horizontal="justify" vertical="center" wrapText="1"/>
    </xf>
    <xf numFmtId="0" fontId="37" fillId="0" borderId="22" xfId="0" applyFont="1" applyBorder="1" applyAlignment="1">
      <alignment horizontal="justify" vertical="center" wrapText="1"/>
    </xf>
    <xf numFmtId="0" fontId="37" fillId="0" borderId="21" xfId="0" applyFont="1" applyBorder="1" applyAlignment="1">
      <alignment horizontal="justify" vertical="center" wrapText="1"/>
    </xf>
    <xf numFmtId="0" fontId="37" fillId="0" borderId="20" xfId="0" applyFont="1" applyBorder="1" applyAlignment="1">
      <alignment horizontal="justify" vertical="center" wrapText="1"/>
    </xf>
    <xf numFmtId="0" fontId="37" fillId="0" borderId="19" xfId="0" applyFont="1" applyBorder="1" applyAlignment="1">
      <alignment horizontal="justify" vertical="center" wrapText="1"/>
    </xf>
    <xf numFmtId="0" fontId="40" fillId="4" borderId="29" xfId="0" applyFont="1" applyFill="1" applyBorder="1" applyAlignment="1">
      <alignment horizontal="left" vertical="center"/>
    </xf>
    <xf numFmtId="0" fontId="40" fillId="4" borderId="30" xfId="0" applyFont="1" applyFill="1" applyBorder="1" applyAlignment="1">
      <alignment horizontal="left" vertical="center"/>
    </xf>
    <xf numFmtId="0" fontId="40" fillId="4" borderId="20" xfId="0" applyFont="1" applyFill="1" applyBorder="1" applyAlignment="1">
      <alignment horizontal="left" vertical="center"/>
    </xf>
    <xf numFmtId="0" fontId="40" fillId="4" borderId="19" xfId="0" applyFont="1" applyFill="1" applyBorder="1" applyAlignment="1">
      <alignment horizontal="left" vertical="center"/>
    </xf>
    <xf numFmtId="0" fontId="40" fillId="4" borderId="17" xfId="0" applyFont="1" applyFill="1" applyBorder="1" applyAlignment="1">
      <alignment horizontal="left" vertical="center"/>
    </xf>
    <xf numFmtId="0" fontId="40" fillId="4" borderId="31" xfId="0" applyFont="1" applyFill="1" applyBorder="1" applyAlignment="1">
      <alignment horizontal="left" vertical="center"/>
    </xf>
    <xf numFmtId="0" fontId="40" fillId="4" borderId="28" xfId="0" applyFont="1" applyFill="1" applyBorder="1" applyAlignment="1">
      <alignment horizontal="center" vertical="center"/>
    </xf>
    <xf numFmtId="0" fontId="40" fillId="4" borderId="27" xfId="0" applyFont="1" applyFill="1" applyBorder="1" applyAlignment="1">
      <alignment horizontal="center" vertical="center"/>
    </xf>
    <xf numFmtId="0" fontId="40" fillId="4" borderId="18" xfId="0" applyFont="1" applyFill="1" applyBorder="1" applyAlignment="1">
      <alignment horizontal="center" vertical="center"/>
    </xf>
    <xf numFmtId="0" fontId="41" fillId="4" borderId="26" xfId="0" applyFont="1" applyFill="1" applyBorder="1" applyAlignment="1">
      <alignment horizontal="center" vertical="center"/>
    </xf>
    <xf numFmtId="0" fontId="41" fillId="4" borderId="25" xfId="0" applyFont="1" applyFill="1" applyBorder="1" applyAlignment="1">
      <alignment horizontal="center" vertical="center"/>
    </xf>
    <xf numFmtId="0" fontId="41" fillId="4" borderId="24" xfId="0" applyFont="1" applyFill="1" applyBorder="1" applyAlignment="1">
      <alignment horizontal="center" vertical="center"/>
    </xf>
    <xf numFmtId="0" fontId="40" fillId="4" borderId="29" xfId="0" applyFont="1" applyFill="1" applyBorder="1" applyAlignment="1">
      <alignment horizontal="center" vertical="center"/>
    </xf>
    <xf numFmtId="0" fontId="40" fillId="4" borderId="30" xfId="0" applyFont="1" applyFill="1" applyBorder="1" applyAlignment="1">
      <alignment horizontal="center" vertical="center"/>
    </xf>
    <xf numFmtId="0" fontId="40" fillId="4" borderId="17" xfId="0" applyFont="1" applyFill="1" applyBorder="1" applyAlignment="1">
      <alignment horizontal="center" vertical="center"/>
    </xf>
    <xf numFmtId="0" fontId="40" fillId="4" borderId="23" xfId="0" applyFont="1" applyFill="1" applyBorder="1" applyAlignment="1">
      <alignment horizontal="center" vertical="center"/>
    </xf>
    <xf numFmtId="0" fontId="40" fillId="4" borderId="0" xfId="0" applyFont="1" applyFill="1" applyAlignment="1">
      <alignment horizontal="center" vertical="center"/>
    </xf>
    <xf numFmtId="0" fontId="40" fillId="4" borderId="2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>
      <alignment vertical="center"/>
    </xf>
    <xf numFmtId="0" fontId="6" fillId="2" borderId="3" xfId="0" applyFont="1" applyFill="1" applyBorder="1">
      <alignment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37" fillId="2" borderId="23" xfId="0" applyFont="1" applyFill="1" applyBorder="1" applyAlignment="1">
      <alignment horizontal="justify" vertical="center" wrapText="1"/>
    </xf>
    <xf numFmtId="0" fontId="37" fillId="2" borderId="0" xfId="0" applyFont="1" applyFill="1" applyAlignment="1">
      <alignment horizontal="justify" vertical="center" wrapText="1"/>
    </xf>
    <xf numFmtId="0" fontId="37" fillId="2" borderId="22" xfId="0" applyFont="1" applyFill="1" applyBorder="1" applyAlignment="1">
      <alignment horizontal="justify" vertical="center" wrapText="1"/>
    </xf>
    <xf numFmtId="0" fontId="37" fillId="2" borderId="21" xfId="0" applyFont="1" applyFill="1" applyBorder="1" applyAlignment="1">
      <alignment horizontal="justify" vertical="center" wrapText="1"/>
    </xf>
    <xf numFmtId="0" fontId="37" fillId="2" borderId="20" xfId="0" applyFont="1" applyFill="1" applyBorder="1" applyAlignment="1">
      <alignment horizontal="justify" vertical="center" wrapText="1"/>
    </xf>
    <xf numFmtId="0" fontId="37" fillId="2" borderId="19" xfId="0" applyFont="1" applyFill="1" applyBorder="1" applyAlignment="1">
      <alignment horizontal="justify" vertical="center" wrapText="1"/>
    </xf>
    <xf numFmtId="0" fontId="37" fillId="2" borderId="26" xfId="0" applyFont="1" applyFill="1" applyBorder="1" applyAlignment="1">
      <alignment horizontal="justify" vertical="center" wrapText="1"/>
    </xf>
    <xf numFmtId="0" fontId="37" fillId="2" borderId="25" xfId="0" applyFont="1" applyFill="1" applyBorder="1" applyAlignment="1">
      <alignment horizontal="justify" vertical="center" wrapText="1"/>
    </xf>
    <xf numFmtId="0" fontId="37" fillId="2" borderId="24" xfId="0" applyFont="1" applyFill="1" applyBorder="1" applyAlignment="1">
      <alignment horizontal="justify" vertical="center" wrapText="1"/>
    </xf>
  </cellXfs>
  <cellStyles count="5">
    <cellStyle name="桁区切り" xfId="1" builtinId="6"/>
    <cellStyle name="桁区切り 2" xfId="3" xr:uid="{957FC794-2CDD-4DA7-8E51-FB42B6925E0B}"/>
    <cellStyle name="標準" xfId="0" builtinId="0"/>
    <cellStyle name="標準 2" xfId="2" xr:uid="{10EA4D68-CC9D-45B9-A163-0A602E4C5DE8}"/>
    <cellStyle name="標準 2 2" xfId="4" xr:uid="{5D451F1D-ADCE-40C8-90ED-E3BB27F77B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4"/>
  <sheetViews>
    <sheetView tabSelected="1" zoomScaleNormal="100" workbookViewId="0">
      <selection activeCell="C69" sqref="C69"/>
    </sheetView>
  </sheetViews>
  <sheetFormatPr defaultColWidth="8.875" defaultRowHeight="13.5"/>
  <sheetData>
    <row r="1" spans="1:15">
      <c r="A1" s="1" t="s">
        <v>0</v>
      </c>
    </row>
    <row r="2" spans="1:15">
      <c r="A2" s="1"/>
    </row>
    <row r="3" spans="1:1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5">
      <c r="A4" s="5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spans="1:15">
      <c r="A5" s="6">
        <v>1973</v>
      </c>
      <c r="B5" s="7">
        <v>57192</v>
      </c>
      <c r="C5" s="7">
        <v>3864</v>
      </c>
      <c r="D5" s="7">
        <v>235</v>
      </c>
      <c r="E5" s="7">
        <v>604</v>
      </c>
      <c r="F5" s="7">
        <v>4</v>
      </c>
      <c r="G5" s="7">
        <v>85</v>
      </c>
      <c r="H5" s="7">
        <v>101</v>
      </c>
      <c r="I5" s="7">
        <v>2031</v>
      </c>
      <c r="J5" s="7">
        <v>0</v>
      </c>
      <c r="K5" s="7">
        <v>18</v>
      </c>
      <c r="L5" s="7">
        <v>65</v>
      </c>
      <c r="M5" s="7">
        <v>119</v>
      </c>
      <c r="N5" s="124">
        <v>64317</v>
      </c>
    </row>
    <row r="6" spans="1:15">
      <c r="A6" s="6">
        <v>1974</v>
      </c>
      <c r="B6" s="7">
        <v>49834</v>
      </c>
      <c r="C6" s="7">
        <v>2982</v>
      </c>
      <c r="D6" s="7">
        <v>144</v>
      </c>
      <c r="E6" s="7">
        <v>429</v>
      </c>
      <c r="F6" s="7">
        <v>2</v>
      </c>
      <c r="G6" s="7">
        <v>75</v>
      </c>
      <c r="H6" s="7">
        <v>148</v>
      </c>
      <c r="I6" s="7">
        <v>1759</v>
      </c>
      <c r="J6" s="7">
        <v>26</v>
      </c>
      <c r="K6" s="7">
        <v>78</v>
      </c>
      <c r="L6" s="7">
        <v>25</v>
      </c>
      <c r="M6" s="7">
        <v>133</v>
      </c>
      <c r="N6" s="124">
        <v>55635</v>
      </c>
      <c r="O6" s="108"/>
    </row>
    <row r="7" spans="1:15">
      <c r="A7" s="6">
        <v>1975</v>
      </c>
      <c r="B7" s="7">
        <v>33398</v>
      </c>
      <c r="C7" s="7">
        <v>5443</v>
      </c>
      <c r="D7" s="7">
        <v>207</v>
      </c>
      <c r="E7" s="7">
        <v>533</v>
      </c>
      <c r="F7" s="7">
        <v>2</v>
      </c>
      <c r="G7" s="7">
        <v>74</v>
      </c>
      <c r="H7" s="7">
        <v>85</v>
      </c>
      <c r="I7" s="7">
        <v>2023</v>
      </c>
      <c r="J7" s="7">
        <v>11</v>
      </c>
      <c r="K7" s="7">
        <v>15</v>
      </c>
      <c r="L7" s="7">
        <v>7</v>
      </c>
      <c r="M7" s="7">
        <v>102</v>
      </c>
      <c r="N7" s="124">
        <v>41899</v>
      </c>
      <c r="O7" s="123"/>
    </row>
    <row r="8" spans="1:15">
      <c r="A8" s="6">
        <v>1976</v>
      </c>
      <c r="B8" s="7">
        <v>43359</v>
      </c>
      <c r="C8" s="7">
        <v>7158</v>
      </c>
      <c r="D8" s="7">
        <v>222</v>
      </c>
      <c r="E8" s="7">
        <v>535</v>
      </c>
      <c r="F8" s="7">
        <v>3</v>
      </c>
      <c r="G8" s="7">
        <v>37</v>
      </c>
      <c r="H8" s="7">
        <v>41</v>
      </c>
      <c r="I8" s="7">
        <v>1932</v>
      </c>
      <c r="J8" s="7">
        <v>46</v>
      </c>
      <c r="K8" s="7">
        <v>36</v>
      </c>
      <c r="L8" s="7">
        <v>9</v>
      </c>
      <c r="M8" s="7">
        <v>109</v>
      </c>
      <c r="N8" s="124">
        <v>53485</v>
      </c>
    </row>
    <row r="9" spans="1:15">
      <c r="A9" s="6">
        <v>1977</v>
      </c>
      <c r="B9" s="7">
        <v>57289</v>
      </c>
      <c r="C9" s="7">
        <v>6996</v>
      </c>
      <c r="D9" s="7">
        <v>216</v>
      </c>
      <c r="E9" s="7">
        <v>912</v>
      </c>
      <c r="F9" s="7">
        <v>5</v>
      </c>
      <c r="G9" s="7">
        <v>75</v>
      </c>
      <c r="H9" s="7">
        <v>70</v>
      </c>
      <c r="I9" s="7">
        <v>1118</v>
      </c>
      <c r="J9" s="7">
        <v>13</v>
      </c>
      <c r="K9" s="7">
        <v>91</v>
      </c>
      <c r="L9" s="7">
        <v>4</v>
      </c>
      <c r="M9" s="7">
        <v>78</v>
      </c>
      <c r="N9" s="124">
        <v>66867</v>
      </c>
    </row>
    <row r="10" spans="1:15">
      <c r="A10" s="6">
        <v>1978</v>
      </c>
      <c r="B10" s="7">
        <v>59660</v>
      </c>
      <c r="C10" s="7">
        <v>3838</v>
      </c>
      <c r="D10" s="7">
        <v>299</v>
      </c>
      <c r="E10" s="7">
        <v>2405</v>
      </c>
      <c r="F10" s="7">
        <v>6</v>
      </c>
      <c r="G10" s="7">
        <v>72</v>
      </c>
      <c r="H10" s="7">
        <v>31</v>
      </c>
      <c r="I10" s="7">
        <v>974</v>
      </c>
      <c r="J10" s="7">
        <v>14</v>
      </c>
      <c r="K10" s="7">
        <v>88</v>
      </c>
      <c r="L10" s="7">
        <v>3</v>
      </c>
      <c r="M10" s="7">
        <v>52</v>
      </c>
      <c r="N10" s="124">
        <v>67441</v>
      </c>
    </row>
    <row r="11" spans="1:15">
      <c r="A11" s="6">
        <v>1979</v>
      </c>
      <c r="B11" s="7">
        <v>52904</v>
      </c>
      <c r="C11" s="7">
        <v>10166</v>
      </c>
      <c r="D11" s="7">
        <v>273</v>
      </c>
      <c r="E11" s="7">
        <v>1775</v>
      </c>
      <c r="F11" s="7">
        <v>12</v>
      </c>
      <c r="G11" s="7">
        <v>78</v>
      </c>
      <c r="H11" s="7">
        <v>56</v>
      </c>
      <c r="I11" s="7">
        <v>2020</v>
      </c>
      <c r="J11" s="7">
        <v>6</v>
      </c>
      <c r="K11" s="7">
        <v>20</v>
      </c>
      <c r="L11" s="7">
        <v>26</v>
      </c>
      <c r="M11" s="7">
        <v>65</v>
      </c>
      <c r="N11" s="124">
        <v>67403</v>
      </c>
    </row>
    <row r="12" spans="1:15">
      <c r="A12" s="6">
        <v>1980</v>
      </c>
      <c r="B12" s="7">
        <v>37683</v>
      </c>
      <c r="C12" s="7">
        <v>8401</v>
      </c>
      <c r="D12" s="7">
        <v>156</v>
      </c>
      <c r="E12" s="7">
        <v>1149</v>
      </c>
      <c r="F12" s="7">
        <v>9</v>
      </c>
      <c r="G12" s="7">
        <v>69</v>
      </c>
      <c r="H12" s="7">
        <v>73</v>
      </c>
      <c r="I12" s="7">
        <v>1336</v>
      </c>
      <c r="J12" s="7">
        <v>9</v>
      </c>
      <c r="K12" s="7">
        <v>2</v>
      </c>
      <c r="L12" s="7">
        <v>16</v>
      </c>
      <c r="M12" s="7">
        <v>47</v>
      </c>
      <c r="N12" s="124">
        <v>48949</v>
      </c>
    </row>
    <row r="13" spans="1:15">
      <c r="A13" s="6">
        <v>1981</v>
      </c>
      <c r="B13" s="7">
        <v>29291</v>
      </c>
      <c r="C13" s="7">
        <v>10962</v>
      </c>
      <c r="D13" s="7">
        <v>527</v>
      </c>
      <c r="E13" s="7">
        <v>1774</v>
      </c>
      <c r="F13" s="7">
        <v>16</v>
      </c>
      <c r="G13" s="7">
        <v>61</v>
      </c>
      <c r="H13" s="7">
        <v>78</v>
      </c>
      <c r="I13" s="7">
        <v>1050</v>
      </c>
      <c r="J13" s="7">
        <v>14</v>
      </c>
      <c r="K13" s="7">
        <v>34</v>
      </c>
      <c r="L13" s="7">
        <v>8</v>
      </c>
      <c r="M13" s="7">
        <v>48</v>
      </c>
      <c r="N13" s="124">
        <v>43861</v>
      </c>
    </row>
    <row r="14" spans="1:15">
      <c r="A14" s="6">
        <v>1982</v>
      </c>
      <c r="B14" s="7">
        <v>44429</v>
      </c>
      <c r="C14" s="7">
        <v>11391</v>
      </c>
      <c r="D14" s="7">
        <v>721</v>
      </c>
      <c r="E14" s="7">
        <v>1688</v>
      </c>
      <c r="F14" s="7">
        <v>20</v>
      </c>
      <c r="G14" s="7">
        <v>113</v>
      </c>
      <c r="H14" s="7">
        <v>110</v>
      </c>
      <c r="I14" s="7">
        <v>1325</v>
      </c>
      <c r="J14" s="7">
        <v>33</v>
      </c>
      <c r="K14" s="7">
        <v>93</v>
      </c>
      <c r="L14" s="7">
        <v>5</v>
      </c>
      <c r="M14" s="7">
        <v>42</v>
      </c>
      <c r="N14" s="124">
        <v>59971</v>
      </c>
    </row>
    <row r="15" spans="1:15">
      <c r="A15" s="6">
        <v>1983</v>
      </c>
      <c r="B15" s="7">
        <v>38489</v>
      </c>
      <c r="C15" s="7">
        <v>11452</v>
      </c>
      <c r="D15" s="7">
        <v>317</v>
      </c>
      <c r="E15" s="7">
        <v>1397</v>
      </c>
      <c r="F15" s="7">
        <v>30</v>
      </c>
      <c r="G15" s="7">
        <v>160</v>
      </c>
      <c r="H15" s="7">
        <v>118</v>
      </c>
      <c r="I15" s="7">
        <v>1271</v>
      </c>
      <c r="J15" s="7">
        <v>20</v>
      </c>
      <c r="K15" s="7">
        <v>50</v>
      </c>
      <c r="L15" s="7">
        <v>5</v>
      </c>
      <c r="M15" s="7">
        <v>108</v>
      </c>
      <c r="N15" s="124">
        <v>53417</v>
      </c>
    </row>
    <row r="16" spans="1:15">
      <c r="A16" s="6">
        <v>1984</v>
      </c>
      <c r="B16" s="7">
        <v>43969</v>
      </c>
      <c r="C16" s="7">
        <v>11810</v>
      </c>
      <c r="D16" s="7">
        <v>327</v>
      </c>
      <c r="E16" s="7">
        <v>1266</v>
      </c>
      <c r="F16" s="7">
        <v>9</v>
      </c>
      <c r="G16" s="7">
        <v>88</v>
      </c>
      <c r="H16" s="7">
        <v>113</v>
      </c>
      <c r="I16" s="7">
        <v>1496</v>
      </c>
      <c r="J16" s="7">
        <v>1</v>
      </c>
      <c r="K16" s="7">
        <v>29</v>
      </c>
      <c r="L16" s="7">
        <v>6</v>
      </c>
      <c r="M16" s="7">
        <v>79</v>
      </c>
      <c r="N16" s="124">
        <v>59192</v>
      </c>
    </row>
    <row r="17" spans="1:14">
      <c r="A17" s="6">
        <v>1985</v>
      </c>
      <c r="B17" s="7">
        <v>36636</v>
      </c>
      <c r="C17" s="7">
        <v>15413</v>
      </c>
      <c r="D17" s="7">
        <v>696</v>
      </c>
      <c r="E17" s="7">
        <v>3201</v>
      </c>
      <c r="F17" s="7">
        <v>5</v>
      </c>
      <c r="G17" s="7">
        <v>83</v>
      </c>
      <c r="H17" s="7">
        <v>156</v>
      </c>
      <c r="I17" s="7">
        <v>1115</v>
      </c>
      <c r="J17" s="7">
        <v>12</v>
      </c>
      <c r="K17" s="7">
        <v>21</v>
      </c>
      <c r="L17" s="7">
        <v>18</v>
      </c>
      <c r="M17" s="7">
        <v>116</v>
      </c>
      <c r="N17" s="124">
        <v>57470</v>
      </c>
    </row>
    <row r="18" spans="1:14">
      <c r="A18" s="6">
        <v>1986</v>
      </c>
      <c r="B18" s="7">
        <v>55556</v>
      </c>
      <c r="C18" s="7">
        <v>8329</v>
      </c>
      <c r="D18" s="7">
        <v>138</v>
      </c>
      <c r="E18" s="7">
        <v>1225</v>
      </c>
      <c r="F18" s="7">
        <v>12</v>
      </c>
      <c r="G18" s="7">
        <v>118</v>
      </c>
      <c r="H18" s="7">
        <v>94</v>
      </c>
      <c r="I18" s="7">
        <v>1588</v>
      </c>
      <c r="J18" s="7">
        <v>47</v>
      </c>
      <c r="K18" s="7">
        <v>20</v>
      </c>
      <c r="L18" s="7">
        <v>5</v>
      </c>
      <c r="M18" s="7">
        <v>61</v>
      </c>
      <c r="N18" s="124">
        <v>67192</v>
      </c>
    </row>
    <row r="19" spans="1:14">
      <c r="A19" s="6">
        <v>1987</v>
      </c>
      <c r="B19" s="7">
        <v>26050</v>
      </c>
      <c r="C19" s="7">
        <v>9230</v>
      </c>
      <c r="D19" s="7">
        <v>590</v>
      </c>
      <c r="E19" s="7">
        <v>6472</v>
      </c>
      <c r="F19" s="7">
        <v>41</v>
      </c>
      <c r="G19" s="7">
        <v>180</v>
      </c>
      <c r="H19" s="7">
        <v>151</v>
      </c>
      <c r="I19" s="7">
        <v>1316</v>
      </c>
      <c r="J19" s="7">
        <v>14</v>
      </c>
      <c r="K19" s="7">
        <v>38</v>
      </c>
      <c r="L19" s="7">
        <v>5</v>
      </c>
      <c r="M19" s="7">
        <v>104</v>
      </c>
      <c r="N19" s="124">
        <v>44191</v>
      </c>
    </row>
    <row r="20" spans="1:14">
      <c r="A20" s="6">
        <v>1988</v>
      </c>
      <c r="B20" s="7">
        <v>44182</v>
      </c>
      <c r="C20" s="7">
        <v>7126</v>
      </c>
      <c r="D20" s="7">
        <v>262</v>
      </c>
      <c r="E20" s="7">
        <v>2728</v>
      </c>
      <c r="F20" s="7">
        <v>35</v>
      </c>
      <c r="G20" s="7">
        <v>157</v>
      </c>
      <c r="H20" s="7">
        <v>197</v>
      </c>
      <c r="I20" s="7">
        <v>2751</v>
      </c>
      <c r="J20" s="7">
        <v>13</v>
      </c>
      <c r="K20" s="7">
        <v>19</v>
      </c>
      <c r="L20" s="7">
        <v>7</v>
      </c>
      <c r="M20" s="7">
        <v>115</v>
      </c>
      <c r="N20" s="124">
        <v>57593</v>
      </c>
    </row>
    <row r="21" spans="1:14">
      <c r="A21" s="6">
        <v>1989</v>
      </c>
      <c r="B21" s="7">
        <v>33059</v>
      </c>
      <c r="C21" s="7">
        <v>6094</v>
      </c>
      <c r="D21" s="7">
        <v>255</v>
      </c>
      <c r="E21" s="7">
        <v>1928</v>
      </c>
      <c r="F21" s="7">
        <v>68</v>
      </c>
      <c r="G21" s="7">
        <v>181</v>
      </c>
      <c r="H21" s="7">
        <v>78</v>
      </c>
      <c r="I21" s="7">
        <v>2521</v>
      </c>
      <c r="J21" s="7">
        <v>1</v>
      </c>
      <c r="K21" s="7">
        <v>25</v>
      </c>
      <c r="L21" s="7">
        <v>36</v>
      </c>
      <c r="M21" s="7">
        <v>71</v>
      </c>
      <c r="N21" s="124">
        <v>44316</v>
      </c>
    </row>
    <row r="22" spans="1:14">
      <c r="A22" s="6">
        <v>1990</v>
      </c>
      <c r="B22" s="7">
        <v>46700</v>
      </c>
      <c r="C22" s="7">
        <v>2782</v>
      </c>
      <c r="D22" s="7">
        <v>63</v>
      </c>
      <c r="E22" s="7">
        <v>873</v>
      </c>
      <c r="F22" s="7">
        <v>8</v>
      </c>
      <c r="G22" s="7">
        <v>89</v>
      </c>
      <c r="H22" s="7">
        <v>212</v>
      </c>
      <c r="I22" s="7">
        <v>766</v>
      </c>
      <c r="J22" s="7">
        <v>1</v>
      </c>
      <c r="K22" s="7">
        <v>10</v>
      </c>
      <c r="L22" s="7">
        <v>16</v>
      </c>
      <c r="M22" s="7">
        <v>26</v>
      </c>
      <c r="N22" s="124">
        <v>51546</v>
      </c>
    </row>
    <row r="23" spans="1:14">
      <c r="A23" s="6">
        <v>1991</v>
      </c>
      <c r="B23" s="7">
        <v>37276</v>
      </c>
      <c r="C23" s="7">
        <v>3470</v>
      </c>
      <c r="D23" s="7">
        <v>364</v>
      </c>
      <c r="E23" s="7">
        <v>1057</v>
      </c>
      <c r="F23" s="7">
        <v>7</v>
      </c>
      <c r="G23" s="7">
        <v>63</v>
      </c>
      <c r="H23" s="7">
        <v>352</v>
      </c>
      <c r="I23" s="7">
        <v>1324</v>
      </c>
      <c r="J23" s="7">
        <v>0</v>
      </c>
      <c r="K23" s="7">
        <v>4</v>
      </c>
      <c r="L23" s="7">
        <v>8</v>
      </c>
      <c r="M23" s="7">
        <v>21</v>
      </c>
      <c r="N23" s="124">
        <v>43944</v>
      </c>
    </row>
    <row r="24" spans="1:14">
      <c r="A24" s="6">
        <v>1992</v>
      </c>
      <c r="B24" s="2">
        <v>27314</v>
      </c>
      <c r="C24" s="2">
        <v>4833</v>
      </c>
      <c r="D24">
        <v>310</v>
      </c>
      <c r="E24" s="2">
        <v>1212</v>
      </c>
      <c r="F24">
        <v>18</v>
      </c>
      <c r="G24">
        <v>98</v>
      </c>
      <c r="H24" s="2">
        <v>192</v>
      </c>
      <c r="I24" s="2">
        <v>941</v>
      </c>
      <c r="J24">
        <v>0</v>
      </c>
      <c r="K24">
        <v>4</v>
      </c>
      <c r="L24" s="2">
        <v>6</v>
      </c>
      <c r="M24" s="2">
        <v>10</v>
      </c>
      <c r="N24" s="2">
        <v>34938</v>
      </c>
    </row>
    <row r="25" spans="1:14">
      <c r="A25" s="6">
        <v>1993</v>
      </c>
      <c r="B25" s="2">
        <v>35957</v>
      </c>
      <c r="C25" s="2">
        <v>8960</v>
      </c>
      <c r="D25">
        <v>364</v>
      </c>
      <c r="E25" s="2">
        <v>2514</v>
      </c>
      <c r="F25">
        <v>54</v>
      </c>
      <c r="G25">
        <v>391</v>
      </c>
      <c r="H25" s="2">
        <v>169</v>
      </c>
      <c r="I25" s="2">
        <v>1757</v>
      </c>
      <c r="J25">
        <v>0</v>
      </c>
      <c r="K25" s="2">
        <v>4</v>
      </c>
      <c r="L25">
        <v>24</v>
      </c>
      <c r="M25" s="2">
        <v>44</v>
      </c>
      <c r="N25" s="2">
        <v>50237</v>
      </c>
    </row>
    <row r="26" spans="1:14">
      <c r="A26" s="6">
        <v>1994</v>
      </c>
      <c r="B26" s="2">
        <v>46907</v>
      </c>
      <c r="C26" s="2">
        <v>4573</v>
      </c>
      <c r="D26">
        <v>152</v>
      </c>
      <c r="E26" s="2">
        <v>2185</v>
      </c>
      <c r="F26">
        <v>50</v>
      </c>
      <c r="G26">
        <v>273</v>
      </c>
      <c r="H26" s="2">
        <v>284</v>
      </c>
      <c r="I26" s="2">
        <v>2328</v>
      </c>
      <c r="J26">
        <v>0</v>
      </c>
      <c r="K26">
        <v>39</v>
      </c>
      <c r="L26">
        <v>33</v>
      </c>
      <c r="M26" s="2">
        <v>70</v>
      </c>
      <c r="N26" s="2">
        <v>56895</v>
      </c>
    </row>
    <row r="27" spans="1:14">
      <c r="A27" s="6">
        <v>1995</v>
      </c>
      <c r="B27" s="2">
        <v>42228</v>
      </c>
      <c r="C27" s="2">
        <v>4203</v>
      </c>
      <c r="D27">
        <v>483</v>
      </c>
      <c r="E27" s="2">
        <v>2367</v>
      </c>
      <c r="F27">
        <v>21</v>
      </c>
      <c r="G27">
        <v>165</v>
      </c>
      <c r="H27">
        <v>299</v>
      </c>
      <c r="I27" s="2">
        <v>1513</v>
      </c>
      <c r="J27">
        <v>0</v>
      </c>
      <c r="K27">
        <v>20</v>
      </c>
      <c r="L27">
        <v>20</v>
      </c>
      <c r="M27" s="2">
        <v>25</v>
      </c>
      <c r="N27" s="2">
        <v>51344</v>
      </c>
    </row>
    <row r="28" spans="1:14">
      <c r="A28" s="6">
        <v>1996</v>
      </c>
      <c r="B28" s="2">
        <v>30352</v>
      </c>
      <c r="C28" s="2">
        <v>6969</v>
      </c>
      <c r="D28">
        <v>527</v>
      </c>
      <c r="E28" s="2">
        <v>2308</v>
      </c>
      <c r="F28">
        <v>17</v>
      </c>
      <c r="G28">
        <v>202</v>
      </c>
      <c r="H28" s="2">
        <v>276</v>
      </c>
      <c r="I28" s="2">
        <v>1381</v>
      </c>
      <c r="J28">
        <v>0</v>
      </c>
      <c r="K28" s="2">
        <v>15</v>
      </c>
      <c r="L28">
        <v>16</v>
      </c>
      <c r="M28" s="2">
        <v>27</v>
      </c>
      <c r="N28" s="2">
        <v>42088</v>
      </c>
    </row>
    <row r="29" spans="1:14">
      <c r="A29" s="6">
        <v>1997</v>
      </c>
      <c r="B29" s="2">
        <v>49220</v>
      </c>
      <c r="C29" s="2">
        <v>9188</v>
      </c>
      <c r="D29" s="2">
        <v>687</v>
      </c>
      <c r="E29" s="2">
        <v>2822</v>
      </c>
      <c r="F29">
        <v>31</v>
      </c>
      <c r="G29">
        <v>87</v>
      </c>
      <c r="H29">
        <v>205</v>
      </c>
      <c r="I29" s="2">
        <v>642</v>
      </c>
      <c r="J29">
        <v>1</v>
      </c>
      <c r="K29" s="2">
        <v>3</v>
      </c>
      <c r="L29">
        <v>22</v>
      </c>
      <c r="M29">
        <v>21</v>
      </c>
      <c r="N29" s="2">
        <v>62928</v>
      </c>
    </row>
    <row r="30" spans="1:14">
      <c r="A30" s="6">
        <v>1998</v>
      </c>
      <c r="B30" s="2">
        <v>60130</v>
      </c>
      <c r="C30" s="2">
        <v>4548</v>
      </c>
      <c r="D30" s="2">
        <v>118</v>
      </c>
      <c r="E30" s="2">
        <v>1830</v>
      </c>
      <c r="F30">
        <v>17</v>
      </c>
      <c r="G30">
        <v>133</v>
      </c>
      <c r="H30" s="2">
        <v>329</v>
      </c>
      <c r="I30" s="2">
        <v>987</v>
      </c>
      <c r="J30">
        <v>1</v>
      </c>
      <c r="K30">
        <v>1</v>
      </c>
      <c r="L30">
        <v>25</v>
      </c>
      <c r="M30" s="2">
        <v>10</v>
      </c>
      <c r="N30" s="2">
        <v>68128</v>
      </c>
    </row>
    <row r="31" spans="1:14">
      <c r="A31" s="6">
        <v>1999</v>
      </c>
      <c r="B31" s="2">
        <v>79261</v>
      </c>
      <c r="C31" s="2">
        <v>5487</v>
      </c>
      <c r="D31">
        <v>168</v>
      </c>
      <c r="E31" s="2">
        <v>2186</v>
      </c>
      <c r="F31">
        <v>17</v>
      </c>
      <c r="G31">
        <v>153</v>
      </c>
      <c r="H31" s="2">
        <v>143</v>
      </c>
      <c r="I31" s="2">
        <v>556</v>
      </c>
      <c r="J31">
        <v>1</v>
      </c>
      <c r="K31">
        <v>9</v>
      </c>
      <c r="L31">
        <v>15</v>
      </c>
      <c r="M31">
        <v>22</v>
      </c>
      <c r="N31" s="2">
        <v>88012</v>
      </c>
    </row>
    <row r="32" spans="1:14">
      <c r="A32" s="6">
        <v>2000</v>
      </c>
      <c r="B32" s="2">
        <v>38723</v>
      </c>
      <c r="C32" s="2">
        <v>5600</v>
      </c>
      <c r="D32" s="2">
        <v>72</v>
      </c>
      <c r="E32" s="2">
        <v>1512</v>
      </c>
      <c r="F32">
        <v>8</v>
      </c>
      <c r="G32">
        <v>58</v>
      </c>
      <c r="H32" s="2">
        <v>245</v>
      </c>
      <c r="I32" s="2">
        <v>410</v>
      </c>
      <c r="J32">
        <v>0</v>
      </c>
      <c r="K32">
        <v>6</v>
      </c>
      <c r="L32">
        <v>22</v>
      </c>
      <c r="M32">
        <v>14</v>
      </c>
      <c r="N32" s="2">
        <v>46668</v>
      </c>
    </row>
    <row r="33" spans="1:14">
      <c r="A33" s="6">
        <v>2001</v>
      </c>
      <c r="B33" s="2">
        <v>55736</v>
      </c>
      <c r="C33" s="2">
        <v>4627</v>
      </c>
      <c r="D33" s="2">
        <v>13</v>
      </c>
      <c r="E33" s="2">
        <v>1895</v>
      </c>
      <c r="F33">
        <v>16</v>
      </c>
      <c r="G33" s="2">
        <v>127</v>
      </c>
      <c r="H33" s="2">
        <v>190</v>
      </c>
      <c r="I33" s="2">
        <v>412</v>
      </c>
      <c r="J33">
        <v>0</v>
      </c>
      <c r="K33" s="2">
        <v>0</v>
      </c>
      <c r="L33">
        <v>11</v>
      </c>
      <c r="M33">
        <v>8</v>
      </c>
      <c r="N33" s="2">
        <v>63034</v>
      </c>
    </row>
    <row r="34" spans="1:14">
      <c r="A34" s="6">
        <v>2002</v>
      </c>
      <c r="B34" s="2">
        <v>41201</v>
      </c>
      <c r="C34" s="2">
        <v>1382</v>
      </c>
      <c r="D34" s="2">
        <v>19</v>
      </c>
      <c r="E34" s="2">
        <v>1955</v>
      </c>
      <c r="F34">
        <v>3</v>
      </c>
      <c r="G34" s="2">
        <v>110</v>
      </c>
      <c r="H34" s="2">
        <v>177</v>
      </c>
      <c r="I34" s="2">
        <v>520</v>
      </c>
      <c r="J34">
        <v>0</v>
      </c>
      <c r="K34">
        <v>0</v>
      </c>
      <c r="L34">
        <v>15</v>
      </c>
      <c r="M34" s="2">
        <v>8</v>
      </c>
      <c r="N34" s="2">
        <v>45389</v>
      </c>
    </row>
    <row r="35" spans="1:14">
      <c r="A35" s="6">
        <v>2003</v>
      </c>
      <c r="B35" s="2">
        <v>38619</v>
      </c>
      <c r="C35" s="2">
        <v>4540</v>
      </c>
      <c r="D35" s="2">
        <v>2</v>
      </c>
      <c r="E35" s="2">
        <v>2012</v>
      </c>
      <c r="F35">
        <v>1</v>
      </c>
      <c r="G35">
        <v>131</v>
      </c>
      <c r="H35" s="2">
        <v>49</v>
      </c>
      <c r="I35" s="2">
        <v>413</v>
      </c>
      <c r="J35">
        <v>0</v>
      </c>
      <c r="K35">
        <v>1</v>
      </c>
      <c r="L35">
        <v>19</v>
      </c>
      <c r="M35" s="2">
        <v>9</v>
      </c>
      <c r="N35" s="2">
        <v>45796</v>
      </c>
    </row>
    <row r="36" spans="1:14">
      <c r="A36" s="6">
        <v>2004</v>
      </c>
      <c r="B36" s="2">
        <v>23234</v>
      </c>
      <c r="C36" s="2">
        <v>3834</v>
      </c>
      <c r="D36" s="2">
        <v>33</v>
      </c>
      <c r="E36" s="2">
        <v>3563</v>
      </c>
      <c r="F36">
        <v>4</v>
      </c>
      <c r="G36">
        <v>106</v>
      </c>
      <c r="H36" s="2">
        <v>17</v>
      </c>
      <c r="I36" s="2">
        <v>350</v>
      </c>
      <c r="J36">
        <v>0</v>
      </c>
      <c r="K36">
        <v>0</v>
      </c>
      <c r="L36">
        <v>9</v>
      </c>
      <c r="M36" s="2">
        <v>3</v>
      </c>
      <c r="N36" s="2">
        <v>31153</v>
      </c>
    </row>
    <row r="37" spans="1:14">
      <c r="A37" s="6">
        <v>2005</v>
      </c>
      <c r="B37" s="2">
        <v>63055</v>
      </c>
      <c r="C37" s="2">
        <v>9325</v>
      </c>
      <c r="D37">
        <v>29</v>
      </c>
      <c r="E37" s="2">
        <v>2711</v>
      </c>
      <c r="F37">
        <v>2</v>
      </c>
      <c r="G37" s="2">
        <v>98</v>
      </c>
      <c r="H37" s="2">
        <v>49</v>
      </c>
      <c r="I37" s="2">
        <v>540</v>
      </c>
      <c r="J37">
        <v>0</v>
      </c>
      <c r="K37">
        <v>4</v>
      </c>
      <c r="L37">
        <v>5</v>
      </c>
      <c r="M37" s="2">
        <v>8</v>
      </c>
      <c r="N37" s="2">
        <v>75825</v>
      </c>
    </row>
    <row r="38" spans="1:14">
      <c r="A38" s="6">
        <v>2006</v>
      </c>
      <c r="B38" s="2">
        <v>47746</v>
      </c>
      <c r="C38" s="2">
        <v>9305</v>
      </c>
      <c r="D38" s="2">
        <v>31</v>
      </c>
      <c r="E38" s="2">
        <v>3450</v>
      </c>
      <c r="F38">
        <v>26</v>
      </c>
      <c r="G38" s="2">
        <v>107</v>
      </c>
      <c r="H38" s="2">
        <v>83</v>
      </c>
      <c r="I38" s="2">
        <v>628</v>
      </c>
      <c r="J38">
        <v>1</v>
      </c>
      <c r="K38">
        <v>2</v>
      </c>
      <c r="L38">
        <v>74</v>
      </c>
      <c r="M38" s="2">
        <v>32</v>
      </c>
      <c r="N38" s="2">
        <v>61483</v>
      </c>
    </row>
    <row r="39" spans="1:14">
      <c r="A39" s="6">
        <v>2007</v>
      </c>
      <c r="B39" s="2">
        <v>42644</v>
      </c>
      <c r="C39" s="2">
        <v>7082</v>
      </c>
      <c r="D39" s="2">
        <v>71</v>
      </c>
      <c r="E39" s="2">
        <v>3016</v>
      </c>
      <c r="F39">
        <v>6</v>
      </c>
      <c r="G39" s="2">
        <v>261</v>
      </c>
      <c r="H39" s="2">
        <v>91</v>
      </c>
      <c r="I39" s="2">
        <v>708</v>
      </c>
      <c r="J39">
        <v>0</v>
      </c>
      <c r="K39">
        <v>1</v>
      </c>
      <c r="L39">
        <v>18</v>
      </c>
      <c r="M39" s="2">
        <v>14</v>
      </c>
      <c r="N39" s="2">
        <v>53912</v>
      </c>
    </row>
    <row r="40" spans="1:14">
      <c r="A40" s="6">
        <v>2008</v>
      </c>
      <c r="B40" s="2">
        <v>24338</v>
      </c>
      <c r="C40" s="2">
        <v>11174</v>
      </c>
      <c r="D40" s="2">
        <v>78</v>
      </c>
      <c r="E40" s="2">
        <v>3370</v>
      </c>
      <c r="F40">
        <v>16</v>
      </c>
      <c r="G40" s="2">
        <v>83</v>
      </c>
      <c r="H40" s="2">
        <v>85</v>
      </c>
      <c r="I40" s="2">
        <v>864</v>
      </c>
      <c r="J40">
        <v>0</v>
      </c>
      <c r="K40">
        <v>3</v>
      </c>
      <c r="L40">
        <v>15</v>
      </c>
      <c r="M40" s="2">
        <v>10</v>
      </c>
      <c r="N40" s="2">
        <v>40034</v>
      </c>
    </row>
    <row r="41" spans="1:14">
      <c r="A41" s="6">
        <v>2009</v>
      </c>
      <c r="B41" s="2">
        <v>24690</v>
      </c>
      <c r="C41" s="2">
        <v>6974</v>
      </c>
      <c r="D41">
        <v>15</v>
      </c>
      <c r="E41" s="2">
        <v>3604</v>
      </c>
      <c r="F41">
        <v>1</v>
      </c>
      <c r="G41">
        <v>64</v>
      </c>
      <c r="H41" s="2">
        <v>106</v>
      </c>
      <c r="I41" s="2">
        <v>901</v>
      </c>
      <c r="J41">
        <v>0</v>
      </c>
      <c r="K41">
        <v>1</v>
      </c>
      <c r="L41">
        <v>16</v>
      </c>
      <c r="M41">
        <v>7</v>
      </c>
      <c r="N41" s="2">
        <v>36380</v>
      </c>
    </row>
    <row r="42" spans="1:14">
      <c r="A42" s="6">
        <v>2010</v>
      </c>
      <c r="B42" s="2">
        <v>16036</v>
      </c>
      <c r="C42" s="2">
        <v>9906</v>
      </c>
      <c r="D42" s="2">
        <v>31</v>
      </c>
      <c r="E42" s="2">
        <v>2917</v>
      </c>
      <c r="F42">
        <v>10</v>
      </c>
      <c r="G42">
        <v>94</v>
      </c>
      <c r="H42" s="2">
        <v>75</v>
      </c>
      <c r="I42" s="2">
        <v>474</v>
      </c>
      <c r="J42">
        <v>0</v>
      </c>
      <c r="K42">
        <v>1</v>
      </c>
      <c r="L42">
        <v>5</v>
      </c>
      <c r="M42">
        <v>10</v>
      </c>
      <c r="N42" s="2">
        <v>29557</v>
      </c>
    </row>
    <row r="43" spans="1:14">
      <c r="A43" s="6">
        <v>2011</v>
      </c>
      <c r="B43" s="2">
        <v>26265</v>
      </c>
      <c r="C43" s="2">
        <v>16358</v>
      </c>
      <c r="D43" s="2">
        <v>73</v>
      </c>
      <c r="E43" s="2">
        <v>4950</v>
      </c>
      <c r="F43">
        <v>2</v>
      </c>
      <c r="G43">
        <v>142</v>
      </c>
      <c r="H43" s="2">
        <v>80</v>
      </c>
      <c r="I43" s="2">
        <v>825</v>
      </c>
      <c r="J43">
        <v>0</v>
      </c>
      <c r="K43">
        <v>1</v>
      </c>
      <c r="L43">
        <v>14</v>
      </c>
      <c r="M43">
        <v>9</v>
      </c>
      <c r="N43" s="2">
        <v>49020</v>
      </c>
    </row>
    <row r="44" spans="1:14">
      <c r="A44" s="6">
        <v>2012</v>
      </c>
      <c r="B44" s="2">
        <v>32063</v>
      </c>
      <c r="C44" s="2">
        <v>10060</v>
      </c>
      <c r="D44" s="2">
        <v>27</v>
      </c>
      <c r="E44" s="2">
        <v>3508</v>
      </c>
      <c r="F44">
        <v>8</v>
      </c>
      <c r="G44">
        <v>96</v>
      </c>
      <c r="H44" s="2">
        <v>43</v>
      </c>
      <c r="I44" s="2">
        <v>777</v>
      </c>
      <c r="J44">
        <v>4</v>
      </c>
      <c r="K44">
        <v>1</v>
      </c>
      <c r="L44">
        <v>3</v>
      </c>
      <c r="M44">
        <v>9</v>
      </c>
      <c r="N44" s="2">
        <v>46598</v>
      </c>
    </row>
    <row r="45" spans="1:14">
      <c r="A45" s="6">
        <v>2013</v>
      </c>
      <c r="B45" s="2">
        <v>26829</v>
      </c>
      <c r="C45" s="2">
        <v>8687</v>
      </c>
      <c r="D45" s="2">
        <v>29</v>
      </c>
      <c r="E45" s="2">
        <v>2266</v>
      </c>
      <c r="F45">
        <v>5</v>
      </c>
      <c r="G45">
        <v>8</v>
      </c>
      <c r="H45" s="2">
        <v>29</v>
      </c>
      <c r="I45" s="2">
        <v>359</v>
      </c>
      <c r="J45">
        <v>6</v>
      </c>
      <c r="K45">
        <v>0</v>
      </c>
      <c r="L45">
        <v>8</v>
      </c>
      <c r="M45">
        <v>7</v>
      </c>
      <c r="N45" s="2">
        <v>38233</v>
      </c>
    </row>
    <row r="46" spans="1:14">
      <c r="A46" s="6">
        <v>2014</v>
      </c>
      <c r="B46" s="2">
        <v>20124</v>
      </c>
      <c r="C46" s="2">
        <v>7786</v>
      </c>
      <c r="D46" s="2">
        <v>48</v>
      </c>
      <c r="E46" s="2">
        <v>3684</v>
      </c>
      <c r="F46">
        <v>2</v>
      </c>
      <c r="G46">
        <v>22</v>
      </c>
      <c r="H46" s="2">
        <v>45</v>
      </c>
      <c r="I46" s="2">
        <v>794</v>
      </c>
      <c r="J46">
        <v>0</v>
      </c>
      <c r="K46">
        <v>0</v>
      </c>
      <c r="L46">
        <v>27</v>
      </c>
      <c r="M46">
        <v>2</v>
      </c>
      <c r="N46" s="2">
        <v>32533</v>
      </c>
    </row>
    <row r="47" spans="1:14">
      <c r="A47" s="6">
        <v>2015</v>
      </c>
      <c r="B47" s="2">
        <v>16695</v>
      </c>
      <c r="C47" s="2">
        <v>9558</v>
      </c>
      <c r="D47" s="2">
        <v>75</v>
      </c>
      <c r="E47" s="2">
        <v>3622</v>
      </c>
      <c r="F47">
        <v>2</v>
      </c>
      <c r="G47">
        <v>68</v>
      </c>
      <c r="H47" s="2">
        <v>93</v>
      </c>
      <c r="I47" s="2">
        <v>522</v>
      </c>
      <c r="J47">
        <v>0</v>
      </c>
      <c r="K47">
        <v>3</v>
      </c>
      <c r="L47">
        <v>14</v>
      </c>
      <c r="M47">
        <v>14</v>
      </c>
      <c r="N47" s="2">
        <v>30667</v>
      </c>
    </row>
    <row r="48" spans="1:14">
      <c r="A48" s="6">
        <v>2016</v>
      </c>
      <c r="B48" s="2">
        <v>21418</v>
      </c>
      <c r="C48" s="2">
        <v>8536</v>
      </c>
      <c r="D48" s="2">
        <v>69</v>
      </c>
      <c r="E48" s="2">
        <v>3332</v>
      </c>
      <c r="F48">
        <v>6</v>
      </c>
      <c r="G48">
        <v>21</v>
      </c>
      <c r="H48" s="2">
        <v>136</v>
      </c>
      <c r="I48" s="2">
        <v>1244</v>
      </c>
      <c r="J48">
        <v>0</v>
      </c>
      <c r="K48">
        <v>0</v>
      </c>
      <c r="L48">
        <v>11</v>
      </c>
      <c r="M48">
        <v>13</v>
      </c>
      <c r="N48" s="2">
        <v>34787</v>
      </c>
    </row>
    <row r="49" spans="1:14">
      <c r="A49" s="6">
        <v>2017</v>
      </c>
      <c r="B49" s="2">
        <v>15976</v>
      </c>
      <c r="C49" s="2">
        <v>10331</v>
      </c>
      <c r="D49" s="2">
        <v>137</v>
      </c>
      <c r="E49" s="2">
        <v>5323</v>
      </c>
      <c r="F49">
        <v>4</v>
      </c>
      <c r="G49">
        <v>50</v>
      </c>
      <c r="H49" s="2">
        <v>79</v>
      </c>
      <c r="I49" s="2">
        <v>1019</v>
      </c>
      <c r="J49">
        <v>0</v>
      </c>
      <c r="K49">
        <v>0</v>
      </c>
      <c r="L49">
        <v>14</v>
      </c>
      <c r="M49">
        <v>10</v>
      </c>
      <c r="N49" s="2">
        <v>32943</v>
      </c>
    </row>
    <row r="50" spans="1:14">
      <c r="A50" s="6">
        <v>2018</v>
      </c>
      <c r="B50" s="2">
        <v>22958</v>
      </c>
      <c r="C50" s="2">
        <v>11057</v>
      </c>
      <c r="D50" s="2">
        <v>70</v>
      </c>
      <c r="E50" s="2">
        <v>6523</v>
      </c>
      <c r="F50">
        <v>9</v>
      </c>
      <c r="G50">
        <v>92</v>
      </c>
      <c r="H50" s="2">
        <v>114</v>
      </c>
      <c r="I50" s="2">
        <v>1379</v>
      </c>
      <c r="J50">
        <v>0</v>
      </c>
      <c r="K50">
        <v>1</v>
      </c>
      <c r="L50">
        <v>7</v>
      </c>
      <c r="M50">
        <v>10</v>
      </c>
      <c r="N50" s="2">
        <v>42219</v>
      </c>
    </row>
    <row r="51" spans="1:14">
      <c r="A51" s="6">
        <v>2019</v>
      </c>
      <c r="B51" s="2">
        <v>12767</v>
      </c>
      <c r="C51" s="2">
        <v>5753</v>
      </c>
      <c r="D51" s="2">
        <v>103</v>
      </c>
      <c r="E51" s="2">
        <v>3911</v>
      </c>
      <c r="F51">
        <v>10</v>
      </c>
      <c r="G51">
        <v>38</v>
      </c>
      <c r="H51" s="2">
        <v>41</v>
      </c>
      <c r="I51" s="2">
        <v>427</v>
      </c>
      <c r="J51">
        <v>0</v>
      </c>
      <c r="K51">
        <v>0</v>
      </c>
      <c r="L51">
        <v>11</v>
      </c>
      <c r="M51">
        <v>8</v>
      </c>
      <c r="N51" s="2">
        <v>23068</v>
      </c>
    </row>
    <row r="52" spans="1:14">
      <c r="A52" s="6">
        <v>2020</v>
      </c>
      <c r="B52" s="2">
        <v>9287</v>
      </c>
      <c r="C52" s="2">
        <v>4541</v>
      </c>
      <c r="D52" s="2">
        <v>57</v>
      </c>
      <c r="E52" s="2">
        <v>3796</v>
      </c>
      <c r="F52">
        <v>3</v>
      </c>
      <c r="G52">
        <v>72</v>
      </c>
      <c r="H52" s="2">
        <v>48</v>
      </c>
      <c r="I52" s="2">
        <v>439</v>
      </c>
      <c r="J52">
        <v>0</v>
      </c>
      <c r="K52">
        <v>0</v>
      </c>
      <c r="L52">
        <v>15</v>
      </c>
      <c r="M52">
        <v>7</v>
      </c>
      <c r="N52" s="2">
        <v>18264</v>
      </c>
    </row>
    <row r="53" spans="1:14">
      <c r="A53" s="6">
        <v>2021</v>
      </c>
      <c r="B53" s="2">
        <v>13568</v>
      </c>
      <c r="C53" s="2">
        <v>5586</v>
      </c>
      <c r="D53" s="2">
        <v>37</v>
      </c>
      <c r="E53" s="2">
        <v>4488</v>
      </c>
      <c r="F53">
        <v>13</v>
      </c>
      <c r="G53">
        <v>111</v>
      </c>
      <c r="H53" s="2">
        <v>74</v>
      </c>
      <c r="I53" s="2">
        <v>393</v>
      </c>
      <c r="J53">
        <v>1</v>
      </c>
      <c r="K53">
        <v>2</v>
      </c>
      <c r="L53">
        <v>29</v>
      </c>
      <c r="M53">
        <v>29</v>
      </c>
      <c r="N53" s="2">
        <v>24329</v>
      </c>
    </row>
    <row r="54" spans="1:14">
      <c r="A54" s="5">
        <v>2022</v>
      </c>
      <c r="B54" s="4">
        <v>18152</v>
      </c>
      <c r="C54" s="4">
        <v>4577</v>
      </c>
      <c r="D54" s="4">
        <v>72</v>
      </c>
      <c r="E54" s="4">
        <v>5637</v>
      </c>
      <c r="F54" s="3">
        <v>7</v>
      </c>
      <c r="G54" s="4">
        <v>84</v>
      </c>
      <c r="H54" s="4">
        <v>112</v>
      </c>
      <c r="I54" s="4">
        <v>730</v>
      </c>
      <c r="J54" s="3">
        <v>1</v>
      </c>
      <c r="K54" s="3">
        <v>0</v>
      </c>
      <c r="L54" s="3">
        <v>31</v>
      </c>
      <c r="M54" s="3">
        <v>25</v>
      </c>
      <c r="N54" s="4">
        <v>29427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4"/>
  <sheetViews>
    <sheetView zoomScale="119" zoomScaleNormal="119" workbookViewId="0">
      <selection activeCell="D30" sqref="D30"/>
    </sheetView>
  </sheetViews>
  <sheetFormatPr defaultColWidth="8.875" defaultRowHeight="13.5"/>
  <cols>
    <col min="1" max="4" width="9" style="1"/>
    <col min="5" max="5" width="9.875" style="1" customWidth="1"/>
  </cols>
  <sheetData>
    <row r="1" spans="1:10">
      <c r="A1" s="136" t="s">
        <v>108</v>
      </c>
      <c r="B1" s="136"/>
      <c r="H1" s="109"/>
    </row>
    <row r="2" spans="1:10">
      <c r="A2" s="11"/>
      <c r="B2" s="200" t="s">
        <v>16</v>
      </c>
      <c r="C2" s="201"/>
      <c r="D2" s="202"/>
      <c r="E2" s="12" t="s">
        <v>17</v>
      </c>
    </row>
    <row r="3" spans="1:10">
      <c r="A3" s="13" t="s">
        <v>18</v>
      </c>
      <c r="B3" s="14" t="s">
        <v>19</v>
      </c>
      <c r="C3" s="15" t="s">
        <v>20</v>
      </c>
      <c r="D3" s="16" t="s">
        <v>21</v>
      </c>
      <c r="E3" s="16" t="s">
        <v>22</v>
      </c>
      <c r="G3" s="119"/>
    </row>
    <row r="4" spans="1:10">
      <c r="A4" s="17">
        <v>1992</v>
      </c>
      <c r="B4" s="18">
        <v>35</v>
      </c>
      <c r="C4" s="19">
        <v>2</v>
      </c>
      <c r="D4" s="20">
        <v>37</v>
      </c>
      <c r="E4" s="21">
        <v>15.929</v>
      </c>
      <c r="G4" s="8"/>
      <c r="H4" s="8"/>
      <c r="I4" s="8"/>
      <c r="J4" s="8"/>
    </row>
    <row r="5" spans="1:10">
      <c r="A5" s="17">
        <v>1993</v>
      </c>
      <c r="B5" s="22">
        <v>50</v>
      </c>
      <c r="C5" s="23">
        <v>7</v>
      </c>
      <c r="D5" s="24">
        <v>57</v>
      </c>
      <c r="E5" s="21">
        <v>16.126999999999999</v>
      </c>
      <c r="G5" s="8"/>
      <c r="H5" s="8"/>
      <c r="I5" s="8"/>
      <c r="J5" s="8"/>
    </row>
    <row r="6" spans="1:10">
      <c r="A6" s="17">
        <v>1994</v>
      </c>
      <c r="B6" s="22">
        <v>57</v>
      </c>
      <c r="C6" s="23">
        <v>6</v>
      </c>
      <c r="D6" s="24">
        <v>62</v>
      </c>
      <c r="E6" s="21">
        <v>14.994</v>
      </c>
      <c r="G6" s="8"/>
      <c r="H6" s="8"/>
      <c r="I6" s="8"/>
      <c r="J6" s="8"/>
    </row>
    <row r="7" spans="1:10">
      <c r="A7" s="17">
        <v>1995</v>
      </c>
      <c r="B7" s="22">
        <v>51</v>
      </c>
      <c r="C7" s="23">
        <v>8</v>
      </c>
      <c r="D7" s="24">
        <v>60</v>
      </c>
      <c r="E7" s="21">
        <v>13.58</v>
      </c>
      <c r="G7" s="8"/>
      <c r="H7" s="8"/>
      <c r="I7" s="8"/>
      <c r="J7" s="8"/>
    </row>
    <row r="8" spans="1:10">
      <c r="A8" s="17">
        <v>1996</v>
      </c>
      <c r="B8" s="22">
        <v>42</v>
      </c>
      <c r="C8" s="23">
        <v>5</v>
      </c>
      <c r="D8" s="24">
        <v>48</v>
      </c>
      <c r="E8" s="21">
        <v>13.412000000000001</v>
      </c>
      <c r="G8" s="8"/>
      <c r="H8" s="8"/>
      <c r="I8" s="8"/>
      <c r="J8" s="8"/>
    </row>
    <row r="9" spans="1:10">
      <c r="A9" s="17">
        <v>1997</v>
      </c>
      <c r="B9" s="22">
        <v>63</v>
      </c>
      <c r="C9" s="23">
        <v>3</v>
      </c>
      <c r="D9" s="24">
        <v>66</v>
      </c>
      <c r="E9" s="21">
        <v>11.858000000000001</v>
      </c>
      <c r="G9" s="8"/>
      <c r="H9" s="8"/>
      <c r="I9" s="8"/>
      <c r="J9" s="8"/>
    </row>
    <row r="10" spans="1:10">
      <c r="A10" s="17">
        <v>1998</v>
      </c>
      <c r="B10" s="22">
        <v>68</v>
      </c>
      <c r="C10" s="23">
        <v>10</v>
      </c>
      <c r="D10" s="24">
        <v>78</v>
      </c>
      <c r="E10" s="21">
        <v>11.894</v>
      </c>
      <c r="G10" s="8"/>
      <c r="H10" s="8"/>
      <c r="I10" s="8"/>
      <c r="J10" s="8"/>
    </row>
    <row r="11" spans="1:10">
      <c r="A11" s="17">
        <v>1999</v>
      </c>
      <c r="B11" s="22">
        <v>88</v>
      </c>
      <c r="C11" s="23">
        <v>21</v>
      </c>
      <c r="D11" s="24">
        <v>109</v>
      </c>
      <c r="E11" s="21">
        <v>11.005000000000001</v>
      </c>
      <c r="G11" s="8"/>
      <c r="H11" s="8"/>
      <c r="I11" s="8"/>
      <c r="J11" s="8"/>
    </row>
    <row r="12" spans="1:10">
      <c r="A12" s="17">
        <v>2000</v>
      </c>
      <c r="B12" s="22">
        <v>47</v>
      </c>
      <c r="C12" s="23">
        <v>20</v>
      </c>
      <c r="D12" s="24">
        <v>67</v>
      </c>
      <c r="E12" s="21">
        <v>10.646000000000001</v>
      </c>
      <c r="G12" s="8"/>
      <c r="H12" s="8"/>
      <c r="I12" s="8"/>
      <c r="J12" s="8"/>
    </row>
    <row r="13" spans="1:10">
      <c r="A13" s="17">
        <v>2001</v>
      </c>
      <c r="B13" s="22">
        <v>63</v>
      </c>
      <c r="C13" s="23">
        <v>5</v>
      </c>
      <c r="D13" s="24">
        <v>68</v>
      </c>
      <c r="E13" s="21">
        <v>10.436</v>
      </c>
      <c r="G13" s="8"/>
      <c r="H13" s="8"/>
      <c r="I13" s="8"/>
      <c r="J13" s="8"/>
    </row>
    <row r="14" spans="1:10">
      <c r="A14" s="17">
        <v>2002</v>
      </c>
      <c r="B14" s="22">
        <v>45</v>
      </c>
      <c r="C14" s="23">
        <v>3</v>
      </c>
      <c r="D14" s="24">
        <v>48</v>
      </c>
      <c r="E14" s="21">
        <v>9.1549999999999994</v>
      </c>
      <c r="G14" s="8"/>
      <c r="H14" s="8"/>
      <c r="I14" s="8"/>
      <c r="J14" s="8"/>
    </row>
    <row r="15" spans="1:10">
      <c r="A15" s="17">
        <v>2003</v>
      </c>
      <c r="B15" s="22">
        <v>46</v>
      </c>
      <c r="C15" s="23">
        <v>3</v>
      </c>
      <c r="D15" s="24">
        <v>49</v>
      </c>
      <c r="E15" s="21">
        <v>8.7539999999999996</v>
      </c>
      <c r="G15" s="8"/>
      <c r="H15" s="8"/>
      <c r="I15" s="8"/>
      <c r="J15" s="8"/>
    </row>
    <row r="16" spans="1:10">
      <c r="A16" s="17">
        <v>2004</v>
      </c>
      <c r="B16" s="22">
        <v>31</v>
      </c>
      <c r="C16" s="23">
        <v>6</v>
      </c>
      <c r="D16" s="24">
        <v>37</v>
      </c>
      <c r="E16" s="21">
        <v>8.5169999999999995</v>
      </c>
      <c r="G16" s="8"/>
      <c r="H16" s="8"/>
      <c r="I16" s="8"/>
      <c r="J16" s="8"/>
    </row>
    <row r="17" spans="1:10">
      <c r="A17" s="17">
        <v>2005</v>
      </c>
      <c r="B17" s="22">
        <v>76</v>
      </c>
      <c r="C17" s="23">
        <v>16</v>
      </c>
      <c r="D17" s="24">
        <v>91</v>
      </c>
      <c r="E17" s="21">
        <v>8.0519999999999996</v>
      </c>
      <c r="G17" s="8"/>
      <c r="H17" s="8"/>
      <c r="I17" s="8"/>
      <c r="J17" s="8"/>
    </row>
    <row r="18" spans="1:10">
      <c r="A18" s="17">
        <v>2006</v>
      </c>
      <c r="B18" s="22">
        <v>61</v>
      </c>
      <c r="C18" s="23">
        <v>3</v>
      </c>
      <c r="D18" s="24">
        <v>64</v>
      </c>
      <c r="E18" s="21">
        <v>8.4779999999999998</v>
      </c>
      <c r="G18" s="8"/>
      <c r="H18" s="8"/>
      <c r="I18" s="8"/>
      <c r="J18" s="8"/>
    </row>
    <row r="19" spans="1:10">
      <c r="A19" s="17">
        <v>2007</v>
      </c>
      <c r="B19" s="22">
        <v>54</v>
      </c>
      <c r="C19" s="23">
        <v>1</v>
      </c>
      <c r="D19" s="24">
        <v>55</v>
      </c>
      <c r="E19" s="21">
        <v>8.3689999999999998</v>
      </c>
      <c r="G19" s="8"/>
      <c r="H19" s="8"/>
      <c r="I19" s="8"/>
      <c r="J19" s="8"/>
    </row>
    <row r="20" spans="1:10">
      <c r="A20" s="17">
        <v>2008</v>
      </c>
      <c r="B20" s="22">
        <v>40</v>
      </c>
      <c r="C20" s="23">
        <v>3</v>
      </c>
      <c r="D20" s="24">
        <v>43</v>
      </c>
      <c r="E20" s="21">
        <v>7.6980000000000004</v>
      </c>
      <c r="G20" s="8"/>
      <c r="H20" s="8"/>
      <c r="I20" s="8"/>
      <c r="J20" s="8"/>
    </row>
    <row r="21" spans="1:10">
      <c r="A21" s="17">
        <v>2009</v>
      </c>
      <c r="B21" s="22">
        <v>36</v>
      </c>
      <c r="C21" s="23">
        <v>7</v>
      </c>
      <c r="D21" s="24">
        <v>44</v>
      </c>
      <c r="E21" s="21">
        <v>6.8710000000000004</v>
      </c>
      <c r="G21" s="8"/>
      <c r="H21" s="8"/>
      <c r="I21" s="8"/>
      <c r="J21" s="8"/>
    </row>
    <row r="22" spans="1:10">
      <c r="A22" s="17">
        <v>2010</v>
      </c>
      <c r="B22" s="22">
        <v>30</v>
      </c>
      <c r="C22" s="23">
        <v>5</v>
      </c>
      <c r="D22" s="24">
        <v>35</v>
      </c>
      <c r="E22" s="21">
        <v>6.8630000000000004</v>
      </c>
      <c r="G22" s="8"/>
      <c r="H22" s="8"/>
      <c r="I22" s="8"/>
      <c r="J22" s="8"/>
    </row>
    <row r="23" spans="1:10">
      <c r="A23" s="17">
        <v>2011</v>
      </c>
      <c r="B23" s="22">
        <v>49</v>
      </c>
      <c r="C23" s="23">
        <v>12</v>
      </c>
      <c r="D23" s="24">
        <v>61</v>
      </c>
      <c r="E23" s="21">
        <v>7.1609999999999996</v>
      </c>
      <c r="G23" s="8"/>
      <c r="H23" s="8"/>
      <c r="I23" s="8"/>
      <c r="J23" s="8"/>
    </row>
    <row r="24" spans="1:10">
      <c r="A24" s="17">
        <v>2012</v>
      </c>
      <c r="B24" s="22">
        <v>47</v>
      </c>
      <c r="C24" s="23">
        <v>3</v>
      </c>
      <c r="D24" s="24">
        <v>50</v>
      </c>
      <c r="E24" s="21">
        <v>6.165</v>
      </c>
      <c r="G24" s="8"/>
      <c r="H24" s="8"/>
      <c r="I24" s="8"/>
      <c r="J24" s="8"/>
    </row>
    <row r="25" spans="1:10">
      <c r="A25" s="17">
        <v>2013</v>
      </c>
      <c r="B25" s="22">
        <v>38</v>
      </c>
      <c r="C25" s="23">
        <v>13</v>
      </c>
      <c r="D25" s="24">
        <v>51</v>
      </c>
      <c r="E25" s="21">
        <v>6.2229999999999999</v>
      </c>
      <c r="G25" s="8"/>
      <c r="H25" s="8"/>
      <c r="I25" s="8"/>
      <c r="J25" s="8"/>
    </row>
    <row r="26" spans="1:10">
      <c r="A26" s="17">
        <v>2014</v>
      </c>
      <c r="B26" s="22">
        <v>33</v>
      </c>
      <c r="C26" s="23">
        <v>2</v>
      </c>
      <c r="D26" s="24">
        <v>35</v>
      </c>
      <c r="E26" s="21">
        <v>6.2220000000000004</v>
      </c>
      <c r="G26" s="8"/>
      <c r="H26" s="8"/>
      <c r="I26" s="8"/>
      <c r="J26" s="8"/>
    </row>
    <row r="27" spans="1:10">
      <c r="A27" s="17">
        <v>2015</v>
      </c>
      <c r="B27" s="22">
        <v>31</v>
      </c>
      <c r="C27" s="23">
        <v>9</v>
      </c>
      <c r="D27" s="24">
        <v>40</v>
      </c>
      <c r="E27" s="21">
        <v>5.9530000000000003</v>
      </c>
      <c r="G27" s="8"/>
      <c r="H27" s="8"/>
      <c r="I27" s="8"/>
      <c r="J27" s="8"/>
    </row>
    <row r="28" spans="1:10">
      <c r="A28" s="17">
        <v>2016</v>
      </c>
      <c r="B28" s="22">
        <v>35</v>
      </c>
      <c r="C28" s="23">
        <v>22</v>
      </c>
      <c r="D28" s="24">
        <v>57</v>
      </c>
      <c r="E28" s="21">
        <v>5.0540000000000003</v>
      </c>
      <c r="G28" s="8"/>
      <c r="H28" s="8"/>
      <c r="I28" s="8"/>
      <c r="J28" s="8"/>
    </row>
    <row r="29" spans="1:10">
      <c r="A29" s="17">
        <v>2017</v>
      </c>
      <c r="B29" s="22">
        <v>33</v>
      </c>
      <c r="C29" s="23">
        <v>11</v>
      </c>
      <c r="D29" s="24">
        <v>44</v>
      </c>
      <c r="E29" s="21">
        <v>5.1479999999999997</v>
      </c>
      <c r="G29" s="8"/>
      <c r="H29" s="8"/>
      <c r="I29" s="8"/>
      <c r="J29" s="8"/>
    </row>
    <row r="30" spans="1:10">
      <c r="A30" s="17">
        <v>2018</v>
      </c>
      <c r="B30" s="22">
        <v>42</v>
      </c>
      <c r="C30" s="23">
        <v>74</v>
      </c>
      <c r="D30" s="24">
        <v>117</v>
      </c>
      <c r="E30" s="21">
        <v>4.71</v>
      </c>
      <c r="G30" s="8"/>
      <c r="H30" s="8"/>
      <c r="I30" s="8"/>
      <c r="J30" s="8"/>
    </row>
    <row r="31" spans="1:10">
      <c r="A31" s="17">
        <v>2019</v>
      </c>
      <c r="B31" s="22">
        <v>23</v>
      </c>
      <c r="C31" s="23">
        <v>20</v>
      </c>
      <c r="D31" s="24">
        <v>43</v>
      </c>
      <c r="E31" s="21">
        <v>4.8019999999999996</v>
      </c>
      <c r="G31" s="8"/>
      <c r="H31" s="8"/>
      <c r="I31" s="8"/>
      <c r="J31" s="8"/>
    </row>
    <row r="32" spans="1:10">
      <c r="A32" s="17">
        <v>2020</v>
      </c>
      <c r="B32" s="22">
        <v>18</v>
      </c>
      <c r="C32" s="23">
        <v>5</v>
      </c>
      <c r="D32" s="24">
        <v>24</v>
      </c>
      <c r="E32" s="21">
        <v>4.2619999999999996</v>
      </c>
      <c r="G32" s="8"/>
      <c r="H32" s="8"/>
      <c r="I32" s="8"/>
      <c r="J32" s="8"/>
    </row>
    <row r="33" spans="1:10">
      <c r="A33" s="17">
        <v>2021</v>
      </c>
      <c r="B33" s="22">
        <v>24</v>
      </c>
      <c r="C33" s="23">
        <v>29</v>
      </c>
      <c r="D33" s="24">
        <v>53</v>
      </c>
      <c r="E33" s="21">
        <v>4.2939999999999996</v>
      </c>
      <c r="G33" s="8"/>
      <c r="H33" s="8"/>
      <c r="I33" s="8"/>
      <c r="J33" s="8"/>
    </row>
    <row r="34" spans="1:10">
      <c r="A34" s="25">
        <v>2022</v>
      </c>
      <c r="B34" s="26">
        <v>29</v>
      </c>
      <c r="C34" s="27">
        <v>42</v>
      </c>
      <c r="D34" s="28">
        <v>71</v>
      </c>
      <c r="E34" s="29">
        <v>4.49</v>
      </c>
      <c r="G34" s="8"/>
      <c r="H34" s="8"/>
      <c r="I34" s="8"/>
      <c r="J34" s="8"/>
    </row>
  </sheetData>
  <mergeCells count="1">
    <mergeCell ref="B2:D2"/>
  </mergeCells>
  <phoneticPr fontId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73011-FFEF-4723-BCE7-2B608EF93A4B}">
  <dimension ref="A1:S34"/>
  <sheetViews>
    <sheetView topLeftCell="A28" zoomScale="120" zoomScaleNormal="120" workbookViewId="0">
      <selection activeCell="R18" sqref="R18"/>
    </sheetView>
  </sheetViews>
  <sheetFormatPr defaultColWidth="8.875" defaultRowHeight="13.5"/>
  <cols>
    <col min="5" max="5" width="13" bestFit="1" customWidth="1"/>
  </cols>
  <sheetData>
    <row r="1" spans="1:19">
      <c r="A1" s="1" t="s">
        <v>23</v>
      </c>
      <c r="B1" s="1"/>
      <c r="C1" s="1"/>
      <c r="D1" s="1"/>
      <c r="E1" s="1"/>
      <c r="F1" s="1"/>
    </row>
    <row r="2" spans="1:19">
      <c r="A2" s="11"/>
      <c r="B2" s="13" t="s">
        <v>24</v>
      </c>
      <c r="C2" s="16" t="s">
        <v>25</v>
      </c>
      <c r="D2" s="13" t="s">
        <v>26</v>
      </c>
      <c r="E2" s="13" t="s">
        <v>27</v>
      </c>
      <c r="F2" s="13" t="s">
        <v>28</v>
      </c>
      <c r="G2" s="203" t="s">
        <v>29</v>
      </c>
      <c r="H2" s="203" t="s">
        <v>30</v>
      </c>
    </row>
    <row r="3" spans="1:19">
      <c r="A3" s="13" t="s">
        <v>18</v>
      </c>
      <c r="B3" s="13" t="s">
        <v>31</v>
      </c>
      <c r="C3" s="16" t="s">
        <v>31</v>
      </c>
      <c r="D3" s="13" t="s">
        <v>32</v>
      </c>
      <c r="E3" s="13" t="s">
        <v>33</v>
      </c>
      <c r="F3" s="13" t="s">
        <v>34</v>
      </c>
      <c r="G3" s="204"/>
      <c r="H3" s="204"/>
    </row>
    <row r="4" spans="1:19">
      <c r="A4" s="30">
        <v>1992</v>
      </c>
      <c r="B4" s="31">
        <v>111</v>
      </c>
      <c r="C4" s="32">
        <v>47</v>
      </c>
      <c r="D4" s="31">
        <v>145</v>
      </c>
      <c r="E4" s="33">
        <v>3.11</v>
      </c>
      <c r="F4" s="31">
        <v>33</v>
      </c>
      <c r="G4" s="77">
        <v>25.7</v>
      </c>
      <c r="H4" s="78">
        <v>1.03</v>
      </c>
      <c r="I4" s="9"/>
      <c r="J4" s="9"/>
      <c r="K4" s="9"/>
      <c r="L4" s="9"/>
      <c r="N4" s="9"/>
      <c r="O4" s="9"/>
      <c r="P4" s="9"/>
      <c r="Q4" s="9"/>
      <c r="R4" s="10"/>
      <c r="S4" s="9"/>
    </row>
    <row r="5" spans="1:19">
      <c r="A5" s="30">
        <v>1993</v>
      </c>
      <c r="B5" s="31">
        <v>187</v>
      </c>
      <c r="C5" s="32">
        <v>43</v>
      </c>
      <c r="D5" s="31">
        <v>454</v>
      </c>
      <c r="E5" s="33">
        <v>10.69</v>
      </c>
      <c r="F5" s="31">
        <v>30</v>
      </c>
      <c r="G5" s="77">
        <v>20</v>
      </c>
      <c r="H5" s="78">
        <v>1.5</v>
      </c>
      <c r="I5" s="9"/>
      <c r="J5" s="9"/>
      <c r="K5" s="9"/>
      <c r="L5" s="9"/>
      <c r="N5" s="9"/>
      <c r="O5" s="9"/>
      <c r="P5" s="9"/>
      <c r="Q5" s="9"/>
      <c r="R5" s="10"/>
    </row>
    <row r="6" spans="1:19">
      <c r="A6" s="30">
        <v>1994</v>
      </c>
      <c r="B6" s="31">
        <v>164</v>
      </c>
      <c r="C6" s="32">
        <v>66</v>
      </c>
      <c r="D6" s="31">
        <v>279</v>
      </c>
      <c r="E6" s="33">
        <v>4.2300000000000004</v>
      </c>
      <c r="F6" s="31">
        <v>38</v>
      </c>
      <c r="G6" s="77">
        <v>21.4</v>
      </c>
      <c r="H6" s="78">
        <v>1.3</v>
      </c>
      <c r="I6" s="9"/>
      <c r="J6" s="9"/>
      <c r="K6" s="9"/>
      <c r="L6" s="9"/>
      <c r="N6" s="9"/>
      <c r="O6" s="9"/>
      <c r="P6" s="9"/>
      <c r="Q6" s="9"/>
      <c r="R6" s="10"/>
    </row>
    <row r="7" spans="1:19">
      <c r="A7" s="30">
        <v>1995</v>
      </c>
      <c r="B7" s="31">
        <v>150</v>
      </c>
      <c r="C7" s="32">
        <v>63</v>
      </c>
      <c r="D7" s="31">
        <v>321</v>
      </c>
      <c r="E7" s="33">
        <v>5.0599999999999996</v>
      </c>
      <c r="F7" s="31">
        <v>40</v>
      </c>
      <c r="G7" s="77">
        <v>20.2</v>
      </c>
      <c r="H7" s="78">
        <v>1.36</v>
      </c>
      <c r="I7" s="9"/>
      <c r="J7" s="9"/>
      <c r="K7" s="9"/>
      <c r="L7" s="9"/>
      <c r="N7" s="9"/>
      <c r="O7" s="9"/>
      <c r="P7" s="9"/>
      <c r="Q7" s="9"/>
      <c r="R7" s="10"/>
    </row>
    <row r="8" spans="1:19">
      <c r="A8" s="30">
        <v>1996</v>
      </c>
      <c r="B8" s="31">
        <v>159</v>
      </c>
      <c r="C8" s="32">
        <v>62</v>
      </c>
      <c r="D8" s="31">
        <v>266</v>
      </c>
      <c r="E8" s="33">
        <v>4.29</v>
      </c>
      <c r="F8" s="31">
        <v>30</v>
      </c>
      <c r="G8" s="77">
        <v>28.2</v>
      </c>
      <c r="H8" s="78">
        <v>0.93</v>
      </c>
      <c r="I8" s="9"/>
      <c r="J8" s="9"/>
      <c r="K8" s="9"/>
      <c r="L8" s="9"/>
      <c r="N8" s="9"/>
      <c r="O8" s="9"/>
      <c r="P8" s="9"/>
      <c r="Q8" s="9"/>
      <c r="R8" s="10"/>
    </row>
    <row r="9" spans="1:19">
      <c r="A9" s="30">
        <v>1997</v>
      </c>
      <c r="B9" s="31">
        <v>197</v>
      </c>
      <c r="C9" s="32">
        <v>70</v>
      </c>
      <c r="D9" s="31">
        <v>390</v>
      </c>
      <c r="E9" s="33">
        <v>5.53</v>
      </c>
      <c r="F9" s="31">
        <v>33</v>
      </c>
      <c r="G9" s="77">
        <v>23.1</v>
      </c>
      <c r="H9" s="78">
        <v>1.1499999999999999</v>
      </c>
      <c r="I9" s="9"/>
      <c r="J9" s="9"/>
      <c r="K9" s="9"/>
      <c r="L9" s="9"/>
      <c r="N9" s="9"/>
      <c r="O9" s="9"/>
      <c r="P9" s="9"/>
      <c r="Q9" s="9"/>
      <c r="R9" s="10"/>
    </row>
    <row r="10" spans="1:19">
      <c r="A10" s="30">
        <v>1998</v>
      </c>
      <c r="B10" s="31">
        <v>238</v>
      </c>
      <c r="C10" s="32">
        <v>77</v>
      </c>
      <c r="D10" s="31">
        <v>553</v>
      </c>
      <c r="E10" s="33">
        <v>7.18</v>
      </c>
      <c r="F10" s="31">
        <v>33</v>
      </c>
      <c r="G10" s="77">
        <v>21.6</v>
      </c>
      <c r="H10" s="78">
        <v>1.25</v>
      </c>
      <c r="I10" s="9"/>
      <c r="J10" s="9"/>
      <c r="K10" s="9"/>
      <c r="L10" s="9"/>
      <c r="N10" s="9"/>
      <c r="O10" s="9"/>
      <c r="P10" s="9"/>
      <c r="Q10" s="9"/>
      <c r="R10" s="10"/>
    </row>
    <row r="11" spans="1:19">
      <c r="A11" s="30">
        <v>1999</v>
      </c>
      <c r="B11" s="31">
        <v>226</v>
      </c>
      <c r="C11" s="32">
        <v>85</v>
      </c>
      <c r="D11" s="31">
        <v>419</v>
      </c>
      <c r="E11" s="33">
        <v>4.92</v>
      </c>
      <c r="F11" s="31">
        <v>48</v>
      </c>
      <c r="G11" s="77">
        <v>12.7</v>
      </c>
      <c r="H11" s="78">
        <v>1.82</v>
      </c>
      <c r="I11" s="9"/>
      <c r="J11" s="9"/>
      <c r="K11" s="9"/>
      <c r="L11" s="9"/>
      <c r="N11" s="9"/>
      <c r="O11" s="9"/>
      <c r="P11" s="9"/>
      <c r="Q11" s="9"/>
      <c r="R11" s="10"/>
    </row>
    <row r="12" spans="1:19">
      <c r="A12" s="30">
        <v>2000</v>
      </c>
      <c r="B12" s="32">
        <v>149</v>
      </c>
      <c r="C12" s="32">
        <v>70</v>
      </c>
      <c r="D12" s="31">
        <v>195</v>
      </c>
      <c r="E12" s="33">
        <v>2.8</v>
      </c>
      <c r="F12" s="31">
        <v>45</v>
      </c>
      <c r="G12" s="77">
        <v>15.9</v>
      </c>
      <c r="H12" s="78">
        <v>1.67</v>
      </c>
      <c r="I12" s="9"/>
      <c r="J12" s="9"/>
      <c r="K12" s="9"/>
      <c r="L12" s="9"/>
      <c r="N12" s="9"/>
      <c r="O12" s="9"/>
      <c r="P12" s="9"/>
      <c r="Q12" s="9"/>
      <c r="R12" s="10"/>
    </row>
    <row r="13" spans="1:19">
      <c r="A13" s="30">
        <v>2001</v>
      </c>
      <c r="B13" s="32">
        <v>161</v>
      </c>
      <c r="C13" s="32">
        <v>48</v>
      </c>
      <c r="D13" s="31">
        <v>344</v>
      </c>
      <c r="E13" s="33">
        <v>7.17</v>
      </c>
      <c r="F13" s="31">
        <v>42</v>
      </c>
      <c r="G13" s="77">
        <v>16</v>
      </c>
      <c r="H13" s="78">
        <v>1.68</v>
      </c>
      <c r="I13" s="9"/>
      <c r="J13" s="9"/>
      <c r="K13" s="9"/>
      <c r="L13" s="9"/>
      <c r="N13" s="9"/>
      <c r="O13" s="9"/>
      <c r="P13" s="9"/>
      <c r="Q13" s="9"/>
      <c r="R13" s="10"/>
    </row>
    <row r="14" spans="1:19">
      <c r="A14" s="30">
        <v>2002</v>
      </c>
      <c r="B14" s="32">
        <v>126</v>
      </c>
      <c r="C14" s="32">
        <v>47</v>
      </c>
      <c r="D14" s="31">
        <v>192</v>
      </c>
      <c r="E14" s="33">
        <v>4.08</v>
      </c>
      <c r="F14" s="31">
        <v>38</v>
      </c>
      <c r="G14" s="77">
        <v>19.3</v>
      </c>
      <c r="H14" s="78">
        <v>1.34</v>
      </c>
      <c r="I14" s="9"/>
      <c r="J14" s="9"/>
      <c r="K14" s="9"/>
      <c r="L14" s="9"/>
      <c r="N14" s="9"/>
      <c r="O14" s="9"/>
      <c r="P14" s="9"/>
      <c r="Q14" s="9"/>
      <c r="R14" s="10"/>
    </row>
    <row r="15" spans="1:19">
      <c r="A15" s="30">
        <v>2003</v>
      </c>
      <c r="B15" s="32">
        <v>117</v>
      </c>
      <c r="C15" s="32">
        <v>47</v>
      </c>
      <c r="D15" s="31">
        <v>195</v>
      </c>
      <c r="E15" s="33">
        <v>4.18</v>
      </c>
      <c r="F15" s="31">
        <v>42</v>
      </c>
      <c r="G15" s="77">
        <v>16.5</v>
      </c>
      <c r="H15" s="78">
        <v>1.53</v>
      </c>
      <c r="I15" s="9"/>
      <c r="J15" s="9"/>
      <c r="K15" s="9"/>
      <c r="L15" s="9"/>
      <c r="N15" s="9"/>
      <c r="O15" s="9"/>
      <c r="P15" s="9"/>
      <c r="Q15" s="9"/>
      <c r="R15" s="10"/>
    </row>
    <row r="16" spans="1:19">
      <c r="A16" s="30">
        <v>2004</v>
      </c>
      <c r="B16" s="32">
        <v>166</v>
      </c>
      <c r="C16" s="32">
        <v>38</v>
      </c>
      <c r="D16" s="31">
        <v>390</v>
      </c>
      <c r="E16" s="33">
        <v>10.16</v>
      </c>
      <c r="F16" s="31">
        <v>22</v>
      </c>
      <c r="G16" s="77">
        <v>33.700000000000003</v>
      </c>
      <c r="H16" s="78">
        <v>0.74</v>
      </c>
      <c r="I16" s="9"/>
      <c r="J16" s="9"/>
      <c r="K16" s="9"/>
      <c r="L16" s="9"/>
      <c r="N16" s="9"/>
      <c r="O16" s="9"/>
      <c r="P16" s="9"/>
      <c r="Q16" s="9"/>
      <c r="R16" s="10"/>
    </row>
    <row r="17" spans="1:18">
      <c r="A17" s="30">
        <v>2005</v>
      </c>
      <c r="B17" s="34">
        <v>186</v>
      </c>
      <c r="C17" s="35">
        <v>71</v>
      </c>
      <c r="D17" s="35">
        <v>305</v>
      </c>
      <c r="E17" s="33">
        <v>4.32</v>
      </c>
      <c r="F17" s="35">
        <v>49</v>
      </c>
      <c r="G17" s="77">
        <v>11.3</v>
      </c>
      <c r="H17" s="78">
        <v>1.85</v>
      </c>
      <c r="I17" s="9"/>
      <c r="J17" s="9"/>
      <c r="K17" s="9"/>
      <c r="L17" s="9"/>
      <c r="N17" s="9"/>
      <c r="O17" s="9"/>
      <c r="P17" s="9"/>
      <c r="Q17" s="9"/>
      <c r="R17" s="10"/>
    </row>
    <row r="18" spans="1:18">
      <c r="A18" s="30">
        <v>2006</v>
      </c>
      <c r="B18" s="34">
        <v>157</v>
      </c>
      <c r="C18" s="35">
        <v>56</v>
      </c>
      <c r="D18" s="35">
        <v>287</v>
      </c>
      <c r="E18" s="33">
        <v>5.12</v>
      </c>
      <c r="F18" s="35">
        <v>41</v>
      </c>
      <c r="G18" s="77">
        <v>17.399999999999999</v>
      </c>
      <c r="H18" s="78">
        <v>1.44</v>
      </c>
      <c r="I18" s="9"/>
      <c r="J18" s="9"/>
      <c r="K18" s="9"/>
      <c r="L18" s="9"/>
      <c r="N18" s="9"/>
      <c r="O18" s="9"/>
      <c r="P18" s="9"/>
      <c r="Q18" s="9"/>
      <c r="R18" s="10"/>
    </row>
    <row r="19" spans="1:18">
      <c r="A19" s="30">
        <v>2007</v>
      </c>
      <c r="B19" s="34">
        <v>119</v>
      </c>
      <c r="C19" s="35">
        <v>50</v>
      </c>
      <c r="D19" s="35">
        <v>191</v>
      </c>
      <c r="E19" s="33">
        <v>3.82</v>
      </c>
      <c r="F19" s="35">
        <v>46</v>
      </c>
      <c r="G19" s="77">
        <v>14.5</v>
      </c>
      <c r="H19" s="78">
        <v>1.73</v>
      </c>
      <c r="I19" s="9"/>
      <c r="J19" s="9"/>
      <c r="K19" s="9"/>
      <c r="L19" s="9"/>
      <c r="N19" s="9"/>
      <c r="O19" s="9"/>
      <c r="P19" s="9"/>
      <c r="Q19" s="9"/>
      <c r="R19" s="10"/>
    </row>
    <row r="20" spans="1:18">
      <c r="A20" s="36">
        <v>2008</v>
      </c>
      <c r="B20" s="35">
        <v>94</v>
      </c>
      <c r="C20" s="35">
        <v>37</v>
      </c>
      <c r="D20" s="35">
        <v>188</v>
      </c>
      <c r="E20" s="33">
        <v>5.16</v>
      </c>
      <c r="F20" s="35">
        <v>46</v>
      </c>
      <c r="G20" s="77">
        <v>13.4</v>
      </c>
      <c r="H20" s="78">
        <v>1.7</v>
      </c>
      <c r="I20" s="9"/>
      <c r="J20" s="9"/>
      <c r="K20" s="9"/>
      <c r="L20" s="9"/>
      <c r="N20" s="9"/>
      <c r="O20" s="9"/>
      <c r="P20" s="9"/>
      <c r="Q20" s="9"/>
      <c r="R20" s="10"/>
    </row>
    <row r="21" spans="1:18">
      <c r="A21" s="30">
        <v>2009</v>
      </c>
      <c r="B21" s="35">
        <v>107</v>
      </c>
      <c r="C21" s="35">
        <v>33</v>
      </c>
      <c r="D21" s="35">
        <v>265</v>
      </c>
      <c r="E21" s="33">
        <v>8.09</v>
      </c>
      <c r="F21" s="35">
        <v>41</v>
      </c>
      <c r="G21" s="77">
        <v>15.2</v>
      </c>
      <c r="H21" s="78">
        <v>1.78</v>
      </c>
      <c r="I21" s="9"/>
      <c r="J21" s="9"/>
      <c r="K21" s="9"/>
      <c r="L21" s="9"/>
      <c r="N21" s="9"/>
      <c r="O21" s="9"/>
      <c r="P21" s="9"/>
      <c r="Q21" s="9"/>
      <c r="R21" s="10"/>
    </row>
    <row r="22" spans="1:18">
      <c r="A22" s="30">
        <v>2010</v>
      </c>
      <c r="B22" s="31">
        <v>125</v>
      </c>
      <c r="C22" s="31">
        <v>34</v>
      </c>
      <c r="D22" s="31">
        <v>274</v>
      </c>
      <c r="E22" s="33">
        <v>8.06</v>
      </c>
      <c r="F22" s="31">
        <v>28</v>
      </c>
      <c r="G22" s="77">
        <v>24.8</v>
      </c>
      <c r="H22" s="78">
        <v>1.07</v>
      </c>
      <c r="I22" s="9"/>
      <c r="J22" s="9"/>
      <c r="K22" s="9"/>
      <c r="L22" s="9"/>
      <c r="N22" s="9"/>
      <c r="O22" s="9"/>
      <c r="P22" s="9"/>
      <c r="Q22" s="9"/>
      <c r="R22" s="10"/>
    </row>
    <row r="23" spans="1:18">
      <c r="A23" s="30">
        <v>2011</v>
      </c>
      <c r="B23" s="31">
        <v>146</v>
      </c>
      <c r="C23" s="31">
        <v>58</v>
      </c>
      <c r="D23" s="31">
        <v>265</v>
      </c>
      <c r="E23" s="33">
        <v>4.59</v>
      </c>
      <c r="F23" s="31">
        <v>42</v>
      </c>
      <c r="G23" s="77">
        <v>18</v>
      </c>
      <c r="H23" s="78">
        <v>1.47</v>
      </c>
      <c r="I23" s="9"/>
      <c r="J23" s="9"/>
      <c r="K23" s="9"/>
      <c r="L23" s="9"/>
      <c r="N23" s="9"/>
      <c r="O23" s="9"/>
      <c r="P23" s="9"/>
      <c r="Q23" s="9"/>
      <c r="R23" s="10"/>
    </row>
    <row r="24" spans="1:18">
      <c r="A24" s="30">
        <v>2012</v>
      </c>
      <c r="B24" s="35">
        <v>132</v>
      </c>
      <c r="C24" s="35">
        <v>50</v>
      </c>
      <c r="D24" s="35">
        <v>228</v>
      </c>
      <c r="E24" s="33">
        <v>4.54</v>
      </c>
      <c r="F24" s="35">
        <v>38</v>
      </c>
      <c r="G24" s="77">
        <v>20</v>
      </c>
      <c r="H24" s="78">
        <v>1.32</v>
      </c>
      <c r="I24" s="9"/>
      <c r="J24" s="9"/>
      <c r="K24" s="9"/>
      <c r="L24" s="9"/>
      <c r="N24" s="9"/>
      <c r="O24" s="9"/>
      <c r="P24" s="9"/>
      <c r="Q24" s="9"/>
      <c r="R24" s="10"/>
    </row>
    <row r="25" spans="1:18">
      <c r="A25" s="30">
        <v>2013</v>
      </c>
      <c r="B25" s="35">
        <v>133</v>
      </c>
      <c r="C25" s="35">
        <v>48</v>
      </c>
      <c r="D25" s="35">
        <v>289</v>
      </c>
      <c r="E25" s="33">
        <v>6</v>
      </c>
      <c r="F25" s="35">
        <v>38</v>
      </c>
      <c r="G25" s="77">
        <v>19.399999999999999</v>
      </c>
      <c r="H25" s="78">
        <v>1.31</v>
      </c>
      <c r="I25" s="9"/>
      <c r="J25" s="9"/>
      <c r="K25" s="9"/>
      <c r="L25" s="9"/>
      <c r="N25" s="9"/>
      <c r="O25" s="9"/>
      <c r="P25" s="9"/>
      <c r="Q25" s="9"/>
      <c r="R25" s="10"/>
    </row>
    <row r="26" spans="1:18">
      <c r="A26" s="30">
        <v>2014</v>
      </c>
      <c r="B26" s="35">
        <v>123</v>
      </c>
      <c r="C26" s="35">
        <v>52</v>
      </c>
      <c r="D26" s="35">
        <v>226</v>
      </c>
      <c r="E26" s="33">
        <v>4.3099999999999996</v>
      </c>
      <c r="F26" s="35">
        <v>28</v>
      </c>
      <c r="G26" s="77">
        <v>29.6</v>
      </c>
      <c r="H26" s="78">
        <v>0.88</v>
      </c>
      <c r="I26" s="9"/>
      <c r="J26" s="9"/>
      <c r="K26" s="9"/>
      <c r="L26" s="9"/>
      <c r="N26" s="9"/>
      <c r="O26" s="9"/>
      <c r="P26" s="9"/>
      <c r="Q26" s="9"/>
      <c r="R26" s="10"/>
    </row>
    <row r="27" spans="1:18">
      <c r="A27" s="30">
        <v>2015</v>
      </c>
      <c r="B27" s="35">
        <v>152</v>
      </c>
      <c r="C27" s="35">
        <v>59</v>
      </c>
      <c r="D27" s="35">
        <v>299</v>
      </c>
      <c r="E27" s="33">
        <v>5.1100000000000003</v>
      </c>
      <c r="F27" s="35">
        <v>26</v>
      </c>
      <c r="G27" s="77">
        <v>32.299999999999997</v>
      </c>
      <c r="H27" s="78">
        <v>0.79</v>
      </c>
      <c r="I27" s="9"/>
      <c r="J27" s="9"/>
      <c r="K27" s="9"/>
      <c r="L27" s="9"/>
      <c r="N27" s="9"/>
      <c r="O27" s="9"/>
      <c r="P27" s="9"/>
      <c r="Q27" s="9"/>
      <c r="R27" s="10"/>
    </row>
    <row r="28" spans="1:18">
      <c r="A28" s="30">
        <v>2016</v>
      </c>
      <c r="B28" s="35">
        <v>184</v>
      </c>
      <c r="C28" s="35">
        <v>74</v>
      </c>
      <c r="D28" s="35">
        <v>313</v>
      </c>
      <c r="E28" s="33">
        <v>4.2300000000000004</v>
      </c>
      <c r="F28" s="35">
        <v>31</v>
      </c>
      <c r="G28" s="77">
        <v>26.4</v>
      </c>
      <c r="H28" s="78">
        <v>1</v>
      </c>
      <c r="I28" s="9"/>
      <c r="J28" s="9"/>
      <c r="K28" s="9"/>
      <c r="L28" s="9"/>
      <c r="N28" s="9"/>
      <c r="O28" s="9"/>
      <c r="P28" s="9"/>
      <c r="Q28" s="9"/>
      <c r="R28" s="10"/>
    </row>
    <row r="29" spans="1:18">
      <c r="A29" s="30">
        <v>2017</v>
      </c>
      <c r="B29" s="35">
        <v>168</v>
      </c>
      <c r="C29" s="35">
        <v>81</v>
      </c>
      <c r="D29" s="35">
        <v>315</v>
      </c>
      <c r="E29" s="33">
        <v>3.9</v>
      </c>
      <c r="F29" s="35">
        <v>26</v>
      </c>
      <c r="G29" s="77">
        <v>32.1</v>
      </c>
      <c r="H29" s="78">
        <v>0.81</v>
      </c>
      <c r="I29" s="9"/>
      <c r="J29" s="9"/>
      <c r="K29" s="9"/>
      <c r="L29" s="9"/>
      <c r="N29" s="9"/>
      <c r="O29" s="9"/>
      <c r="P29" s="9"/>
      <c r="Q29" s="9"/>
      <c r="R29" s="10"/>
    </row>
    <row r="30" spans="1:18">
      <c r="A30" s="30">
        <v>2018</v>
      </c>
      <c r="B30" s="35">
        <v>207</v>
      </c>
      <c r="C30" s="35">
        <v>94</v>
      </c>
      <c r="D30" s="35">
        <v>380</v>
      </c>
      <c r="E30" s="33">
        <v>4.0199999999999996</v>
      </c>
      <c r="F30" s="35">
        <v>56</v>
      </c>
      <c r="G30" s="77">
        <v>8.3000000000000007</v>
      </c>
      <c r="H30" s="78">
        <v>2.4</v>
      </c>
      <c r="I30" s="9"/>
      <c r="J30" s="9"/>
      <c r="K30" s="9"/>
      <c r="L30" s="9"/>
      <c r="N30" s="9"/>
      <c r="O30" s="9"/>
      <c r="P30" s="9"/>
      <c r="Q30" s="9"/>
      <c r="R30" s="10"/>
    </row>
    <row r="31" spans="1:18">
      <c r="A31" s="30">
        <v>2019</v>
      </c>
      <c r="B31" s="35">
        <v>95</v>
      </c>
      <c r="C31" s="35">
        <v>51</v>
      </c>
      <c r="D31" s="35">
        <v>121</v>
      </c>
      <c r="E31" s="33">
        <v>2.36</v>
      </c>
      <c r="F31" s="35">
        <v>46</v>
      </c>
      <c r="G31" s="77">
        <v>13.9</v>
      </c>
      <c r="H31" s="78">
        <v>1.69</v>
      </c>
      <c r="I31" s="9"/>
      <c r="J31" s="9"/>
      <c r="K31" s="9"/>
      <c r="L31" s="9"/>
      <c r="N31" s="9"/>
      <c r="O31" s="9"/>
      <c r="P31" s="9"/>
      <c r="Q31" s="9"/>
      <c r="R31" s="10"/>
    </row>
    <row r="32" spans="1:18">
      <c r="A32" s="30">
        <v>2020</v>
      </c>
      <c r="B32" s="35">
        <v>82</v>
      </c>
      <c r="C32" s="35">
        <v>33</v>
      </c>
      <c r="D32" s="35">
        <v>142</v>
      </c>
      <c r="E32" s="33">
        <v>4.32</v>
      </c>
      <c r="F32" s="35">
        <v>29</v>
      </c>
      <c r="G32" s="77">
        <v>27.9</v>
      </c>
      <c r="H32" s="78">
        <v>0.94</v>
      </c>
      <c r="I32" s="9"/>
      <c r="J32" s="9"/>
      <c r="K32" s="9"/>
      <c r="L32" s="9"/>
      <c r="N32" s="9"/>
      <c r="O32" s="9"/>
      <c r="P32" s="9"/>
      <c r="Q32" s="9"/>
      <c r="R32" s="10"/>
    </row>
    <row r="33" spans="1:18">
      <c r="A33" s="30">
        <v>2021</v>
      </c>
      <c r="B33" s="35">
        <v>148</v>
      </c>
      <c r="C33" s="35">
        <v>35</v>
      </c>
      <c r="D33" s="35">
        <v>405</v>
      </c>
      <c r="E33" s="33">
        <v>11.71</v>
      </c>
      <c r="F33" s="35">
        <v>36</v>
      </c>
      <c r="G33" s="77">
        <v>16.5</v>
      </c>
      <c r="H33" s="78">
        <v>1.58</v>
      </c>
      <c r="I33" s="9"/>
      <c r="J33" s="9"/>
      <c r="K33" s="9"/>
      <c r="L33" s="9"/>
      <c r="N33" s="9"/>
      <c r="O33" s="9"/>
      <c r="P33" s="9"/>
      <c r="Q33" s="9"/>
      <c r="R33" s="10"/>
    </row>
    <row r="34" spans="1:18">
      <c r="A34" s="37">
        <v>2022</v>
      </c>
      <c r="B34" s="38">
        <v>160</v>
      </c>
      <c r="C34" s="38">
        <v>50</v>
      </c>
      <c r="D34" s="38">
        <v>338</v>
      </c>
      <c r="E34" s="39">
        <v>6.77</v>
      </c>
      <c r="F34" s="38">
        <v>44</v>
      </c>
      <c r="G34" s="79">
        <v>16.600000000000001</v>
      </c>
      <c r="H34" s="80">
        <v>1.4</v>
      </c>
      <c r="I34" s="9"/>
      <c r="J34" s="9"/>
      <c r="K34" s="9"/>
      <c r="L34" s="9"/>
      <c r="N34" s="9"/>
      <c r="O34" s="9"/>
      <c r="P34" s="9"/>
      <c r="Q34" s="9"/>
      <c r="R34" s="10"/>
    </row>
  </sheetData>
  <mergeCells count="2">
    <mergeCell ref="G2:G3"/>
    <mergeCell ref="H2:H3"/>
  </mergeCells>
  <phoneticPr fontId="1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F3E17-5CDB-D84C-AFD3-69426B18CE8A}">
  <dimension ref="A1:T78"/>
  <sheetViews>
    <sheetView zoomScale="85" zoomScaleNormal="85" workbookViewId="0">
      <selection activeCell="C4" sqref="C4"/>
    </sheetView>
  </sheetViews>
  <sheetFormatPr defaultColWidth="9" defaultRowHeight="15"/>
  <cols>
    <col min="1" max="1" width="12.625" style="1" customWidth="1"/>
    <col min="2" max="14" width="7.625" style="1" customWidth="1"/>
    <col min="15" max="16384" width="9" style="81"/>
  </cols>
  <sheetData>
    <row r="1" spans="1:16">
      <c r="A1" s="94" t="s">
        <v>35</v>
      </c>
    </row>
    <row r="3" spans="1:16" ht="15.75" thickBot="1">
      <c r="A3" s="94" t="s">
        <v>36</v>
      </c>
    </row>
    <row r="4" spans="1:16" ht="15.75" thickBot="1">
      <c r="A4" s="95" t="s">
        <v>37</v>
      </c>
      <c r="B4" s="96">
        <v>2023</v>
      </c>
      <c r="C4" s="96">
        <v>2024</v>
      </c>
      <c r="D4" s="96">
        <v>2025</v>
      </c>
      <c r="E4" s="96">
        <v>2026</v>
      </c>
      <c r="F4" s="96">
        <v>2027</v>
      </c>
      <c r="G4" s="96">
        <v>2028</v>
      </c>
      <c r="H4" s="96">
        <v>2029</v>
      </c>
      <c r="I4" s="125">
        <v>2030</v>
      </c>
      <c r="J4" s="96">
        <v>2031</v>
      </c>
      <c r="K4" s="96">
        <v>2032</v>
      </c>
      <c r="L4" s="96">
        <v>2033</v>
      </c>
      <c r="M4" s="96">
        <v>2040</v>
      </c>
      <c r="N4" s="96">
        <v>2050</v>
      </c>
    </row>
    <row r="5" spans="1:16" ht="15.75" thickBot="1">
      <c r="A5" s="97">
        <v>1</v>
      </c>
      <c r="B5" s="98">
        <v>0</v>
      </c>
      <c r="C5" s="98">
        <v>0</v>
      </c>
      <c r="D5" s="98">
        <v>0</v>
      </c>
      <c r="E5" s="98">
        <v>3</v>
      </c>
      <c r="F5" s="98">
        <v>8</v>
      </c>
      <c r="G5" s="98">
        <v>15</v>
      </c>
      <c r="H5" s="98">
        <v>23</v>
      </c>
      <c r="I5" s="126">
        <v>30</v>
      </c>
      <c r="J5" s="98">
        <v>35</v>
      </c>
      <c r="K5" s="98">
        <v>39</v>
      </c>
      <c r="L5" s="98">
        <v>41</v>
      </c>
      <c r="M5" s="98">
        <v>47</v>
      </c>
      <c r="N5" s="98">
        <v>48</v>
      </c>
      <c r="P5" s="110"/>
    </row>
    <row r="6" spans="1:16" ht="15.75" thickBot="1">
      <c r="A6" s="99">
        <v>0.95</v>
      </c>
      <c r="B6" s="98">
        <v>0</v>
      </c>
      <c r="C6" s="98">
        <v>0</v>
      </c>
      <c r="D6" s="98">
        <v>1</v>
      </c>
      <c r="E6" s="98">
        <v>4</v>
      </c>
      <c r="F6" s="98">
        <v>12</v>
      </c>
      <c r="G6" s="98">
        <v>22</v>
      </c>
      <c r="H6" s="98">
        <v>32</v>
      </c>
      <c r="I6" s="126">
        <v>41</v>
      </c>
      <c r="J6" s="98">
        <v>47</v>
      </c>
      <c r="K6" s="98">
        <v>51</v>
      </c>
      <c r="L6" s="98">
        <v>54</v>
      </c>
      <c r="M6" s="98">
        <v>58</v>
      </c>
      <c r="N6" s="98">
        <v>59</v>
      </c>
      <c r="P6" s="127"/>
    </row>
    <row r="7" spans="1:16" ht="15.75" thickBot="1">
      <c r="A7" s="97">
        <v>0.9</v>
      </c>
      <c r="B7" s="98">
        <v>0</v>
      </c>
      <c r="C7" s="98">
        <v>0</v>
      </c>
      <c r="D7" s="98">
        <v>1</v>
      </c>
      <c r="E7" s="98">
        <v>5</v>
      </c>
      <c r="F7" s="98">
        <v>16</v>
      </c>
      <c r="G7" s="98">
        <v>30</v>
      </c>
      <c r="H7" s="98">
        <v>43</v>
      </c>
      <c r="I7" s="126">
        <v>53</v>
      </c>
      <c r="J7" s="98">
        <v>60</v>
      </c>
      <c r="K7" s="98">
        <v>63</v>
      </c>
      <c r="L7" s="98">
        <v>66</v>
      </c>
      <c r="M7" s="98">
        <v>69</v>
      </c>
      <c r="N7" s="98">
        <v>69</v>
      </c>
      <c r="P7" s="110"/>
    </row>
    <row r="8" spans="1:16" ht="15.75" thickBot="1">
      <c r="A8" s="97">
        <v>0.8</v>
      </c>
      <c r="B8" s="98">
        <v>0</v>
      </c>
      <c r="C8" s="98">
        <v>0</v>
      </c>
      <c r="D8" s="98">
        <v>1</v>
      </c>
      <c r="E8" s="98">
        <v>9</v>
      </c>
      <c r="F8" s="98">
        <v>28</v>
      </c>
      <c r="G8" s="98">
        <v>50</v>
      </c>
      <c r="H8" s="98">
        <v>66</v>
      </c>
      <c r="I8" s="126">
        <v>76</v>
      </c>
      <c r="J8" s="98">
        <v>82</v>
      </c>
      <c r="K8" s="98">
        <v>84</v>
      </c>
      <c r="L8" s="98">
        <v>86</v>
      </c>
      <c r="M8" s="98">
        <v>87</v>
      </c>
      <c r="N8" s="98">
        <v>87</v>
      </c>
      <c r="P8" s="127"/>
    </row>
    <row r="9" spans="1:16" ht="15.75" thickBot="1">
      <c r="A9" s="97">
        <v>0.7</v>
      </c>
      <c r="B9" s="98">
        <v>0</v>
      </c>
      <c r="C9" s="98">
        <v>0</v>
      </c>
      <c r="D9" s="98">
        <v>2</v>
      </c>
      <c r="E9" s="98">
        <v>15</v>
      </c>
      <c r="F9" s="98">
        <v>44</v>
      </c>
      <c r="G9" s="98">
        <v>70</v>
      </c>
      <c r="H9" s="98">
        <v>85</v>
      </c>
      <c r="I9" s="126">
        <v>92</v>
      </c>
      <c r="J9" s="98">
        <v>95</v>
      </c>
      <c r="K9" s="98">
        <v>96</v>
      </c>
      <c r="L9" s="98">
        <v>96</v>
      </c>
      <c r="M9" s="98">
        <v>97</v>
      </c>
      <c r="N9" s="98">
        <v>97</v>
      </c>
    </row>
    <row r="10" spans="1:16" ht="15.75" thickBot="1">
      <c r="A10" s="97">
        <v>0.6</v>
      </c>
      <c r="B10" s="98">
        <v>0</v>
      </c>
      <c r="C10" s="98">
        <v>0</v>
      </c>
      <c r="D10" s="98">
        <v>2</v>
      </c>
      <c r="E10" s="98">
        <v>24</v>
      </c>
      <c r="F10" s="98">
        <v>62</v>
      </c>
      <c r="G10" s="98">
        <v>86</v>
      </c>
      <c r="H10" s="98">
        <v>95</v>
      </c>
      <c r="I10" s="126">
        <v>98</v>
      </c>
      <c r="J10" s="98">
        <v>99</v>
      </c>
      <c r="K10" s="98">
        <v>99</v>
      </c>
      <c r="L10" s="98">
        <v>99</v>
      </c>
      <c r="M10" s="98">
        <v>100</v>
      </c>
      <c r="N10" s="98">
        <v>100</v>
      </c>
    </row>
    <row r="11" spans="1:16" ht="15.75" thickBot="1">
      <c r="A11" s="97">
        <v>0.5</v>
      </c>
      <c r="B11" s="98">
        <v>0</v>
      </c>
      <c r="C11" s="98">
        <v>0</v>
      </c>
      <c r="D11" s="98">
        <v>3</v>
      </c>
      <c r="E11" s="98">
        <v>35</v>
      </c>
      <c r="F11" s="98">
        <v>77</v>
      </c>
      <c r="G11" s="98">
        <v>95</v>
      </c>
      <c r="H11" s="98">
        <v>99</v>
      </c>
      <c r="I11" s="126">
        <v>100</v>
      </c>
      <c r="J11" s="98">
        <v>100</v>
      </c>
      <c r="K11" s="98">
        <v>100</v>
      </c>
      <c r="L11" s="98">
        <v>100</v>
      </c>
      <c r="M11" s="98">
        <v>100</v>
      </c>
      <c r="N11" s="98">
        <v>100</v>
      </c>
    </row>
    <row r="12" spans="1:16" ht="15.75" thickBot="1">
      <c r="A12" s="97">
        <v>0.4</v>
      </c>
      <c r="B12" s="98">
        <v>0</v>
      </c>
      <c r="C12" s="98">
        <v>0</v>
      </c>
      <c r="D12" s="98">
        <v>4</v>
      </c>
      <c r="E12" s="98">
        <v>47</v>
      </c>
      <c r="F12" s="98">
        <v>89</v>
      </c>
      <c r="G12" s="98">
        <v>99</v>
      </c>
      <c r="H12" s="98">
        <v>100</v>
      </c>
      <c r="I12" s="126">
        <v>100</v>
      </c>
      <c r="J12" s="98">
        <v>100</v>
      </c>
      <c r="K12" s="98">
        <v>100</v>
      </c>
      <c r="L12" s="98">
        <v>100</v>
      </c>
      <c r="M12" s="98">
        <v>100</v>
      </c>
      <c r="N12" s="98">
        <v>100</v>
      </c>
    </row>
    <row r="13" spans="1:16" ht="15.75" thickBot="1">
      <c r="A13" s="97">
        <v>0.3</v>
      </c>
      <c r="B13" s="98">
        <v>0</v>
      </c>
      <c r="C13" s="98">
        <v>0</v>
      </c>
      <c r="D13" s="98">
        <v>6</v>
      </c>
      <c r="E13" s="98">
        <v>61</v>
      </c>
      <c r="F13" s="98">
        <v>95</v>
      </c>
      <c r="G13" s="98">
        <v>100</v>
      </c>
      <c r="H13" s="98">
        <v>100</v>
      </c>
      <c r="I13" s="126">
        <v>100</v>
      </c>
      <c r="J13" s="98">
        <v>100</v>
      </c>
      <c r="K13" s="98">
        <v>100</v>
      </c>
      <c r="L13" s="98">
        <v>100</v>
      </c>
      <c r="M13" s="98">
        <v>100</v>
      </c>
      <c r="N13" s="98">
        <v>100</v>
      </c>
    </row>
    <row r="14" spans="1:16" ht="15.75" thickBot="1">
      <c r="A14" s="97">
        <v>0.2</v>
      </c>
      <c r="B14" s="98">
        <v>0</v>
      </c>
      <c r="C14" s="98">
        <v>0</v>
      </c>
      <c r="D14" s="98">
        <v>8</v>
      </c>
      <c r="E14" s="98">
        <v>73</v>
      </c>
      <c r="F14" s="98">
        <v>99</v>
      </c>
      <c r="G14" s="98">
        <v>100</v>
      </c>
      <c r="H14" s="98">
        <v>100</v>
      </c>
      <c r="I14" s="126">
        <v>100</v>
      </c>
      <c r="J14" s="98">
        <v>100</v>
      </c>
      <c r="K14" s="98">
        <v>100</v>
      </c>
      <c r="L14" s="98">
        <v>100</v>
      </c>
      <c r="M14" s="98">
        <v>100</v>
      </c>
      <c r="N14" s="98">
        <v>100</v>
      </c>
    </row>
    <row r="15" spans="1:16" ht="15.75" thickBot="1">
      <c r="A15" s="97">
        <v>0.1</v>
      </c>
      <c r="B15" s="98">
        <v>0</v>
      </c>
      <c r="C15" s="98">
        <v>0</v>
      </c>
      <c r="D15" s="98">
        <v>11</v>
      </c>
      <c r="E15" s="98">
        <v>84</v>
      </c>
      <c r="F15" s="98">
        <v>100</v>
      </c>
      <c r="G15" s="98">
        <v>100</v>
      </c>
      <c r="H15" s="98">
        <v>100</v>
      </c>
      <c r="I15" s="126">
        <v>100</v>
      </c>
      <c r="J15" s="98">
        <v>100</v>
      </c>
      <c r="K15" s="98">
        <v>100</v>
      </c>
      <c r="L15" s="98">
        <v>100</v>
      </c>
      <c r="M15" s="98">
        <v>100</v>
      </c>
      <c r="N15" s="98">
        <v>100</v>
      </c>
    </row>
    <row r="16" spans="1:16" ht="15.75" customHeight="1" thickBot="1">
      <c r="A16" s="97">
        <v>0</v>
      </c>
      <c r="B16" s="98">
        <v>0</v>
      </c>
      <c r="C16" s="98">
        <v>0</v>
      </c>
      <c r="D16" s="98">
        <v>15</v>
      </c>
      <c r="E16" s="98">
        <v>91</v>
      </c>
      <c r="F16" s="98">
        <v>100</v>
      </c>
      <c r="G16" s="98">
        <v>100</v>
      </c>
      <c r="H16" s="98">
        <v>100</v>
      </c>
      <c r="I16" s="126">
        <v>100</v>
      </c>
      <c r="J16" s="98">
        <v>100</v>
      </c>
      <c r="K16" s="98">
        <v>100</v>
      </c>
      <c r="L16" s="98">
        <v>100</v>
      </c>
      <c r="M16" s="98">
        <v>100</v>
      </c>
      <c r="N16" s="98">
        <v>100</v>
      </c>
    </row>
    <row r="17" spans="1:20" ht="15.75" thickBot="1">
      <c r="A17" s="99" t="s">
        <v>38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126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</row>
    <row r="19" spans="1:20" ht="15.75" thickBot="1">
      <c r="A19" s="94" t="s">
        <v>39</v>
      </c>
    </row>
    <row r="20" spans="1:20" ht="15.75" thickBot="1">
      <c r="A20" s="95" t="s">
        <v>37</v>
      </c>
      <c r="B20" s="96">
        <v>2023</v>
      </c>
      <c r="C20" s="96">
        <v>2024</v>
      </c>
      <c r="D20" s="96">
        <v>2025</v>
      </c>
      <c r="E20" s="96">
        <v>2026</v>
      </c>
      <c r="F20" s="96">
        <v>2027</v>
      </c>
      <c r="G20" s="96">
        <v>2028</v>
      </c>
      <c r="H20" s="96">
        <v>2029</v>
      </c>
      <c r="I20" s="125">
        <v>2030</v>
      </c>
      <c r="J20" s="96">
        <v>2031</v>
      </c>
      <c r="K20" s="96">
        <v>2032</v>
      </c>
      <c r="L20" s="96">
        <v>2033</v>
      </c>
      <c r="M20" s="96">
        <v>2040</v>
      </c>
      <c r="N20" s="96">
        <v>2050</v>
      </c>
      <c r="P20" s="112"/>
      <c r="Q20" s="112"/>
      <c r="R20" s="112"/>
      <c r="S20" s="112"/>
      <c r="T20" s="112"/>
    </row>
    <row r="21" spans="1:20" ht="15.75" thickBot="1">
      <c r="A21" s="97">
        <v>1</v>
      </c>
      <c r="B21" s="98">
        <v>100</v>
      </c>
      <c r="C21" s="98">
        <v>31</v>
      </c>
      <c r="D21" s="98">
        <v>70</v>
      </c>
      <c r="E21" s="98">
        <v>84</v>
      </c>
      <c r="F21" s="98">
        <v>91</v>
      </c>
      <c r="G21" s="98">
        <v>94</v>
      </c>
      <c r="H21" s="98">
        <v>96</v>
      </c>
      <c r="I21" s="126">
        <v>98</v>
      </c>
      <c r="J21" s="98">
        <v>98</v>
      </c>
      <c r="K21" s="98">
        <v>99</v>
      </c>
      <c r="L21" s="98">
        <v>99</v>
      </c>
      <c r="M21" s="98">
        <v>100</v>
      </c>
      <c r="N21" s="98">
        <v>100</v>
      </c>
    </row>
    <row r="22" spans="1:20" ht="15.75" thickBot="1">
      <c r="A22" s="99">
        <v>0.95</v>
      </c>
      <c r="B22" s="98">
        <v>100</v>
      </c>
      <c r="C22" s="98">
        <v>31</v>
      </c>
      <c r="D22" s="98">
        <v>74</v>
      </c>
      <c r="E22" s="98">
        <v>88</v>
      </c>
      <c r="F22" s="98">
        <v>94</v>
      </c>
      <c r="G22" s="98">
        <v>97</v>
      </c>
      <c r="H22" s="98">
        <v>98</v>
      </c>
      <c r="I22" s="126">
        <v>99</v>
      </c>
      <c r="J22" s="98">
        <v>99</v>
      </c>
      <c r="K22" s="98">
        <v>100</v>
      </c>
      <c r="L22" s="98">
        <v>100</v>
      </c>
      <c r="M22" s="98">
        <v>100</v>
      </c>
      <c r="N22" s="98">
        <v>100</v>
      </c>
    </row>
    <row r="23" spans="1:20" ht="15.75" thickBot="1">
      <c r="A23" s="97">
        <v>0.9</v>
      </c>
      <c r="B23" s="98">
        <v>100</v>
      </c>
      <c r="C23" s="98">
        <v>31</v>
      </c>
      <c r="D23" s="98">
        <v>77</v>
      </c>
      <c r="E23" s="98">
        <v>92</v>
      </c>
      <c r="F23" s="98">
        <v>96</v>
      </c>
      <c r="G23" s="98">
        <v>98</v>
      </c>
      <c r="H23" s="98">
        <v>99</v>
      </c>
      <c r="I23" s="126">
        <v>100</v>
      </c>
      <c r="J23" s="98">
        <v>100</v>
      </c>
      <c r="K23" s="98">
        <v>100</v>
      </c>
      <c r="L23" s="98">
        <v>100</v>
      </c>
      <c r="M23" s="98">
        <v>100</v>
      </c>
      <c r="N23" s="98">
        <v>100</v>
      </c>
    </row>
    <row r="24" spans="1:20" ht="15.75" thickBot="1">
      <c r="A24" s="97">
        <v>0.8</v>
      </c>
      <c r="B24" s="98">
        <v>100</v>
      </c>
      <c r="C24" s="98">
        <v>31</v>
      </c>
      <c r="D24" s="98">
        <v>84</v>
      </c>
      <c r="E24" s="98">
        <v>96</v>
      </c>
      <c r="F24" s="98">
        <v>99</v>
      </c>
      <c r="G24" s="98">
        <v>100</v>
      </c>
      <c r="H24" s="98">
        <v>100</v>
      </c>
      <c r="I24" s="126">
        <v>100</v>
      </c>
      <c r="J24" s="98">
        <v>100</v>
      </c>
      <c r="K24" s="98">
        <v>100</v>
      </c>
      <c r="L24" s="98">
        <v>100</v>
      </c>
      <c r="M24" s="98">
        <v>100</v>
      </c>
      <c r="N24" s="98">
        <v>100</v>
      </c>
    </row>
    <row r="25" spans="1:20" ht="15.75" thickBot="1">
      <c r="A25" s="97">
        <v>0.7</v>
      </c>
      <c r="B25" s="98">
        <v>100</v>
      </c>
      <c r="C25" s="98">
        <v>31</v>
      </c>
      <c r="D25" s="98">
        <v>90</v>
      </c>
      <c r="E25" s="98">
        <v>98</v>
      </c>
      <c r="F25" s="98">
        <v>100</v>
      </c>
      <c r="G25" s="98">
        <v>100</v>
      </c>
      <c r="H25" s="98">
        <v>100</v>
      </c>
      <c r="I25" s="126">
        <v>100</v>
      </c>
      <c r="J25" s="98">
        <v>100</v>
      </c>
      <c r="K25" s="98">
        <v>100</v>
      </c>
      <c r="L25" s="98">
        <v>100</v>
      </c>
      <c r="M25" s="98">
        <v>100</v>
      </c>
      <c r="N25" s="98">
        <v>100</v>
      </c>
    </row>
    <row r="26" spans="1:20" ht="15.75" thickBot="1">
      <c r="A26" s="97">
        <v>0.6</v>
      </c>
      <c r="B26" s="98">
        <v>100</v>
      </c>
      <c r="C26" s="98">
        <v>31</v>
      </c>
      <c r="D26" s="98">
        <v>93</v>
      </c>
      <c r="E26" s="98">
        <v>99</v>
      </c>
      <c r="F26" s="98">
        <v>100</v>
      </c>
      <c r="G26" s="98">
        <v>100</v>
      </c>
      <c r="H26" s="98">
        <v>100</v>
      </c>
      <c r="I26" s="126">
        <v>100</v>
      </c>
      <c r="J26" s="98">
        <v>100</v>
      </c>
      <c r="K26" s="98">
        <v>100</v>
      </c>
      <c r="L26" s="98">
        <v>100</v>
      </c>
      <c r="M26" s="98">
        <v>100</v>
      </c>
      <c r="N26" s="98">
        <v>100</v>
      </c>
    </row>
    <row r="27" spans="1:20" ht="15.75" thickBot="1">
      <c r="A27" s="97">
        <v>0.5</v>
      </c>
      <c r="B27" s="98">
        <v>100</v>
      </c>
      <c r="C27" s="98">
        <v>31</v>
      </c>
      <c r="D27" s="98">
        <v>96</v>
      </c>
      <c r="E27" s="98">
        <v>100</v>
      </c>
      <c r="F27" s="98">
        <v>100</v>
      </c>
      <c r="G27" s="98">
        <v>100</v>
      </c>
      <c r="H27" s="98">
        <v>100</v>
      </c>
      <c r="I27" s="126">
        <v>100</v>
      </c>
      <c r="J27" s="98">
        <v>100</v>
      </c>
      <c r="K27" s="98">
        <v>100</v>
      </c>
      <c r="L27" s="98">
        <v>100</v>
      </c>
      <c r="M27" s="98">
        <v>100</v>
      </c>
      <c r="N27" s="98">
        <v>100</v>
      </c>
    </row>
    <row r="28" spans="1:20" ht="15.75" thickBot="1">
      <c r="A28" s="97">
        <v>0.4</v>
      </c>
      <c r="B28" s="98">
        <v>100</v>
      </c>
      <c r="C28" s="98">
        <v>31</v>
      </c>
      <c r="D28" s="98">
        <v>98</v>
      </c>
      <c r="E28" s="98">
        <v>100</v>
      </c>
      <c r="F28" s="98">
        <v>100</v>
      </c>
      <c r="G28" s="98">
        <v>100</v>
      </c>
      <c r="H28" s="98">
        <v>100</v>
      </c>
      <c r="I28" s="126">
        <v>100</v>
      </c>
      <c r="J28" s="98">
        <v>100</v>
      </c>
      <c r="K28" s="98">
        <v>100</v>
      </c>
      <c r="L28" s="98">
        <v>100</v>
      </c>
      <c r="M28" s="98">
        <v>100</v>
      </c>
      <c r="N28" s="98">
        <v>100</v>
      </c>
    </row>
    <row r="29" spans="1:20" ht="15.75" thickBot="1">
      <c r="A29" s="97">
        <v>0.3</v>
      </c>
      <c r="B29" s="98">
        <v>100</v>
      </c>
      <c r="C29" s="98">
        <v>31</v>
      </c>
      <c r="D29" s="98">
        <v>99</v>
      </c>
      <c r="E29" s="98">
        <v>100</v>
      </c>
      <c r="F29" s="98">
        <v>100</v>
      </c>
      <c r="G29" s="98">
        <v>100</v>
      </c>
      <c r="H29" s="98">
        <v>100</v>
      </c>
      <c r="I29" s="126">
        <v>100</v>
      </c>
      <c r="J29" s="98">
        <v>100</v>
      </c>
      <c r="K29" s="98">
        <v>100</v>
      </c>
      <c r="L29" s="98">
        <v>100</v>
      </c>
      <c r="M29" s="98">
        <v>100</v>
      </c>
      <c r="N29" s="98">
        <v>100</v>
      </c>
    </row>
    <row r="30" spans="1:20" ht="15.75" thickBot="1">
      <c r="A30" s="97">
        <v>0.2</v>
      </c>
      <c r="B30" s="98">
        <v>100</v>
      </c>
      <c r="C30" s="98">
        <v>31</v>
      </c>
      <c r="D30" s="98">
        <v>99</v>
      </c>
      <c r="E30" s="98">
        <v>100</v>
      </c>
      <c r="F30" s="98">
        <v>100</v>
      </c>
      <c r="G30" s="98">
        <v>100</v>
      </c>
      <c r="H30" s="98">
        <v>100</v>
      </c>
      <c r="I30" s="126">
        <v>100</v>
      </c>
      <c r="J30" s="98">
        <v>100</v>
      </c>
      <c r="K30" s="98">
        <v>100</v>
      </c>
      <c r="L30" s="98">
        <v>100</v>
      </c>
      <c r="M30" s="98">
        <v>100</v>
      </c>
      <c r="N30" s="98">
        <v>100</v>
      </c>
    </row>
    <row r="31" spans="1:20" ht="15.75" thickBot="1">
      <c r="A31" s="97">
        <v>0.1</v>
      </c>
      <c r="B31" s="98">
        <v>100</v>
      </c>
      <c r="C31" s="98">
        <v>31</v>
      </c>
      <c r="D31" s="98">
        <v>100</v>
      </c>
      <c r="E31" s="98">
        <v>100</v>
      </c>
      <c r="F31" s="98">
        <v>100</v>
      </c>
      <c r="G31" s="98">
        <v>100</v>
      </c>
      <c r="H31" s="98">
        <v>100</v>
      </c>
      <c r="I31" s="126">
        <v>100</v>
      </c>
      <c r="J31" s="98">
        <v>100</v>
      </c>
      <c r="K31" s="98">
        <v>100</v>
      </c>
      <c r="L31" s="98">
        <v>100</v>
      </c>
      <c r="M31" s="98">
        <v>100</v>
      </c>
      <c r="N31" s="98">
        <v>100</v>
      </c>
    </row>
    <row r="32" spans="1:20" ht="15.75" thickBot="1">
      <c r="A32" s="97">
        <v>0</v>
      </c>
      <c r="B32" s="98">
        <v>100</v>
      </c>
      <c r="C32" s="98">
        <v>31</v>
      </c>
      <c r="D32" s="98">
        <v>100</v>
      </c>
      <c r="E32" s="98">
        <v>100</v>
      </c>
      <c r="F32" s="98">
        <v>100</v>
      </c>
      <c r="G32" s="98">
        <v>100</v>
      </c>
      <c r="H32" s="98">
        <v>100</v>
      </c>
      <c r="I32" s="126">
        <v>100</v>
      </c>
      <c r="J32" s="98">
        <v>100</v>
      </c>
      <c r="K32" s="98">
        <v>100</v>
      </c>
      <c r="L32" s="98">
        <v>100</v>
      </c>
      <c r="M32" s="98">
        <v>100</v>
      </c>
      <c r="N32" s="98">
        <v>100</v>
      </c>
    </row>
    <row r="33" spans="1:20" ht="15.75" thickBot="1">
      <c r="A33" s="99" t="s">
        <v>38</v>
      </c>
      <c r="B33" s="98">
        <v>100</v>
      </c>
      <c r="C33" s="98">
        <v>31</v>
      </c>
      <c r="D33" s="98">
        <v>20</v>
      </c>
      <c r="E33" s="98">
        <v>14</v>
      </c>
      <c r="F33" s="98">
        <v>10</v>
      </c>
      <c r="G33" s="98">
        <v>7</v>
      </c>
      <c r="H33" s="98">
        <v>5</v>
      </c>
      <c r="I33" s="126">
        <v>4</v>
      </c>
      <c r="J33" s="98">
        <v>3</v>
      </c>
      <c r="K33" s="98">
        <v>2</v>
      </c>
      <c r="L33" s="98">
        <v>2</v>
      </c>
      <c r="M33" s="98">
        <v>0</v>
      </c>
      <c r="N33" s="98">
        <v>0</v>
      </c>
    </row>
    <row r="35" spans="1:20" ht="15" customHeight="1">
      <c r="A35" s="205" t="s">
        <v>109</v>
      </c>
      <c r="B35" s="205"/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</row>
    <row r="36" spans="1:20">
      <c r="A36" s="205"/>
      <c r="B36" s="205"/>
      <c r="C36" s="205"/>
      <c r="D36" s="205"/>
      <c r="E36" s="205"/>
      <c r="F36" s="205"/>
      <c r="G36" s="205"/>
      <c r="H36" s="205"/>
      <c r="I36" s="205"/>
      <c r="J36" s="205"/>
      <c r="K36" s="205"/>
      <c r="L36" s="205"/>
      <c r="M36" s="205"/>
      <c r="N36" s="205"/>
      <c r="P36" s="120"/>
    </row>
    <row r="37" spans="1:20">
      <c r="A37" s="205"/>
      <c r="B37" s="205"/>
      <c r="C37" s="205"/>
      <c r="D37" s="205"/>
      <c r="E37" s="205"/>
      <c r="F37" s="205"/>
      <c r="G37" s="205"/>
      <c r="H37" s="205"/>
      <c r="I37" s="205"/>
      <c r="J37" s="205"/>
      <c r="K37" s="205"/>
      <c r="L37" s="205"/>
      <c r="M37" s="205"/>
      <c r="N37" s="205"/>
      <c r="P37" s="114"/>
    </row>
    <row r="38" spans="1:20">
      <c r="A38" s="113"/>
      <c r="B38" s="113"/>
      <c r="C38" s="113"/>
      <c r="D38" s="113"/>
      <c r="E38" s="113"/>
      <c r="F38" s="113"/>
      <c r="G38" s="113"/>
      <c r="H38" s="113"/>
      <c r="P38" s="127"/>
    </row>
    <row r="41" spans="1:20">
      <c r="A41" s="94" t="s">
        <v>40</v>
      </c>
    </row>
    <row r="43" spans="1:20" ht="15.75" thickBot="1">
      <c r="A43" s="94" t="s">
        <v>41</v>
      </c>
    </row>
    <row r="44" spans="1:20" ht="15.75" thickBot="1">
      <c r="A44" s="95" t="s">
        <v>37</v>
      </c>
      <c r="B44" s="96">
        <v>2023</v>
      </c>
      <c r="C44" s="96">
        <v>2024</v>
      </c>
      <c r="D44" s="96">
        <v>2025</v>
      </c>
      <c r="E44" s="96">
        <v>2026</v>
      </c>
      <c r="F44" s="96">
        <v>2027</v>
      </c>
      <c r="G44" s="96">
        <v>2028</v>
      </c>
      <c r="H44" s="96">
        <v>2029</v>
      </c>
      <c r="I44" s="125">
        <v>2030</v>
      </c>
      <c r="J44" s="96">
        <v>2031</v>
      </c>
      <c r="K44" s="96">
        <v>2032</v>
      </c>
      <c r="L44" s="96">
        <v>2033</v>
      </c>
      <c r="M44" s="96">
        <v>2040</v>
      </c>
      <c r="N44" s="96">
        <v>2050</v>
      </c>
    </row>
    <row r="45" spans="1:20" ht="15.75" thickBot="1">
      <c r="A45" s="97">
        <v>1</v>
      </c>
      <c r="B45" s="98">
        <v>56</v>
      </c>
      <c r="C45" s="98">
        <v>48</v>
      </c>
      <c r="D45" s="98">
        <v>58</v>
      </c>
      <c r="E45" s="98">
        <v>67</v>
      </c>
      <c r="F45" s="98">
        <v>76</v>
      </c>
      <c r="G45" s="98">
        <v>84</v>
      </c>
      <c r="H45" s="98">
        <v>91</v>
      </c>
      <c r="I45" s="126">
        <v>96</v>
      </c>
      <c r="J45" s="98">
        <v>100</v>
      </c>
      <c r="K45" s="98">
        <v>103</v>
      </c>
      <c r="L45" s="98">
        <v>105</v>
      </c>
      <c r="M45" s="98">
        <v>109</v>
      </c>
      <c r="N45" s="100">
        <v>109</v>
      </c>
      <c r="P45" s="82"/>
      <c r="Q45" s="82"/>
      <c r="R45" s="82"/>
      <c r="S45" s="82"/>
      <c r="T45" s="82"/>
    </row>
    <row r="46" spans="1:20" ht="15.75" thickBot="1">
      <c r="A46" s="99">
        <v>0.95</v>
      </c>
      <c r="B46" s="98">
        <v>56</v>
      </c>
      <c r="C46" s="98">
        <v>48</v>
      </c>
      <c r="D46" s="98">
        <v>59</v>
      </c>
      <c r="E46" s="98">
        <v>70</v>
      </c>
      <c r="F46" s="98">
        <v>80</v>
      </c>
      <c r="G46" s="98">
        <v>90</v>
      </c>
      <c r="H46" s="98">
        <v>98</v>
      </c>
      <c r="I46" s="126">
        <v>104</v>
      </c>
      <c r="J46" s="100">
        <v>108</v>
      </c>
      <c r="K46" s="100">
        <v>110</v>
      </c>
      <c r="L46" s="100">
        <v>112</v>
      </c>
      <c r="M46" s="100">
        <v>115</v>
      </c>
      <c r="N46" s="100">
        <v>115</v>
      </c>
      <c r="P46" s="82"/>
      <c r="Q46" s="82"/>
      <c r="R46" s="82"/>
      <c r="S46" s="82"/>
      <c r="T46" s="82"/>
    </row>
    <row r="47" spans="1:20" ht="15.75" thickBot="1">
      <c r="A47" s="97">
        <v>0.9</v>
      </c>
      <c r="B47" s="98">
        <v>56</v>
      </c>
      <c r="C47" s="98">
        <v>48</v>
      </c>
      <c r="D47" s="98">
        <v>61</v>
      </c>
      <c r="E47" s="98">
        <v>73</v>
      </c>
      <c r="F47" s="98">
        <v>85</v>
      </c>
      <c r="G47" s="98">
        <v>96</v>
      </c>
      <c r="H47" s="98">
        <v>105</v>
      </c>
      <c r="I47" s="128">
        <v>111</v>
      </c>
      <c r="J47" s="100">
        <v>115</v>
      </c>
      <c r="K47" s="100">
        <v>118</v>
      </c>
      <c r="L47" s="100">
        <v>119</v>
      </c>
      <c r="M47" s="100">
        <v>121</v>
      </c>
      <c r="N47" s="100">
        <v>121</v>
      </c>
      <c r="P47" s="82"/>
      <c r="Q47" s="82"/>
      <c r="R47" s="82"/>
      <c r="S47" s="82"/>
      <c r="T47" s="82"/>
    </row>
    <row r="48" spans="1:20" ht="15.75" thickBot="1">
      <c r="A48" s="97">
        <v>0.8</v>
      </c>
      <c r="B48" s="98">
        <v>56</v>
      </c>
      <c r="C48" s="98">
        <v>48</v>
      </c>
      <c r="D48" s="98">
        <v>63</v>
      </c>
      <c r="E48" s="98">
        <v>79</v>
      </c>
      <c r="F48" s="98">
        <v>95</v>
      </c>
      <c r="G48" s="98">
        <v>110</v>
      </c>
      <c r="H48" s="100">
        <v>120</v>
      </c>
      <c r="I48" s="128">
        <v>127</v>
      </c>
      <c r="J48" s="100">
        <v>131</v>
      </c>
      <c r="K48" s="100">
        <v>133</v>
      </c>
      <c r="L48" s="100">
        <v>133</v>
      </c>
      <c r="M48" s="100">
        <v>134</v>
      </c>
      <c r="N48" s="100">
        <v>135</v>
      </c>
      <c r="P48" s="82"/>
      <c r="Q48" s="82"/>
      <c r="R48" s="82"/>
      <c r="S48" s="82"/>
      <c r="T48" s="82"/>
    </row>
    <row r="49" spans="1:20" ht="15.75" thickBot="1">
      <c r="A49" s="97">
        <v>0.7</v>
      </c>
      <c r="B49" s="98">
        <v>56</v>
      </c>
      <c r="C49" s="98">
        <v>48</v>
      </c>
      <c r="D49" s="98">
        <v>66</v>
      </c>
      <c r="E49" s="98">
        <v>86</v>
      </c>
      <c r="F49" s="98">
        <v>107</v>
      </c>
      <c r="G49" s="98">
        <v>124</v>
      </c>
      <c r="H49" s="100">
        <v>136</v>
      </c>
      <c r="I49" s="128">
        <v>143</v>
      </c>
      <c r="J49" s="100">
        <v>147</v>
      </c>
      <c r="K49" s="100">
        <v>148</v>
      </c>
      <c r="L49" s="100">
        <v>149</v>
      </c>
      <c r="M49" s="100">
        <v>149</v>
      </c>
      <c r="N49" s="100">
        <v>150</v>
      </c>
      <c r="P49" s="82"/>
      <c r="Q49" s="82"/>
      <c r="R49" s="82"/>
      <c r="S49" s="82"/>
      <c r="T49" s="82"/>
    </row>
    <row r="50" spans="1:20" ht="15.75" thickBot="1">
      <c r="A50" s="97">
        <v>0.6</v>
      </c>
      <c r="B50" s="98">
        <v>56</v>
      </c>
      <c r="C50" s="98">
        <v>48</v>
      </c>
      <c r="D50" s="98">
        <v>69</v>
      </c>
      <c r="E50" s="98">
        <v>94</v>
      </c>
      <c r="F50" s="98">
        <v>119</v>
      </c>
      <c r="G50" s="100">
        <v>140</v>
      </c>
      <c r="H50" s="100">
        <v>154</v>
      </c>
      <c r="I50" s="128">
        <v>161</v>
      </c>
      <c r="J50" s="100">
        <v>165</v>
      </c>
      <c r="K50" s="100">
        <v>166</v>
      </c>
      <c r="L50" s="100">
        <v>167</v>
      </c>
      <c r="M50" s="100">
        <v>167</v>
      </c>
      <c r="N50" s="100">
        <v>168</v>
      </c>
      <c r="P50" s="82"/>
      <c r="Q50" s="82"/>
      <c r="R50" s="82"/>
      <c r="S50" s="82"/>
      <c r="T50" s="82"/>
    </row>
    <row r="51" spans="1:20" ht="15.75" thickBot="1">
      <c r="A51" s="97">
        <v>0.5</v>
      </c>
      <c r="B51" s="98">
        <v>56</v>
      </c>
      <c r="C51" s="98">
        <v>48</v>
      </c>
      <c r="D51" s="98">
        <v>72</v>
      </c>
      <c r="E51" s="98">
        <v>102</v>
      </c>
      <c r="F51" s="98">
        <v>133</v>
      </c>
      <c r="G51" s="100">
        <v>158</v>
      </c>
      <c r="H51" s="100">
        <v>173</v>
      </c>
      <c r="I51" s="128">
        <v>181</v>
      </c>
      <c r="J51" s="100">
        <v>185</v>
      </c>
      <c r="K51" s="100">
        <v>187</v>
      </c>
      <c r="L51" s="100">
        <v>188</v>
      </c>
      <c r="M51" s="100">
        <v>189</v>
      </c>
      <c r="N51" s="100">
        <v>190</v>
      </c>
      <c r="P51" s="82"/>
      <c r="Q51" s="82"/>
      <c r="R51" s="82"/>
      <c r="S51" s="82"/>
      <c r="T51" s="82"/>
    </row>
    <row r="52" spans="1:20" ht="15.75" thickBot="1">
      <c r="A52" s="97">
        <v>0.4</v>
      </c>
      <c r="B52" s="98">
        <v>56</v>
      </c>
      <c r="C52" s="98">
        <v>48</v>
      </c>
      <c r="D52" s="98">
        <v>75</v>
      </c>
      <c r="E52" s="98">
        <v>111</v>
      </c>
      <c r="F52" s="98">
        <v>148</v>
      </c>
      <c r="G52" s="100">
        <v>177</v>
      </c>
      <c r="H52" s="100">
        <v>195</v>
      </c>
      <c r="I52" s="128">
        <v>205</v>
      </c>
      <c r="J52" s="100">
        <v>210</v>
      </c>
      <c r="K52" s="100">
        <v>213</v>
      </c>
      <c r="L52" s="100">
        <v>214</v>
      </c>
      <c r="M52" s="100">
        <v>215</v>
      </c>
      <c r="N52" s="100">
        <v>216</v>
      </c>
      <c r="P52" s="82"/>
      <c r="Q52" s="82"/>
      <c r="R52" s="82"/>
      <c r="S52" s="82"/>
      <c r="T52" s="82"/>
    </row>
    <row r="53" spans="1:20" ht="15.75" thickBot="1">
      <c r="A53" s="97">
        <v>0.3</v>
      </c>
      <c r="B53" s="98">
        <v>56</v>
      </c>
      <c r="C53" s="98">
        <v>48</v>
      </c>
      <c r="D53" s="98">
        <v>78</v>
      </c>
      <c r="E53" s="98">
        <v>120</v>
      </c>
      <c r="F53" s="98">
        <v>164</v>
      </c>
      <c r="G53" s="100">
        <v>199</v>
      </c>
      <c r="H53" s="100">
        <v>221</v>
      </c>
      <c r="I53" s="128">
        <v>233</v>
      </c>
      <c r="J53" s="100">
        <v>240</v>
      </c>
      <c r="K53" s="100">
        <v>244</v>
      </c>
      <c r="L53" s="100">
        <v>246</v>
      </c>
      <c r="M53" s="100">
        <v>248</v>
      </c>
      <c r="N53" s="100">
        <v>249</v>
      </c>
      <c r="P53" s="110"/>
      <c r="Q53" s="110"/>
      <c r="R53" s="110"/>
      <c r="S53" s="110"/>
      <c r="T53" s="82"/>
    </row>
    <row r="54" spans="1:20" ht="15.75" thickBot="1">
      <c r="A54" s="97">
        <v>0.2</v>
      </c>
      <c r="B54" s="98">
        <v>56</v>
      </c>
      <c r="C54" s="98">
        <v>48</v>
      </c>
      <c r="D54" s="98">
        <v>82</v>
      </c>
      <c r="E54" s="98">
        <v>131</v>
      </c>
      <c r="F54" s="100">
        <v>182</v>
      </c>
      <c r="G54" s="100">
        <v>224</v>
      </c>
      <c r="H54" s="100">
        <v>251</v>
      </c>
      <c r="I54" s="128">
        <v>267</v>
      </c>
      <c r="J54" s="100">
        <v>277</v>
      </c>
      <c r="K54" s="100">
        <v>282</v>
      </c>
      <c r="L54" s="100">
        <v>285</v>
      </c>
      <c r="M54" s="100">
        <v>290</v>
      </c>
      <c r="N54" s="100">
        <v>291</v>
      </c>
      <c r="P54" s="127"/>
      <c r="Q54" s="111"/>
      <c r="R54" s="111"/>
      <c r="S54" s="111"/>
      <c r="T54" s="82"/>
    </row>
    <row r="55" spans="1:20" ht="15.75" thickBot="1">
      <c r="A55" s="97">
        <v>0.1</v>
      </c>
      <c r="B55" s="98">
        <v>56</v>
      </c>
      <c r="C55" s="98">
        <v>48</v>
      </c>
      <c r="D55" s="98">
        <v>85</v>
      </c>
      <c r="E55" s="98">
        <v>142</v>
      </c>
      <c r="F55" s="100">
        <v>202</v>
      </c>
      <c r="G55" s="100">
        <v>253</v>
      </c>
      <c r="H55" s="100">
        <v>287</v>
      </c>
      <c r="I55" s="128">
        <v>308</v>
      </c>
      <c r="J55" s="100">
        <v>322</v>
      </c>
      <c r="K55" s="100">
        <v>330</v>
      </c>
      <c r="L55" s="100">
        <v>336</v>
      </c>
      <c r="M55" s="100">
        <v>344</v>
      </c>
      <c r="N55" s="100">
        <v>345</v>
      </c>
      <c r="P55" s="110"/>
      <c r="Q55" s="110"/>
      <c r="R55" s="110"/>
      <c r="S55" s="110"/>
      <c r="T55" s="82"/>
    </row>
    <row r="56" spans="1:20" ht="15.75" thickBot="1">
      <c r="A56" s="97">
        <v>0</v>
      </c>
      <c r="B56" s="98">
        <v>56</v>
      </c>
      <c r="C56" s="98">
        <v>48</v>
      </c>
      <c r="D56" s="98">
        <v>89</v>
      </c>
      <c r="E56" s="98">
        <v>154</v>
      </c>
      <c r="F56" s="100">
        <v>224</v>
      </c>
      <c r="G56" s="100">
        <v>286</v>
      </c>
      <c r="H56" s="100">
        <v>329</v>
      </c>
      <c r="I56" s="128">
        <v>359</v>
      </c>
      <c r="J56" s="100">
        <v>378</v>
      </c>
      <c r="K56" s="100">
        <v>391</v>
      </c>
      <c r="L56" s="100">
        <v>400</v>
      </c>
      <c r="M56" s="100">
        <v>417</v>
      </c>
      <c r="N56" s="100">
        <v>419</v>
      </c>
      <c r="P56" s="127"/>
      <c r="Q56" s="82"/>
      <c r="R56" s="82"/>
      <c r="S56" s="82"/>
      <c r="T56" s="82"/>
    </row>
    <row r="57" spans="1:20" ht="15.75" thickBot="1">
      <c r="A57" s="99" t="s">
        <v>38</v>
      </c>
      <c r="B57" s="98">
        <v>56</v>
      </c>
      <c r="C57" s="98">
        <v>48</v>
      </c>
      <c r="D57" s="98">
        <v>43</v>
      </c>
      <c r="E57" s="98">
        <v>39</v>
      </c>
      <c r="F57" s="100">
        <v>34</v>
      </c>
      <c r="G57" s="100">
        <v>31</v>
      </c>
      <c r="H57" s="100">
        <v>27</v>
      </c>
      <c r="I57" s="128">
        <v>24</v>
      </c>
      <c r="J57" s="100">
        <v>22</v>
      </c>
      <c r="K57" s="100">
        <v>19</v>
      </c>
      <c r="L57" s="100">
        <v>17</v>
      </c>
      <c r="M57" s="100">
        <v>8</v>
      </c>
      <c r="N57" s="100">
        <v>2</v>
      </c>
      <c r="P57" s="82"/>
      <c r="Q57" s="82"/>
      <c r="R57" s="82"/>
      <c r="S57" s="82"/>
      <c r="T57" s="82"/>
    </row>
    <row r="59" spans="1:20" ht="15.75" thickBot="1">
      <c r="A59" s="94" t="s">
        <v>42</v>
      </c>
    </row>
    <row r="60" spans="1:20" ht="15.75" thickBot="1">
      <c r="A60" s="95" t="s">
        <v>37</v>
      </c>
      <c r="B60" s="96">
        <v>2023</v>
      </c>
      <c r="C60" s="96">
        <v>2024</v>
      </c>
      <c r="D60" s="96">
        <v>2025</v>
      </c>
      <c r="E60" s="96">
        <v>2026</v>
      </c>
      <c r="F60" s="96">
        <v>2027</v>
      </c>
      <c r="G60" s="96">
        <v>2028</v>
      </c>
      <c r="H60" s="96">
        <v>2029</v>
      </c>
      <c r="I60" s="125">
        <v>2030</v>
      </c>
      <c r="J60" s="96">
        <v>2031</v>
      </c>
      <c r="K60" s="96">
        <v>2032</v>
      </c>
      <c r="L60" s="96">
        <v>2033</v>
      </c>
      <c r="M60" s="96">
        <v>2040</v>
      </c>
      <c r="N60" s="96">
        <v>2050</v>
      </c>
    </row>
    <row r="61" spans="1:20" ht="15.75" thickBot="1">
      <c r="A61" s="97">
        <v>1</v>
      </c>
      <c r="B61" s="98">
        <v>60</v>
      </c>
      <c r="C61" s="98">
        <v>35</v>
      </c>
      <c r="D61" s="98">
        <v>44</v>
      </c>
      <c r="E61" s="98">
        <v>51</v>
      </c>
      <c r="F61" s="98">
        <v>57</v>
      </c>
      <c r="G61" s="98">
        <v>62</v>
      </c>
      <c r="H61" s="98">
        <v>66</v>
      </c>
      <c r="I61" s="126">
        <v>69</v>
      </c>
      <c r="J61" s="98">
        <v>72</v>
      </c>
      <c r="K61" s="98">
        <v>73</v>
      </c>
      <c r="L61" s="98">
        <v>74</v>
      </c>
      <c r="M61" s="98">
        <v>77</v>
      </c>
      <c r="N61" s="98">
        <v>77</v>
      </c>
    </row>
    <row r="62" spans="1:20" ht="15.75" thickBot="1">
      <c r="A62" s="99">
        <v>0.95</v>
      </c>
      <c r="B62" s="98">
        <v>60</v>
      </c>
      <c r="C62" s="98">
        <v>33</v>
      </c>
      <c r="D62" s="98">
        <v>44</v>
      </c>
      <c r="E62" s="98">
        <v>51</v>
      </c>
      <c r="F62" s="98">
        <v>58</v>
      </c>
      <c r="G62" s="98">
        <v>63</v>
      </c>
      <c r="H62" s="98">
        <v>68</v>
      </c>
      <c r="I62" s="126">
        <v>71</v>
      </c>
      <c r="J62" s="98">
        <v>73</v>
      </c>
      <c r="K62" s="98">
        <v>74</v>
      </c>
      <c r="L62" s="98">
        <v>75</v>
      </c>
      <c r="M62" s="98">
        <v>76</v>
      </c>
      <c r="N62" s="98">
        <v>77</v>
      </c>
    </row>
    <row r="63" spans="1:20" ht="15.75" thickBot="1">
      <c r="A63" s="97">
        <v>0.9</v>
      </c>
      <c r="B63" s="98">
        <v>60</v>
      </c>
      <c r="C63" s="98">
        <v>32</v>
      </c>
      <c r="D63" s="98">
        <v>43</v>
      </c>
      <c r="E63" s="98">
        <v>51</v>
      </c>
      <c r="F63" s="98">
        <v>58</v>
      </c>
      <c r="G63" s="98">
        <v>64</v>
      </c>
      <c r="H63" s="98">
        <v>68</v>
      </c>
      <c r="I63" s="126">
        <v>71</v>
      </c>
      <c r="J63" s="98">
        <v>73</v>
      </c>
      <c r="K63" s="98">
        <v>74</v>
      </c>
      <c r="L63" s="98">
        <v>75</v>
      </c>
      <c r="M63" s="98">
        <v>76</v>
      </c>
      <c r="N63" s="98">
        <v>76</v>
      </c>
    </row>
    <row r="64" spans="1:20" ht="15.75" thickBot="1">
      <c r="A64" s="97">
        <v>0.8</v>
      </c>
      <c r="B64" s="98">
        <v>60</v>
      </c>
      <c r="C64" s="98">
        <v>29</v>
      </c>
      <c r="D64" s="98">
        <v>41</v>
      </c>
      <c r="E64" s="98">
        <v>50</v>
      </c>
      <c r="F64" s="98">
        <v>58</v>
      </c>
      <c r="G64" s="98">
        <v>64</v>
      </c>
      <c r="H64" s="98">
        <v>68</v>
      </c>
      <c r="I64" s="126">
        <v>71</v>
      </c>
      <c r="J64" s="98">
        <v>73</v>
      </c>
      <c r="K64" s="98">
        <v>73</v>
      </c>
      <c r="L64" s="98">
        <v>74</v>
      </c>
      <c r="M64" s="98">
        <v>74</v>
      </c>
      <c r="N64" s="98">
        <v>74</v>
      </c>
    </row>
    <row r="65" spans="1:16" ht="15.75" thickBot="1">
      <c r="A65" s="97">
        <v>0.7</v>
      </c>
      <c r="B65" s="98">
        <v>60</v>
      </c>
      <c r="C65" s="98">
        <v>26</v>
      </c>
      <c r="D65" s="98">
        <v>38</v>
      </c>
      <c r="E65" s="98">
        <v>48</v>
      </c>
      <c r="F65" s="98">
        <v>56</v>
      </c>
      <c r="G65" s="98">
        <v>63</v>
      </c>
      <c r="H65" s="98">
        <v>67</v>
      </c>
      <c r="I65" s="126">
        <v>69</v>
      </c>
      <c r="J65" s="98">
        <v>70</v>
      </c>
      <c r="K65" s="98">
        <v>71</v>
      </c>
      <c r="L65" s="98">
        <v>71</v>
      </c>
      <c r="M65" s="98">
        <v>71</v>
      </c>
      <c r="N65" s="98">
        <v>71</v>
      </c>
    </row>
    <row r="66" spans="1:16" ht="15.75" thickBot="1">
      <c r="A66" s="97">
        <v>0.6</v>
      </c>
      <c r="B66" s="98">
        <v>60</v>
      </c>
      <c r="C66" s="98">
        <v>23</v>
      </c>
      <c r="D66" s="98">
        <v>35</v>
      </c>
      <c r="E66" s="98">
        <v>45</v>
      </c>
      <c r="F66" s="98">
        <v>54</v>
      </c>
      <c r="G66" s="98">
        <v>60</v>
      </c>
      <c r="H66" s="98">
        <v>64</v>
      </c>
      <c r="I66" s="126">
        <v>66</v>
      </c>
      <c r="J66" s="98">
        <v>67</v>
      </c>
      <c r="K66" s="98">
        <v>67</v>
      </c>
      <c r="L66" s="98">
        <v>68</v>
      </c>
      <c r="M66" s="98">
        <v>68</v>
      </c>
      <c r="N66" s="98">
        <v>68</v>
      </c>
    </row>
    <row r="67" spans="1:16" ht="15.75" thickBot="1">
      <c r="A67" s="97">
        <v>0.5</v>
      </c>
      <c r="B67" s="98">
        <v>60</v>
      </c>
      <c r="C67" s="98">
        <v>19</v>
      </c>
      <c r="D67" s="98">
        <v>31</v>
      </c>
      <c r="E67" s="98">
        <v>41</v>
      </c>
      <c r="F67" s="98">
        <v>49</v>
      </c>
      <c r="G67" s="98">
        <v>56</v>
      </c>
      <c r="H67" s="98">
        <v>59</v>
      </c>
      <c r="I67" s="126">
        <v>61</v>
      </c>
      <c r="J67" s="98">
        <v>62</v>
      </c>
      <c r="K67" s="98">
        <v>63</v>
      </c>
      <c r="L67" s="98">
        <v>63</v>
      </c>
      <c r="M67" s="98">
        <v>63</v>
      </c>
      <c r="N67" s="98">
        <v>63</v>
      </c>
    </row>
    <row r="68" spans="1:16" ht="15.75" thickBot="1">
      <c r="A68" s="97">
        <v>0.4</v>
      </c>
      <c r="B68" s="98">
        <v>60</v>
      </c>
      <c r="C68" s="98">
        <v>16</v>
      </c>
      <c r="D68" s="98">
        <v>26</v>
      </c>
      <c r="E68" s="98">
        <v>35</v>
      </c>
      <c r="F68" s="98">
        <v>44</v>
      </c>
      <c r="G68" s="98">
        <v>50</v>
      </c>
      <c r="H68" s="98">
        <v>53</v>
      </c>
      <c r="I68" s="126">
        <v>55</v>
      </c>
      <c r="J68" s="98">
        <v>56</v>
      </c>
      <c r="K68" s="98">
        <v>57</v>
      </c>
      <c r="L68" s="98">
        <v>57</v>
      </c>
      <c r="M68" s="98">
        <v>57</v>
      </c>
      <c r="N68" s="98">
        <v>57</v>
      </c>
    </row>
    <row r="69" spans="1:16" ht="15.75" thickBot="1">
      <c r="A69" s="97">
        <v>0.3</v>
      </c>
      <c r="B69" s="98">
        <v>60</v>
      </c>
      <c r="C69" s="98">
        <v>12</v>
      </c>
      <c r="D69" s="98">
        <v>21</v>
      </c>
      <c r="E69" s="98">
        <v>29</v>
      </c>
      <c r="F69" s="98">
        <v>36</v>
      </c>
      <c r="G69" s="98">
        <v>42</v>
      </c>
      <c r="H69" s="98">
        <v>45</v>
      </c>
      <c r="I69" s="126">
        <v>47</v>
      </c>
      <c r="J69" s="98">
        <v>48</v>
      </c>
      <c r="K69" s="98">
        <v>48</v>
      </c>
      <c r="L69" s="98">
        <v>49</v>
      </c>
      <c r="M69" s="98">
        <v>49</v>
      </c>
      <c r="N69" s="98">
        <v>49</v>
      </c>
    </row>
    <row r="70" spans="1:16" ht="15.75" thickBot="1">
      <c r="A70" s="97">
        <v>0.2</v>
      </c>
      <c r="B70" s="98">
        <v>60</v>
      </c>
      <c r="C70" s="98">
        <v>8</v>
      </c>
      <c r="D70" s="98">
        <v>15</v>
      </c>
      <c r="E70" s="98">
        <v>21</v>
      </c>
      <c r="F70" s="98">
        <v>27</v>
      </c>
      <c r="G70" s="98">
        <v>31</v>
      </c>
      <c r="H70" s="98">
        <v>34</v>
      </c>
      <c r="I70" s="126">
        <v>36</v>
      </c>
      <c r="J70" s="98">
        <v>37</v>
      </c>
      <c r="K70" s="98">
        <v>37</v>
      </c>
      <c r="L70" s="98">
        <v>38</v>
      </c>
      <c r="M70" s="98">
        <v>38</v>
      </c>
      <c r="N70" s="98">
        <v>38</v>
      </c>
    </row>
    <row r="71" spans="1:16" ht="15.75" thickBot="1">
      <c r="A71" s="97">
        <v>0.1</v>
      </c>
      <c r="B71" s="98">
        <v>60</v>
      </c>
      <c r="C71" s="98">
        <v>4</v>
      </c>
      <c r="D71" s="98">
        <v>8</v>
      </c>
      <c r="E71" s="98">
        <v>11</v>
      </c>
      <c r="F71" s="98">
        <v>15</v>
      </c>
      <c r="G71" s="98">
        <v>18</v>
      </c>
      <c r="H71" s="98">
        <v>19</v>
      </c>
      <c r="I71" s="126">
        <v>21</v>
      </c>
      <c r="J71" s="98">
        <v>21</v>
      </c>
      <c r="K71" s="98">
        <v>22</v>
      </c>
      <c r="L71" s="98">
        <v>22</v>
      </c>
      <c r="M71" s="98">
        <v>22</v>
      </c>
      <c r="N71" s="98">
        <v>23</v>
      </c>
    </row>
    <row r="72" spans="1:16" ht="15.75" thickBot="1">
      <c r="A72" s="97">
        <v>0</v>
      </c>
      <c r="B72" s="98">
        <v>60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126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</row>
    <row r="73" spans="1:16" ht="15.75" thickBot="1">
      <c r="A73" s="99" t="s">
        <v>38</v>
      </c>
      <c r="B73" s="98">
        <v>60</v>
      </c>
      <c r="C73" s="98">
        <v>52</v>
      </c>
      <c r="D73" s="98">
        <v>47</v>
      </c>
      <c r="E73" s="98">
        <v>42</v>
      </c>
      <c r="F73" s="98">
        <v>37</v>
      </c>
      <c r="G73" s="98">
        <v>33</v>
      </c>
      <c r="H73" s="98">
        <v>30</v>
      </c>
      <c r="I73" s="126">
        <v>27</v>
      </c>
      <c r="J73" s="98">
        <v>24</v>
      </c>
      <c r="K73" s="98">
        <v>21</v>
      </c>
      <c r="L73" s="98">
        <v>19</v>
      </c>
      <c r="M73" s="98">
        <v>8</v>
      </c>
      <c r="N73" s="98">
        <v>3</v>
      </c>
    </row>
    <row r="75" spans="1:16">
      <c r="A75" s="206" t="s">
        <v>110</v>
      </c>
      <c r="B75" s="206"/>
      <c r="C75" s="206"/>
      <c r="D75" s="206"/>
      <c r="E75" s="206"/>
      <c r="F75" s="206"/>
      <c r="G75" s="206"/>
      <c r="H75" s="206"/>
      <c r="I75" s="206"/>
      <c r="J75" s="206"/>
      <c r="K75" s="206"/>
      <c r="L75" s="206"/>
      <c r="M75" s="206"/>
      <c r="N75" s="206"/>
      <c r="P75" s="120"/>
    </row>
    <row r="76" spans="1:16">
      <c r="A76" s="206"/>
      <c r="B76" s="206"/>
      <c r="C76" s="206"/>
      <c r="D76" s="206"/>
      <c r="E76" s="206"/>
      <c r="F76" s="206"/>
      <c r="G76" s="206"/>
      <c r="H76" s="206"/>
      <c r="I76" s="206"/>
      <c r="J76" s="206"/>
      <c r="K76" s="206"/>
      <c r="L76" s="206"/>
      <c r="M76" s="206"/>
      <c r="N76" s="206"/>
      <c r="P76" s="114"/>
    </row>
    <row r="77" spans="1:16">
      <c r="A77" s="206"/>
      <c r="B77" s="206"/>
      <c r="C77" s="206"/>
      <c r="D77" s="206"/>
      <c r="E77" s="206"/>
      <c r="F77" s="206"/>
      <c r="G77" s="206"/>
      <c r="H77" s="206"/>
      <c r="I77" s="206"/>
      <c r="J77" s="206"/>
      <c r="K77" s="206"/>
      <c r="L77" s="206"/>
      <c r="M77" s="206"/>
      <c r="N77" s="206"/>
      <c r="P77" s="127"/>
    </row>
    <row r="78" spans="1:16">
      <c r="A78" s="206"/>
      <c r="B78" s="206"/>
      <c r="C78" s="206"/>
      <c r="D78" s="206"/>
      <c r="E78" s="206"/>
      <c r="F78" s="206"/>
      <c r="G78" s="206"/>
      <c r="H78" s="206"/>
      <c r="I78" s="206"/>
      <c r="J78" s="206"/>
      <c r="K78" s="206"/>
      <c r="L78" s="206"/>
      <c r="M78" s="206"/>
      <c r="N78" s="206"/>
    </row>
  </sheetData>
  <mergeCells count="2">
    <mergeCell ref="A35:N37"/>
    <mergeCell ref="A75:N78"/>
  </mergeCells>
  <phoneticPr fontId="1"/>
  <conditionalFormatting sqref="C5:N17">
    <cfRule type="colorScale" priority="2">
      <colorScale>
        <cfvo type="num" val="0"/>
        <cfvo type="num" val="100"/>
        <color theme="0"/>
        <color rgb="FFFFC000"/>
      </colorScale>
    </cfRule>
  </conditionalFormatting>
  <conditionalFormatting sqref="C21:N33">
    <cfRule type="colorScale" priority="1">
      <colorScale>
        <cfvo type="num" val="0"/>
        <cfvo type="num" val="100"/>
        <color theme="0"/>
        <color rgb="FFFFC000"/>
      </colorScale>
    </cfRule>
  </conditionalFormatting>
  <conditionalFormatting sqref="C45:N57">
    <cfRule type="colorScale" priority="5">
      <colorScale>
        <cfvo type="min"/>
        <cfvo type="max"/>
        <color rgb="FFFCFCFF"/>
        <color rgb="FF00B0F0"/>
      </colorScale>
    </cfRule>
  </conditionalFormatting>
  <conditionalFormatting sqref="C61:N73">
    <cfRule type="colorScale" priority="3">
      <colorScale>
        <cfvo type="min"/>
        <cfvo type="max"/>
        <color rgb="FFFCFCFF"/>
        <color rgb="FF92D05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29FCB-07DB-4EDE-81A2-E3A0E85F94DB}">
  <dimension ref="A1:W31"/>
  <sheetViews>
    <sheetView zoomScale="89" zoomScaleNormal="89" workbookViewId="0">
      <selection activeCell="R18" sqref="R18"/>
    </sheetView>
  </sheetViews>
  <sheetFormatPr defaultColWidth="8.875" defaultRowHeight="13.5"/>
  <cols>
    <col min="1" max="1" width="12" style="1" customWidth="1"/>
    <col min="2" max="4" width="8.875" style="1"/>
    <col min="5" max="5" width="12.125" style="1" bestFit="1" customWidth="1"/>
    <col min="6" max="6" width="13" style="1" bestFit="1" customWidth="1"/>
    <col min="7" max="16384" width="8.875" style="1"/>
  </cols>
  <sheetData>
    <row r="1" spans="1:23">
      <c r="A1" s="40" t="s">
        <v>43</v>
      </c>
      <c r="B1" s="40"/>
      <c r="C1" s="40"/>
      <c r="D1" s="40"/>
      <c r="E1" s="40"/>
    </row>
    <row r="2" spans="1:23">
      <c r="A2" s="41" t="s">
        <v>44</v>
      </c>
      <c r="B2" s="42">
        <v>0</v>
      </c>
      <c r="C2" s="42">
        <v>1</v>
      </c>
      <c r="D2" s="42">
        <v>2</v>
      </c>
      <c r="E2" s="42" t="s">
        <v>45</v>
      </c>
    </row>
    <row r="3" spans="1:23">
      <c r="A3" s="1" t="s">
        <v>46</v>
      </c>
      <c r="B3" s="43">
        <v>26.2</v>
      </c>
      <c r="C3" s="43">
        <v>28.7</v>
      </c>
      <c r="D3" s="43">
        <v>34.4</v>
      </c>
      <c r="E3" s="43">
        <v>36.799999999999997</v>
      </c>
    </row>
    <row r="4" spans="1:23">
      <c r="A4" s="1" t="s">
        <v>47</v>
      </c>
      <c r="B4" s="44">
        <v>251</v>
      </c>
      <c r="C4" s="44">
        <v>330</v>
      </c>
      <c r="D4" s="44">
        <v>578</v>
      </c>
      <c r="E4" s="44">
        <v>714</v>
      </c>
    </row>
    <row r="5" spans="1:23">
      <c r="A5" s="1" t="s">
        <v>48</v>
      </c>
      <c r="B5" s="44">
        <v>0</v>
      </c>
      <c r="C5" s="47">
        <v>0.6</v>
      </c>
      <c r="D5" s="47">
        <v>0.85</v>
      </c>
      <c r="E5" s="44">
        <v>1</v>
      </c>
    </row>
    <row r="6" spans="1:23">
      <c r="A6" s="40" t="s">
        <v>49</v>
      </c>
      <c r="B6" s="88">
        <v>0.4</v>
      </c>
      <c r="C6" s="88">
        <v>0.4</v>
      </c>
      <c r="D6" s="88">
        <v>0.4</v>
      </c>
      <c r="E6" s="88">
        <v>0.4</v>
      </c>
    </row>
    <row r="8" spans="1:23">
      <c r="A8" s="40" t="s">
        <v>50</v>
      </c>
      <c r="B8" s="40"/>
      <c r="C8" s="40"/>
      <c r="D8" s="40"/>
      <c r="E8" s="40"/>
      <c r="F8" s="40"/>
      <c r="G8" s="40"/>
      <c r="H8" s="40"/>
      <c r="I8" s="40"/>
      <c r="J8" s="40"/>
      <c r="K8" s="40"/>
    </row>
    <row r="9" spans="1:23">
      <c r="A9" s="41" t="s">
        <v>51</v>
      </c>
      <c r="B9" s="83" t="s">
        <v>52</v>
      </c>
      <c r="C9" s="41">
        <v>2003</v>
      </c>
      <c r="D9" s="41">
        <v>2004</v>
      </c>
      <c r="E9" s="41">
        <v>2005</v>
      </c>
      <c r="F9" s="41">
        <v>2006</v>
      </c>
      <c r="G9" s="41">
        <v>2007</v>
      </c>
      <c r="H9" s="41">
        <v>2008</v>
      </c>
      <c r="I9" s="41">
        <v>2009</v>
      </c>
      <c r="J9" s="41">
        <v>2010</v>
      </c>
      <c r="K9" s="41">
        <v>2011</v>
      </c>
      <c r="L9" s="41">
        <v>2012</v>
      </c>
      <c r="M9" s="41">
        <v>2013</v>
      </c>
      <c r="N9" s="41">
        <v>2014</v>
      </c>
      <c r="O9" s="46">
        <v>2015</v>
      </c>
      <c r="P9" s="46">
        <v>2016</v>
      </c>
      <c r="Q9" s="46">
        <v>2017</v>
      </c>
      <c r="R9" s="46">
        <v>2018</v>
      </c>
      <c r="S9" s="46">
        <v>2019</v>
      </c>
      <c r="T9" s="46">
        <v>2020</v>
      </c>
      <c r="U9" s="46">
        <v>2021</v>
      </c>
      <c r="V9" s="46">
        <v>2022</v>
      </c>
    </row>
    <row r="10" spans="1:23">
      <c r="A10" s="1" t="s">
        <v>3</v>
      </c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6"/>
      <c r="P10" s="46"/>
      <c r="Q10" s="46"/>
      <c r="R10" s="46"/>
      <c r="S10" s="46"/>
      <c r="T10" s="46"/>
      <c r="U10" s="46"/>
      <c r="V10" s="46"/>
    </row>
    <row r="11" spans="1:23">
      <c r="A11" s="1" t="s">
        <v>53</v>
      </c>
      <c r="B11" s="84">
        <v>1</v>
      </c>
      <c r="C11" s="47">
        <v>23.61</v>
      </c>
      <c r="D11" s="47">
        <v>22.93</v>
      </c>
      <c r="E11" s="47">
        <v>17.420000000000002</v>
      </c>
      <c r="F11" s="47">
        <v>21.27</v>
      </c>
      <c r="G11" s="47">
        <v>15.49</v>
      </c>
      <c r="H11" s="47">
        <v>16.93</v>
      </c>
      <c r="I11" s="47">
        <v>19.010000000000002</v>
      </c>
      <c r="J11" s="47">
        <v>12.16</v>
      </c>
      <c r="K11" s="47">
        <v>11.83</v>
      </c>
      <c r="L11" s="47">
        <v>13.81</v>
      </c>
      <c r="M11" s="47">
        <v>14.91</v>
      </c>
      <c r="N11" s="47">
        <v>16.87</v>
      </c>
      <c r="O11" s="1">
        <v>9.25</v>
      </c>
      <c r="P11" s="1">
        <v>18.48</v>
      </c>
      <c r="Q11" s="1">
        <v>10.49</v>
      </c>
      <c r="R11" s="1">
        <v>12.72</v>
      </c>
      <c r="S11" s="1">
        <v>6.78</v>
      </c>
      <c r="T11" s="1">
        <v>13.06</v>
      </c>
      <c r="U11" s="1">
        <v>14.06</v>
      </c>
      <c r="V11" s="1">
        <v>6.29</v>
      </c>
    </row>
    <row r="12" spans="1:23">
      <c r="A12" s="1" t="s">
        <v>54</v>
      </c>
      <c r="B12" s="84">
        <v>2</v>
      </c>
      <c r="C12" s="47">
        <v>8.51</v>
      </c>
      <c r="D12" s="47">
        <v>7.56</v>
      </c>
      <c r="E12" s="47">
        <v>12.64</v>
      </c>
      <c r="F12" s="47">
        <v>12.6</v>
      </c>
      <c r="G12" s="47">
        <v>12.22</v>
      </c>
      <c r="H12" s="47">
        <v>6.91</v>
      </c>
      <c r="I12" s="47">
        <v>10.37</v>
      </c>
      <c r="J12" s="47">
        <v>10.5</v>
      </c>
      <c r="K12" s="47">
        <v>7.01</v>
      </c>
      <c r="L12" s="47">
        <v>9.36</v>
      </c>
      <c r="M12" s="47">
        <v>7.37</v>
      </c>
      <c r="N12" s="47">
        <v>5.05</v>
      </c>
      <c r="O12" s="1">
        <v>5.53</v>
      </c>
      <c r="P12" s="1">
        <v>7.79</v>
      </c>
      <c r="Q12" s="1">
        <v>4.93</v>
      </c>
      <c r="R12" s="48">
        <v>7.6</v>
      </c>
      <c r="S12" s="1">
        <v>7.68</v>
      </c>
      <c r="T12" s="1">
        <v>4.59</v>
      </c>
      <c r="U12" s="1">
        <v>2.92</v>
      </c>
      <c r="V12" s="1">
        <v>6.39</v>
      </c>
    </row>
    <row r="13" spans="1:23">
      <c r="A13" s="1" t="s">
        <v>55</v>
      </c>
      <c r="B13" s="84">
        <v>3</v>
      </c>
      <c r="C13" s="47">
        <v>3.11</v>
      </c>
      <c r="D13" s="47">
        <v>3.05</v>
      </c>
      <c r="E13" s="47">
        <v>4.99</v>
      </c>
      <c r="F13" s="47">
        <v>3.18</v>
      </c>
      <c r="G13" s="47">
        <v>4.0599999999999996</v>
      </c>
      <c r="H13" s="47">
        <v>2.34</v>
      </c>
      <c r="I13" s="47">
        <v>4.47</v>
      </c>
      <c r="J13" s="47">
        <v>1.54</v>
      </c>
      <c r="K13" s="47">
        <v>3.55</v>
      </c>
      <c r="L13" s="47">
        <v>3.8</v>
      </c>
      <c r="M13" s="47">
        <v>2.7</v>
      </c>
      <c r="N13" s="47">
        <v>2.39</v>
      </c>
      <c r="O13" s="1">
        <v>3.69</v>
      </c>
      <c r="P13" s="1">
        <v>1.99</v>
      </c>
      <c r="Q13" s="1">
        <v>2.93</v>
      </c>
      <c r="R13" s="1">
        <v>1.72</v>
      </c>
      <c r="S13" s="1">
        <v>3.32</v>
      </c>
      <c r="T13" s="1">
        <v>1.57</v>
      </c>
      <c r="U13" s="1">
        <v>2.36</v>
      </c>
      <c r="V13" s="48">
        <v>2.6</v>
      </c>
      <c r="W13" s="115"/>
    </row>
    <row r="14" spans="1:23">
      <c r="A14" s="1" t="s">
        <v>56</v>
      </c>
      <c r="B14" s="84">
        <v>4</v>
      </c>
      <c r="C14" s="47">
        <v>4.62</v>
      </c>
      <c r="D14" s="47">
        <v>1.93</v>
      </c>
      <c r="E14" s="47">
        <v>1.51</v>
      </c>
      <c r="F14" s="47">
        <v>2.15</v>
      </c>
      <c r="G14" s="47">
        <v>2.36</v>
      </c>
      <c r="H14" s="47">
        <v>1.0900000000000001</v>
      </c>
      <c r="I14" s="47">
        <v>2.25</v>
      </c>
      <c r="J14" s="47">
        <v>1.35</v>
      </c>
      <c r="K14" s="47">
        <v>1.88</v>
      </c>
      <c r="L14" s="47">
        <v>1.91</v>
      </c>
      <c r="M14" s="47">
        <v>1.06</v>
      </c>
      <c r="N14" s="47">
        <v>3.08</v>
      </c>
      <c r="O14" s="1">
        <v>2.61</v>
      </c>
      <c r="P14" s="1">
        <v>1.95</v>
      </c>
      <c r="Q14" s="1">
        <v>1.76</v>
      </c>
      <c r="R14" s="1">
        <v>1.71</v>
      </c>
      <c r="S14" s="1">
        <v>1.71</v>
      </c>
      <c r="T14" s="1">
        <v>1.87</v>
      </c>
      <c r="U14" s="1">
        <v>0.86</v>
      </c>
      <c r="V14" s="1">
        <v>1.85</v>
      </c>
    </row>
    <row r="15" spans="1:23">
      <c r="A15" s="1" t="s">
        <v>57</v>
      </c>
      <c r="B15" s="84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</row>
    <row r="16" spans="1:23">
      <c r="A16" s="1" t="s">
        <v>58</v>
      </c>
      <c r="B16" s="84">
        <v>5</v>
      </c>
      <c r="C16" s="47">
        <v>4.29</v>
      </c>
      <c r="D16" s="47">
        <v>1.87</v>
      </c>
      <c r="E16" s="47">
        <v>17.71</v>
      </c>
      <c r="F16" s="47">
        <v>5.17</v>
      </c>
      <c r="G16" s="47">
        <v>1.37</v>
      </c>
      <c r="H16" s="47">
        <v>6.11</v>
      </c>
      <c r="I16" s="47">
        <v>0.95</v>
      </c>
      <c r="J16" s="47">
        <v>9.2799999999999994</v>
      </c>
      <c r="K16" s="47">
        <v>6.08</v>
      </c>
      <c r="L16" s="47">
        <v>2.4300000000000002</v>
      </c>
      <c r="M16" s="47">
        <v>1.6</v>
      </c>
      <c r="N16" s="47">
        <v>1.1000000000000001</v>
      </c>
      <c r="O16" s="1">
        <v>3.48</v>
      </c>
      <c r="P16" s="1">
        <v>2.61</v>
      </c>
      <c r="Q16" s="48">
        <v>4.0999999999999996</v>
      </c>
      <c r="R16" s="48">
        <v>3.95</v>
      </c>
      <c r="S16" s="48">
        <v>1.3</v>
      </c>
      <c r="T16" s="48">
        <v>0.62</v>
      </c>
      <c r="U16" s="48">
        <v>2.96</v>
      </c>
      <c r="V16" s="48">
        <v>3.41</v>
      </c>
    </row>
    <row r="17" spans="1:22">
      <c r="A17" s="40" t="s">
        <v>59</v>
      </c>
      <c r="B17" s="85">
        <v>6</v>
      </c>
      <c r="C17" s="45">
        <v>7.42</v>
      </c>
      <c r="D17" s="45">
        <v>6.03</v>
      </c>
      <c r="E17" s="45">
        <v>5.83</v>
      </c>
      <c r="F17" s="45">
        <v>18.940000000000001</v>
      </c>
      <c r="G17" s="45">
        <v>10.78</v>
      </c>
      <c r="H17" s="45">
        <v>9.17</v>
      </c>
      <c r="I17" s="45">
        <v>10.43</v>
      </c>
      <c r="J17" s="45">
        <v>5.99</v>
      </c>
      <c r="K17" s="45">
        <v>14.94</v>
      </c>
      <c r="L17" s="45">
        <v>11.67</v>
      </c>
      <c r="M17" s="45">
        <v>9.27</v>
      </c>
      <c r="N17" s="45">
        <v>9.23</v>
      </c>
      <c r="O17" s="40">
        <v>13.66</v>
      </c>
      <c r="P17" s="40">
        <v>6.91</v>
      </c>
      <c r="Q17" s="40">
        <v>7.65</v>
      </c>
      <c r="R17" s="49">
        <v>10.199999999999999</v>
      </c>
      <c r="S17" s="40">
        <v>7.41</v>
      </c>
      <c r="T17" s="40">
        <v>5.97</v>
      </c>
      <c r="U17" s="40">
        <v>6.02</v>
      </c>
      <c r="V17" s="40">
        <v>3.53</v>
      </c>
    </row>
    <row r="19" spans="1:22">
      <c r="A19" s="1" t="s">
        <v>60</v>
      </c>
    </row>
    <row r="20" spans="1:22">
      <c r="A20" s="207" t="s">
        <v>61</v>
      </c>
      <c r="B20" s="46" t="s">
        <v>62</v>
      </c>
      <c r="C20" s="46" t="s">
        <v>63</v>
      </c>
      <c r="D20" s="46" t="s">
        <v>38</v>
      </c>
      <c r="E20" s="46" t="s">
        <v>64</v>
      </c>
      <c r="F20" s="46" t="s">
        <v>65</v>
      </c>
      <c r="G20" s="46" t="s">
        <v>66</v>
      </c>
      <c r="I20" s="121"/>
    </row>
    <row r="21" spans="1:22">
      <c r="A21" s="208"/>
      <c r="B21" s="40" t="s">
        <v>67</v>
      </c>
      <c r="C21" s="40" t="s">
        <v>68</v>
      </c>
      <c r="D21" s="40" t="s">
        <v>69</v>
      </c>
      <c r="E21" s="40"/>
      <c r="F21" s="40"/>
      <c r="G21" s="40"/>
      <c r="I21" s="8"/>
    </row>
    <row r="22" spans="1:22">
      <c r="A22" s="1" t="s">
        <v>53</v>
      </c>
      <c r="B22" s="1">
        <v>0.76</v>
      </c>
      <c r="C22" s="1">
        <v>0.36</v>
      </c>
      <c r="D22" s="1">
        <v>0.56000000000000005</v>
      </c>
      <c r="E22" s="1">
        <v>238</v>
      </c>
      <c r="F22" s="86">
        <v>0.4</v>
      </c>
      <c r="G22" s="48">
        <v>0</v>
      </c>
    </row>
    <row r="23" spans="1:22">
      <c r="A23" s="1" t="s">
        <v>54</v>
      </c>
      <c r="B23" s="48">
        <v>1</v>
      </c>
      <c r="C23" s="1">
        <v>0.47</v>
      </c>
      <c r="D23" s="48">
        <v>0.73</v>
      </c>
      <c r="E23" s="1">
        <v>354</v>
      </c>
      <c r="F23" s="86">
        <v>0.4</v>
      </c>
      <c r="G23" s="48">
        <v>0.6</v>
      </c>
    </row>
    <row r="24" spans="1:22">
      <c r="A24" s="1" t="s">
        <v>55</v>
      </c>
      <c r="B24" s="1">
        <v>1.41</v>
      </c>
      <c r="C24" s="1">
        <v>0.66</v>
      </c>
      <c r="D24" s="1">
        <v>1.04</v>
      </c>
      <c r="E24" s="1">
        <v>542</v>
      </c>
      <c r="F24" s="86">
        <v>0.4</v>
      </c>
      <c r="G24" s="48">
        <v>0.85</v>
      </c>
    </row>
    <row r="25" spans="1:22">
      <c r="A25" s="40" t="s">
        <v>56</v>
      </c>
      <c r="B25" s="40">
        <v>1.41</v>
      </c>
      <c r="C25" s="40">
        <v>0.66</v>
      </c>
      <c r="D25" s="40">
        <v>1.04</v>
      </c>
      <c r="E25" s="40">
        <v>709</v>
      </c>
      <c r="F25" s="87">
        <v>0.4</v>
      </c>
      <c r="G25" s="49">
        <v>1</v>
      </c>
    </row>
    <row r="26" spans="1:22">
      <c r="A26" s="1" t="s">
        <v>70</v>
      </c>
    </row>
    <row r="27" spans="1:22">
      <c r="A27" s="1" t="s">
        <v>71</v>
      </c>
    </row>
    <row r="28" spans="1:22">
      <c r="A28" s="1" t="s">
        <v>72</v>
      </c>
    </row>
    <row r="30" spans="1:22">
      <c r="A30" s="121"/>
    </row>
    <row r="31" spans="1:22">
      <c r="A31" s="8"/>
    </row>
  </sheetData>
  <mergeCells count="1">
    <mergeCell ref="A20:A21"/>
  </mergeCells>
  <phoneticPr fontId="1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FA390-A189-4AF4-A060-3C5DAE91E040}">
  <dimension ref="A1:G4"/>
  <sheetViews>
    <sheetView workbookViewId="0">
      <selection activeCell="R18" sqref="R18"/>
    </sheetView>
  </sheetViews>
  <sheetFormatPr defaultColWidth="8.875" defaultRowHeight="13.5"/>
  <cols>
    <col min="1" max="1" width="17.875" style="142" customWidth="1"/>
    <col min="2" max="2" width="12.125" style="142" customWidth="1"/>
    <col min="3" max="7" width="8.875" style="142"/>
  </cols>
  <sheetData>
    <row r="1" spans="1:7" ht="14.25" thickBot="1">
      <c r="A1" s="1" t="s">
        <v>160</v>
      </c>
    </row>
    <row r="2" spans="1:7" ht="20.25" customHeight="1" thickBot="1">
      <c r="A2" s="151" t="s">
        <v>130</v>
      </c>
      <c r="B2" s="152" t="s">
        <v>131</v>
      </c>
      <c r="C2" s="152" t="s">
        <v>132</v>
      </c>
      <c r="D2" s="153" t="s">
        <v>133</v>
      </c>
      <c r="E2" s="153" t="s">
        <v>134</v>
      </c>
      <c r="F2" s="153" t="s">
        <v>135</v>
      </c>
      <c r="G2" s="153" t="s">
        <v>136</v>
      </c>
    </row>
    <row r="3" spans="1:7" ht="20.25" customHeight="1" thickBot="1">
      <c r="A3" s="154" t="s">
        <v>137</v>
      </c>
      <c r="B3" s="155" t="s">
        <v>138</v>
      </c>
      <c r="C3" s="156" t="s">
        <v>139</v>
      </c>
      <c r="D3" s="157">
        <v>4.9300000000000004E-3</v>
      </c>
      <c r="E3" s="158">
        <v>84900</v>
      </c>
      <c r="F3" s="159">
        <v>0.33</v>
      </c>
      <c r="G3" s="159" t="s">
        <v>140</v>
      </c>
    </row>
    <row r="4" spans="1:7" s="142" customFormat="1">
      <c r="A4" s="142" t="s">
        <v>162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4972B-978B-4247-A177-C3504728E5B0}">
  <dimension ref="A1:C9"/>
  <sheetViews>
    <sheetView workbookViewId="0">
      <selection activeCell="D27" sqref="D27"/>
    </sheetView>
  </sheetViews>
  <sheetFormatPr defaultColWidth="8.875" defaultRowHeight="13.5"/>
  <cols>
    <col min="1" max="2" width="10.25" style="142" customWidth="1"/>
    <col min="3" max="3" width="45" style="142" customWidth="1"/>
  </cols>
  <sheetData>
    <row r="1" spans="1:3" ht="14.25" thickBot="1">
      <c r="A1" s="1" t="s">
        <v>161</v>
      </c>
    </row>
    <row r="2" spans="1:3" ht="19.5" customHeight="1" thickBot="1">
      <c r="A2" s="151" t="s">
        <v>141</v>
      </c>
      <c r="B2" s="152" t="s">
        <v>142</v>
      </c>
      <c r="C2" s="152" t="s">
        <v>143</v>
      </c>
    </row>
    <row r="3" spans="1:3" ht="34.5" customHeight="1" thickBot="1">
      <c r="A3" s="160" t="s">
        <v>144</v>
      </c>
      <c r="B3" s="159" t="s">
        <v>145</v>
      </c>
      <c r="C3" s="161" t="s">
        <v>146</v>
      </c>
    </row>
    <row r="4" spans="1:3" ht="34.5" customHeight="1" thickBot="1">
      <c r="A4" s="160" t="s">
        <v>147</v>
      </c>
      <c r="B4" s="159" t="s">
        <v>148</v>
      </c>
      <c r="C4" s="161" t="s">
        <v>149</v>
      </c>
    </row>
    <row r="5" spans="1:3" ht="34.5" customHeight="1" thickBot="1">
      <c r="A5" s="162" t="s">
        <v>150</v>
      </c>
      <c r="B5" s="163" t="s">
        <v>151</v>
      </c>
      <c r="C5" s="161" t="s">
        <v>152</v>
      </c>
    </row>
    <row r="6" spans="1:3" ht="19.5" customHeight="1">
      <c r="A6" s="209" t="s">
        <v>63</v>
      </c>
      <c r="B6" s="211" t="s">
        <v>153</v>
      </c>
      <c r="C6" s="212"/>
    </row>
    <row r="7" spans="1:3" ht="19.5" customHeight="1" thickBot="1">
      <c r="A7" s="210"/>
      <c r="B7" s="213" t="s">
        <v>154</v>
      </c>
      <c r="C7" s="214"/>
    </row>
    <row r="8" spans="1:3" ht="34.5" customHeight="1" thickBot="1">
      <c r="A8" s="160" t="s">
        <v>155</v>
      </c>
      <c r="B8" s="164">
        <v>0.26</v>
      </c>
      <c r="C8" s="165" t="s">
        <v>156</v>
      </c>
    </row>
    <row r="9" spans="1:3" ht="24.75" customHeight="1" thickBot="1">
      <c r="A9" s="160" t="s">
        <v>157</v>
      </c>
      <c r="B9" s="159" t="s">
        <v>158</v>
      </c>
      <c r="C9" s="161" t="s">
        <v>159</v>
      </c>
    </row>
  </sheetData>
  <mergeCells count="3">
    <mergeCell ref="A6:A7"/>
    <mergeCell ref="B6:C6"/>
    <mergeCell ref="B7:C7"/>
  </mergeCells>
  <phoneticPr fontId="1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1805B-9DE4-4746-985C-E346A3D387CD}">
  <dimension ref="A1:C17"/>
  <sheetViews>
    <sheetView topLeftCell="A6" workbookViewId="0">
      <selection activeCell="R18" sqref="R18"/>
    </sheetView>
  </sheetViews>
  <sheetFormatPr defaultColWidth="8.875" defaultRowHeight="13.5"/>
  <cols>
    <col min="1" max="2" width="13.75" style="142" customWidth="1"/>
    <col min="3" max="3" width="52.5" style="142" customWidth="1"/>
  </cols>
  <sheetData>
    <row r="1" spans="1:3" ht="14.25" thickBot="1">
      <c r="A1" s="1" t="s">
        <v>187</v>
      </c>
    </row>
    <row r="2" spans="1:3" ht="25.5" customHeight="1" thickBot="1">
      <c r="A2" s="166" t="s">
        <v>141</v>
      </c>
      <c r="B2" s="167" t="s">
        <v>142</v>
      </c>
      <c r="C2" s="167" t="s">
        <v>143</v>
      </c>
    </row>
    <row r="3" spans="1:3" ht="30" customHeight="1" thickBot="1">
      <c r="A3" s="160" t="s">
        <v>163</v>
      </c>
      <c r="B3" s="159" t="s">
        <v>164</v>
      </c>
      <c r="C3" s="168" t="s">
        <v>165</v>
      </c>
    </row>
    <row r="4" spans="1:3" ht="16.5" customHeight="1">
      <c r="A4" s="209" t="s">
        <v>166</v>
      </c>
      <c r="B4" s="219" t="s">
        <v>167</v>
      </c>
      <c r="C4" s="220"/>
    </row>
    <row r="5" spans="1:3" ht="16.5" customHeight="1" thickBot="1">
      <c r="A5" s="210"/>
      <c r="B5" s="221" t="s">
        <v>168</v>
      </c>
      <c r="C5" s="222"/>
    </row>
    <row r="6" spans="1:3" ht="33.75" customHeight="1" thickBot="1">
      <c r="A6" s="160" t="s">
        <v>169</v>
      </c>
      <c r="B6" s="164">
        <v>0.44</v>
      </c>
      <c r="C6" s="169" t="s">
        <v>170</v>
      </c>
    </row>
    <row r="7" spans="1:3" ht="33.75" customHeight="1" thickBot="1">
      <c r="A7" s="160" t="s">
        <v>171</v>
      </c>
      <c r="B7" s="164">
        <v>0.17</v>
      </c>
      <c r="C7" s="168" t="s">
        <v>172</v>
      </c>
    </row>
    <row r="8" spans="1:3" ht="33.75" customHeight="1" thickBot="1">
      <c r="A8" s="160" t="s">
        <v>171</v>
      </c>
      <c r="B8" s="164">
        <v>0.17</v>
      </c>
      <c r="C8" s="170" t="s">
        <v>173</v>
      </c>
    </row>
    <row r="9" spans="1:3" ht="27" customHeight="1" thickBot="1">
      <c r="A9" s="223" t="s">
        <v>174</v>
      </c>
      <c r="B9" s="224"/>
      <c r="C9" s="225"/>
    </row>
    <row r="10" spans="1:3" ht="15" customHeight="1">
      <c r="A10" s="171" t="s">
        <v>175</v>
      </c>
      <c r="B10" s="226">
        <v>0.46</v>
      </c>
      <c r="C10" s="228" t="s">
        <v>176</v>
      </c>
    </row>
    <row r="11" spans="1:3" ht="15" customHeight="1" thickBot="1">
      <c r="A11" s="160" t="s">
        <v>177</v>
      </c>
      <c r="B11" s="227"/>
      <c r="C11" s="229"/>
    </row>
    <row r="12" spans="1:3" ht="31.5" customHeight="1" thickBot="1">
      <c r="A12" s="160" t="s">
        <v>178</v>
      </c>
      <c r="B12" s="198">
        <v>1.4</v>
      </c>
      <c r="C12" s="170" t="s">
        <v>179</v>
      </c>
    </row>
    <row r="13" spans="1:3" ht="31.5" customHeight="1" thickBot="1">
      <c r="A13" s="154" t="s">
        <v>180</v>
      </c>
      <c r="B13" s="215" t="s">
        <v>181</v>
      </c>
      <c r="C13" s="216"/>
    </row>
    <row r="14" spans="1:3" ht="31.5" customHeight="1" thickBot="1">
      <c r="A14" s="154" t="s">
        <v>182</v>
      </c>
      <c r="B14" s="215" t="s">
        <v>183</v>
      </c>
      <c r="C14" s="216"/>
    </row>
    <row r="15" spans="1:3" ht="31.5" customHeight="1" thickBot="1">
      <c r="A15" s="154" t="s">
        <v>184</v>
      </c>
      <c r="B15" s="217" t="s">
        <v>185</v>
      </c>
      <c r="C15" s="218"/>
    </row>
    <row r="16" spans="1:3">
      <c r="A16" s="142" t="s">
        <v>186</v>
      </c>
    </row>
    <row r="17" spans="1:1">
      <c r="A17" s="173"/>
    </row>
  </sheetData>
  <mergeCells count="9">
    <mergeCell ref="B13:C13"/>
    <mergeCell ref="B14:C14"/>
    <mergeCell ref="B15:C15"/>
    <mergeCell ref="A4:A5"/>
    <mergeCell ref="B4:C4"/>
    <mergeCell ref="B5:C5"/>
    <mergeCell ref="A9:C9"/>
    <mergeCell ref="B10:B11"/>
    <mergeCell ref="C10:C11"/>
  </mergeCells>
  <phoneticPr fontId="1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85523-FBB7-485B-8AFC-0516E546B345}">
  <dimension ref="A1:D10"/>
  <sheetViews>
    <sheetView workbookViewId="0">
      <selection activeCell="R18" sqref="R18"/>
    </sheetView>
  </sheetViews>
  <sheetFormatPr defaultColWidth="8.875" defaultRowHeight="13.5"/>
  <cols>
    <col min="1" max="4" width="16.625" style="142" customWidth="1"/>
  </cols>
  <sheetData>
    <row r="1" spans="1:4" ht="14.25" thickBot="1">
      <c r="A1" s="1" t="s">
        <v>191</v>
      </c>
    </row>
    <row r="2" spans="1:4">
      <c r="A2" s="174" t="s">
        <v>125</v>
      </c>
      <c r="B2" s="175" t="s">
        <v>188</v>
      </c>
      <c r="C2" s="176" t="s">
        <v>126</v>
      </c>
      <c r="D2" s="175" t="s">
        <v>125</v>
      </c>
    </row>
    <row r="3" spans="1:4">
      <c r="A3" s="177" t="s">
        <v>124</v>
      </c>
      <c r="B3" s="178" t="s">
        <v>123</v>
      </c>
      <c r="C3" s="178" t="s">
        <v>122</v>
      </c>
      <c r="D3" s="178" t="s">
        <v>224</v>
      </c>
    </row>
    <row r="4" spans="1:4" ht="14.25" thickBot="1">
      <c r="A4" s="179" t="s">
        <v>31</v>
      </c>
      <c r="B4" s="180" t="s">
        <v>31</v>
      </c>
      <c r="C4" s="180" t="s">
        <v>120</v>
      </c>
      <c r="D4" s="181"/>
    </row>
    <row r="5" spans="1:4" ht="14.25" thickBot="1">
      <c r="A5" s="172">
        <v>33</v>
      </c>
      <c r="B5" s="159">
        <v>48</v>
      </c>
      <c r="C5" s="159">
        <v>0.54</v>
      </c>
      <c r="D5" s="159">
        <v>27</v>
      </c>
    </row>
    <row r="6" spans="1:4">
      <c r="A6" s="230" t="s">
        <v>119</v>
      </c>
      <c r="B6" s="231"/>
      <c r="C6" s="231"/>
      <c r="D6" s="232"/>
    </row>
    <row r="7" spans="1:4" ht="48.75" customHeight="1">
      <c r="A7" s="233" t="s">
        <v>118</v>
      </c>
      <c r="B7" s="234"/>
      <c r="C7" s="234"/>
      <c r="D7" s="235"/>
    </row>
    <row r="8" spans="1:4">
      <c r="A8" s="233" t="s">
        <v>189</v>
      </c>
      <c r="B8" s="234"/>
      <c r="C8" s="234"/>
      <c r="D8" s="235"/>
    </row>
    <row r="9" spans="1:4">
      <c r="A9" s="233" t="s">
        <v>116</v>
      </c>
      <c r="B9" s="234"/>
      <c r="C9" s="234"/>
      <c r="D9" s="235"/>
    </row>
    <row r="10" spans="1:4" ht="14.25" thickBot="1">
      <c r="A10" s="236" t="s">
        <v>190</v>
      </c>
      <c r="B10" s="237"/>
      <c r="C10" s="237"/>
      <c r="D10" s="238"/>
    </row>
  </sheetData>
  <mergeCells count="5">
    <mergeCell ref="A6:D6"/>
    <mergeCell ref="A7:D7"/>
    <mergeCell ref="A8:D8"/>
    <mergeCell ref="A9:D9"/>
    <mergeCell ref="A10:D10"/>
  </mergeCells>
  <phoneticPr fontId="1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C9718-6E3B-45BB-A1EA-191ABB27E60F}">
  <dimension ref="A1:L13"/>
  <sheetViews>
    <sheetView workbookViewId="0">
      <selection activeCell="R18" sqref="R18"/>
    </sheetView>
  </sheetViews>
  <sheetFormatPr defaultColWidth="8.875" defaultRowHeight="13.5"/>
  <cols>
    <col min="1" max="1" width="9.5" style="142" customWidth="1"/>
    <col min="2" max="3" width="12.375" style="142" customWidth="1"/>
    <col min="4" max="9" width="9" style="142"/>
    <col min="10" max="11" width="12.875" style="142" customWidth="1"/>
    <col min="12" max="12" width="13.625" style="142" customWidth="1"/>
  </cols>
  <sheetData>
    <row r="1" spans="1:12" ht="14.25" thickBot="1">
      <c r="A1" s="1" t="s">
        <v>222</v>
      </c>
      <c r="I1" s="1" t="s">
        <v>223</v>
      </c>
    </row>
    <row r="2" spans="1:12" ht="14.25" thickBot="1">
      <c r="A2" s="239" t="s">
        <v>192</v>
      </c>
      <c r="B2" s="240"/>
      <c r="C2" s="240"/>
      <c r="D2" s="240"/>
      <c r="E2" s="240"/>
      <c r="F2" s="243"/>
      <c r="I2" s="239" t="s">
        <v>193</v>
      </c>
      <c r="J2" s="240"/>
      <c r="K2" s="240"/>
      <c r="L2" s="244"/>
    </row>
    <row r="3" spans="1:12" ht="14.25" thickBot="1">
      <c r="A3" s="245" t="s">
        <v>141</v>
      </c>
      <c r="B3" s="177" t="s">
        <v>194</v>
      </c>
      <c r="C3" s="182">
        <v>0.9</v>
      </c>
      <c r="D3" s="248" t="s">
        <v>195</v>
      </c>
      <c r="E3" s="249"/>
      <c r="F3" s="250"/>
      <c r="I3" s="183"/>
      <c r="J3" s="251" t="s">
        <v>196</v>
      </c>
      <c r="K3" s="252"/>
      <c r="L3" s="253"/>
    </row>
    <row r="4" spans="1:12" ht="14.25" thickBot="1">
      <c r="A4" s="246"/>
      <c r="B4" s="184" t="s">
        <v>197</v>
      </c>
      <c r="C4" s="185" t="s">
        <v>198</v>
      </c>
      <c r="D4" s="254" t="s">
        <v>199</v>
      </c>
      <c r="E4" s="255"/>
      <c r="F4" s="256"/>
      <c r="I4" s="186"/>
      <c r="J4" s="187" t="s">
        <v>144</v>
      </c>
      <c r="K4" s="187" t="s">
        <v>147</v>
      </c>
      <c r="L4" s="187" t="s">
        <v>150</v>
      </c>
    </row>
    <row r="5" spans="1:12" ht="14.25" thickBot="1">
      <c r="A5" s="247"/>
      <c r="B5" s="188" t="s">
        <v>31</v>
      </c>
      <c r="C5" s="189" t="s">
        <v>31</v>
      </c>
      <c r="D5" s="190" t="s">
        <v>144</v>
      </c>
      <c r="E5" s="191" t="s">
        <v>147</v>
      </c>
      <c r="F5" s="153" t="s">
        <v>150</v>
      </c>
      <c r="I5" s="239" t="s">
        <v>200</v>
      </c>
      <c r="J5" s="240"/>
      <c r="K5" s="240"/>
      <c r="L5" s="243"/>
    </row>
    <row r="6" spans="1:12" ht="14.25" thickBot="1">
      <c r="A6" s="239" t="s">
        <v>201</v>
      </c>
      <c r="B6" s="240"/>
      <c r="C6" s="240"/>
      <c r="D6" s="241"/>
      <c r="E6" s="241"/>
      <c r="F6" s="242"/>
      <c r="I6" s="192" t="s">
        <v>202</v>
      </c>
      <c r="J6" s="193" t="s">
        <v>203</v>
      </c>
      <c r="K6" s="194" t="s">
        <v>204</v>
      </c>
      <c r="L6" s="194" t="s">
        <v>205</v>
      </c>
    </row>
    <row r="7" spans="1:12" ht="14.25" thickBot="1">
      <c r="A7" s="192" t="s">
        <v>206</v>
      </c>
      <c r="B7" s="199">
        <v>104</v>
      </c>
      <c r="C7" s="195" t="s">
        <v>207</v>
      </c>
      <c r="D7" s="197">
        <v>41</v>
      </c>
      <c r="E7" s="197">
        <v>99</v>
      </c>
      <c r="F7" s="197">
        <v>100</v>
      </c>
      <c r="I7" s="239" t="s">
        <v>208</v>
      </c>
      <c r="J7" s="240"/>
      <c r="K7" s="240"/>
      <c r="L7" s="243"/>
    </row>
    <row r="8" spans="1:12" ht="14.25" thickBot="1">
      <c r="A8" s="239" t="s">
        <v>208</v>
      </c>
      <c r="B8" s="240"/>
      <c r="C8" s="240"/>
      <c r="D8" s="240"/>
      <c r="E8" s="240"/>
      <c r="F8" s="243"/>
      <c r="I8" s="196" t="s">
        <v>209</v>
      </c>
      <c r="J8" s="193" t="s">
        <v>210</v>
      </c>
      <c r="K8" s="194" t="s">
        <v>204</v>
      </c>
      <c r="L8" s="194" t="s">
        <v>205</v>
      </c>
    </row>
    <row r="9" spans="1:12" ht="14.25" thickBot="1">
      <c r="A9" s="193" t="s">
        <v>209</v>
      </c>
      <c r="B9" s="197">
        <v>96</v>
      </c>
      <c r="C9" s="195" t="s">
        <v>211</v>
      </c>
      <c r="D9" s="197">
        <v>30</v>
      </c>
      <c r="E9" s="197">
        <v>98</v>
      </c>
      <c r="F9" s="197">
        <v>100</v>
      </c>
      <c r="I9" s="196" t="s">
        <v>212</v>
      </c>
      <c r="J9" s="193" t="s">
        <v>194</v>
      </c>
      <c r="K9" s="194" t="s">
        <v>204</v>
      </c>
      <c r="L9" s="194" t="s">
        <v>205</v>
      </c>
    </row>
    <row r="10" spans="1:12" ht="14.25" thickBot="1">
      <c r="A10" s="193" t="s">
        <v>212</v>
      </c>
      <c r="B10" s="197">
        <v>111</v>
      </c>
      <c r="C10" s="195" t="s">
        <v>213</v>
      </c>
      <c r="D10" s="197">
        <v>53</v>
      </c>
      <c r="E10" s="197">
        <v>100</v>
      </c>
      <c r="F10" s="197">
        <v>100</v>
      </c>
      <c r="I10" s="196" t="s">
        <v>214</v>
      </c>
      <c r="J10" s="193" t="s">
        <v>215</v>
      </c>
      <c r="K10" s="194" t="s">
        <v>204</v>
      </c>
      <c r="L10" s="194" t="s">
        <v>205</v>
      </c>
    </row>
    <row r="11" spans="1:12" ht="14.25" thickBot="1">
      <c r="A11" s="193" t="s">
        <v>214</v>
      </c>
      <c r="B11" s="197">
        <v>127</v>
      </c>
      <c r="C11" s="195" t="s">
        <v>216</v>
      </c>
      <c r="D11" s="197">
        <v>76</v>
      </c>
      <c r="E11" s="197">
        <v>100</v>
      </c>
      <c r="F11" s="197">
        <v>100</v>
      </c>
      <c r="I11" s="196" t="s">
        <v>217</v>
      </c>
      <c r="J11" s="193" t="s">
        <v>218</v>
      </c>
      <c r="K11" s="194" t="s">
        <v>204</v>
      </c>
      <c r="L11" s="194" t="s">
        <v>205</v>
      </c>
    </row>
    <row r="12" spans="1:12" ht="14.25" thickBot="1">
      <c r="A12" s="193" t="s">
        <v>217</v>
      </c>
      <c r="B12" s="197">
        <v>359</v>
      </c>
      <c r="C12" s="195" t="s">
        <v>219</v>
      </c>
      <c r="D12" s="197">
        <v>100</v>
      </c>
      <c r="E12" s="197">
        <v>100</v>
      </c>
      <c r="F12" s="197">
        <v>100</v>
      </c>
      <c r="I12" s="196" t="s">
        <v>166</v>
      </c>
      <c r="J12" s="193" t="s">
        <v>210</v>
      </c>
      <c r="K12" s="194" t="s">
        <v>220</v>
      </c>
      <c r="L12" s="194" t="s">
        <v>205</v>
      </c>
    </row>
    <row r="13" spans="1:12" ht="14.25" thickBot="1">
      <c r="A13" s="193" t="s">
        <v>166</v>
      </c>
      <c r="B13" s="197">
        <v>24</v>
      </c>
      <c r="C13" s="195" t="s">
        <v>221</v>
      </c>
      <c r="D13" s="197">
        <v>0</v>
      </c>
      <c r="E13" s="197">
        <v>4</v>
      </c>
      <c r="F13" s="197">
        <v>99</v>
      </c>
    </row>
  </sheetData>
  <mergeCells count="10">
    <mergeCell ref="A6:F6"/>
    <mergeCell ref="I7:L7"/>
    <mergeCell ref="A8:F8"/>
    <mergeCell ref="A2:F2"/>
    <mergeCell ref="I2:L2"/>
    <mergeCell ref="A3:A5"/>
    <mergeCell ref="D3:F3"/>
    <mergeCell ref="J3:L3"/>
    <mergeCell ref="D4:F4"/>
    <mergeCell ref="I5:L5"/>
  </mergeCells>
  <phoneticPr fontId="1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B6CE8-8876-8F45-8670-3ECE2AE5187C}">
  <dimension ref="A1:M68"/>
  <sheetViews>
    <sheetView topLeftCell="A20" workbookViewId="0">
      <selection activeCell="R18" sqref="R18"/>
    </sheetView>
  </sheetViews>
  <sheetFormatPr defaultColWidth="11" defaultRowHeight="13.5"/>
  <cols>
    <col min="1" max="1" width="11" style="1"/>
    <col min="2" max="12" width="8.875" style="1" customWidth="1"/>
    <col min="13" max="13" width="11" style="1"/>
  </cols>
  <sheetData>
    <row r="1" spans="1:13">
      <c r="A1" s="1" t="s">
        <v>73</v>
      </c>
    </row>
    <row r="2" spans="1:13" ht="15.75" thickBot="1">
      <c r="A2" s="101" t="s">
        <v>74</v>
      </c>
    </row>
    <row r="3" spans="1:13" ht="14.25" thickBot="1">
      <c r="A3" s="102" t="s">
        <v>75</v>
      </c>
      <c r="B3" s="103">
        <v>2022</v>
      </c>
      <c r="C3" s="103">
        <v>2023</v>
      </c>
      <c r="D3" s="103">
        <v>2024</v>
      </c>
      <c r="E3" s="103">
        <v>2025</v>
      </c>
      <c r="F3" s="103">
        <v>2026</v>
      </c>
      <c r="G3" s="103">
        <v>2027</v>
      </c>
      <c r="H3" s="103">
        <v>2028</v>
      </c>
      <c r="I3" s="103">
        <v>2029</v>
      </c>
      <c r="J3" s="103">
        <v>2030</v>
      </c>
      <c r="K3" s="103">
        <v>2031</v>
      </c>
      <c r="L3" s="103">
        <v>2032</v>
      </c>
    </row>
    <row r="4" spans="1:13" ht="14.25" thickBot="1">
      <c r="A4" s="104" t="s">
        <v>53</v>
      </c>
      <c r="B4" s="105">
        <v>0.86</v>
      </c>
      <c r="C4" s="105">
        <v>0.56000000000000005</v>
      </c>
      <c r="D4" s="129">
        <v>0.3</v>
      </c>
      <c r="E4" s="130">
        <v>0.33</v>
      </c>
      <c r="F4" s="105">
        <v>0.34</v>
      </c>
      <c r="G4" s="105">
        <v>0.34</v>
      </c>
      <c r="H4" s="105">
        <v>0.34</v>
      </c>
      <c r="I4" s="105">
        <v>0.34</v>
      </c>
      <c r="J4" s="105">
        <v>0.34</v>
      </c>
      <c r="K4" s="105">
        <v>0.34</v>
      </c>
      <c r="L4" s="105">
        <v>0.34</v>
      </c>
      <c r="M4" s="121"/>
    </row>
    <row r="5" spans="1:13" ht="14.25" thickBot="1">
      <c r="A5" s="104" t="s">
        <v>54</v>
      </c>
      <c r="B5" s="105">
        <v>0.75</v>
      </c>
      <c r="C5" s="105">
        <v>0.73</v>
      </c>
      <c r="D5" s="129">
        <v>0.4</v>
      </c>
      <c r="E5" s="130">
        <v>0.43</v>
      </c>
      <c r="F5" s="105">
        <v>0.44</v>
      </c>
      <c r="G5" s="105">
        <v>0.44</v>
      </c>
      <c r="H5" s="105">
        <v>0.45</v>
      </c>
      <c r="I5" s="105">
        <v>0.45</v>
      </c>
      <c r="J5" s="105">
        <v>0.45</v>
      </c>
      <c r="K5" s="105">
        <v>0.45</v>
      </c>
      <c r="L5" s="105">
        <v>0.45</v>
      </c>
      <c r="M5" s="8"/>
    </row>
    <row r="6" spans="1:13" ht="14.25" thickBot="1">
      <c r="A6" s="104" t="s">
        <v>55</v>
      </c>
      <c r="B6" s="105">
        <v>0.27</v>
      </c>
      <c r="C6" s="105">
        <v>1.04</v>
      </c>
      <c r="D6" s="130">
        <v>0.56000000000000005</v>
      </c>
      <c r="E6" s="130">
        <v>0.61</v>
      </c>
      <c r="F6" s="105">
        <v>0.62</v>
      </c>
      <c r="G6" s="105">
        <v>0.63</v>
      </c>
      <c r="H6" s="105">
        <v>0.63</v>
      </c>
      <c r="I6" s="105">
        <v>0.63</v>
      </c>
      <c r="J6" s="105">
        <v>0.63</v>
      </c>
      <c r="K6" s="105">
        <v>0.63</v>
      </c>
      <c r="L6" s="105">
        <v>0.63</v>
      </c>
    </row>
    <row r="7" spans="1:13" ht="14.25" thickBot="1">
      <c r="A7" s="104" t="s">
        <v>56</v>
      </c>
      <c r="B7" s="105">
        <v>0.27</v>
      </c>
      <c r="C7" s="105">
        <v>1.04</v>
      </c>
      <c r="D7" s="130">
        <v>0.56000000000000005</v>
      </c>
      <c r="E7" s="130">
        <v>0.61</v>
      </c>
      <c r="F7" s="105">
        <v>0.62</v>
      </c>
      <c r="G7" s="105">
        <v>0.63</v>
      </c>
      <c r="H7" s="105">
        <v>0.63</v>
      </c>
      <c r="I7" s="105">
        <v>0.63</v>
      </c>
      <c r="J7" s="105">
        <v>0.63</v>
      </c>
      <c r="K7" s="105">
        <v>0.63</v>
      </c>
      <c r="L7" s="105">
        <v>0.63</v>
      </c>
    </row>
    <row r="8" spans="1:13" ht="14.25" thickBot="1">
      <c r="A8" s="104" t="s">
        <v>76</v>
      </c>
      <c r="B8" s="105">
        <v>0.54</v>
      </c>
      <c r="C8" s="105">
        <v>0.84</v>
      </c>
      <c r="D8" s="130">
        <v>0.46</v>
      </c>
      <c r="E8" s="129">
        <v>0.5</v>
      </c>
      <c r="F8" s="105">
        <v>0.51</v>
      </c>
      <c r="G8" s="105">
        <v>0.51</v>
      </c>
      <c r="H8" s="105">
        <v>0.51</v>
      </c>
      <c r="I8" s="105">
        <v>0.51</v>
      </c>
      <c r="J8" s="105">
        <v>0.51</v>
      </c>
      <c r="K8" s="105">
        <v>0.51</v>
      </c>
      <c r="L8" s="105">
        <v>0.51</v>
      </c>
    </row>
    <row r="9" spans="1:13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</row>
    <row r="10" spans="1:13" ht="15.75" thickBot="1">
      <c r="A10" s="101" t="s">
        <v>77</v>
      </c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</row>
    <row r="11" spans="1:13" ht="14.25" thickBot="1">
      <c r="A11" s="102" t="s">
        <v>75</v>
      </c>
      <c r="B11" s="103">
        <v>2022</v>
      </c>
      <c r="C11" s="103">
        <v>2023</v>
      </c>
      <c r="D11" s="103">
        <v>2024</v>
      </c>
      <c r="E11" s="103">
        <v>2025</v>
      </c>
      <c r="F11" s="103">
        <v>2026</v>
      </c>
      <c r="G11" s="103">
        <v>2027</v>
      </c>
      <c r="H11" s="103">
        <v>2028</v>
      </c>
      <c r="I11" s="103">
        <v>2029</v>
      </c>
      <c r="J11" s="103">
        <v>2030</v>
      </c>
      <c r="K11" s="103">
        <v>2031</v>
      </c>
      <c r="L11" s="103">
        <v>2032</v>
      </c>
    </row>
    <row r="12" spans="1:13" ht="14.25" thickBot="1">
      <c r="A12" s="104" t="s">
        <v>53</v>
      </c>
      <c r="B12" s="105">
        <v>338</v>
      </c>
      <c r="C12" s="105">
        <v>274</v>
      </c>
      <c r="D12" s="105">
        <v>239</v>
      </c>
      <c r="E12" s="105">
        <v>292</v>
      </c>
      <c r="F12" s="105">
        <v>330</v>
      </c>
      <c r="G12" s="105">
        <v>360</v>
      </c>
      <c r="H12" s="105">
        <v>382</v>
      </c>
      <c r="I12" s="105">
        <v>394</v>
      </c>
      <c r="J12" s="105">
        <v>402</v>
      </c>
      <c r="K12" s="105">
        <v>409</v>
      </c>
      <c r="L12" s="105">
        <v>411</v>
      </c>
    </row>
    <row r="13" spans="1:13" ht="14.25" thickBot="1">
      <c r="A13" s="104" t="s">
        <v>54</v>
      </c>
      <c r="B13" s="105">
        <v>179</v>
      </c>
      <c r="C13" s="105">
        <v>96</v>
      </c>
      <c r="D13" s="105">
        <v>105</v>
      </c>
      <c r="E13" s="105">
        <v>118</v>
      </c>
      <c r="F13" s="105">
        <v>140</v>
      </c>
      <c r="G13" s="105">
        <v>158</v>
      </c>
      <c r="H13" s="105">
        <v>172</v>
      </c>
      <c r="I13" s="105">
        <v>182</v>
      </c>
      <c r="J13" s="105">
        <v>188</v>
      </c>
      <c r="K13" s="105">
        <v>192</v>
      </c>
      <c r="L13" s="105">
        <v>195</v>
      </c>
    </row>
    <row r="14" spans="1:13" ht="14.25" thickBot="1">
      <c r="A14" s="104" t="s">
        <v>55</v>
      </c>
      <c r="B14" s="105">
        <v>17</v>
      </c>
      <c r="C14" s="105">
        <v>57</v>
      </c>
      <c r="D14" s="105">
        <v>31</v>
      </c>
      <c r="E14" s="105">
        <v>47</v>
      </c>
      <c r="F14" s="105">
        <v>51</v>
      </c>
      <c r="G14" s="105">
        <v>60</v>
      </c>
      <c r="H14" s="105">
        <v>68</v>
      </c>
      <c r="I14" s="105">
        <v>74</v>
      </c>
      <c r="J14" s="105">
        <v>78</v>
      </c>
      <c r="K14" s="105">
        <v>81</v>
      </c>
      <c r="L14" s="105">
        <v>82</v>
      </c>
    </row>
    <row r="15" spans="1:13" ht="14.25" thickBot="1">
      <c r="A15" s="104" t="s">
        <v>56</v>
      </c>
      <c r="B15" s="105">
        <v>9</v>
      </c>
      <c r="C15" s="105">
        <v>13</v>
      </c>
      <c r="D15" s="105">
        <v>17</v>
      </c>
      <c r="E15" s="105">
        <v>18</v>
      </c>
      <c r="F15" s="105">
        <v>23</v>
      </c>
      <c r="G15" s="105">
        <v>27</v>
      </c>
      <c r="H15" s="105">
        <v>31</v>
      </c>
      <c r="I15" s="105">
        <v>35</v>
      </c>
      <c r="J15" s="105">
        <v>39</v>
      </c>
      <c r="K15" s="105">
        <v>42</v>
      </c>
      <c r="L15" s="105">
        <v>44</v>
      </c>
    </row>
    <row r="16" spans="1:13" ht="14.25" thickBot="1">
      <c r="A16" s="104" t="s">
        <v>21</v>
      </c>
      <c r="B16" s="105">
        <v>543</v>
      </c>
      <c r="C16" s="105">
        <v>440</v>
      </c>
      <c r="D16" s="105">
        <v>392</v>
      </c>
      <c r="E16" s="105">
        <v>475</v>
      </c>
      <c r="F16" s="105">
        <v>544</v>
      </c>
      <c r="G16" s="105">
        <v>604</v>
      </c>
      <c r="H16" s="105">
        <v>652</v>
      </c>
      <c r="I16" s="105">
        <v>686</v>
      </c>
      <c r="J16" s="105">
        <v>708</v>
      </c>
      <c r="K16" s="105">
        <v>723</v>
      </c>
      <c r="L16" s="105">
        <v>732</v>
      </c>
    </row>
    <row r="17" spans="1:12">
      <c r="A17" s="106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</row>
    <row r="18" spans="1:12" ht="15.75" thickBot="1">
      <c r="A18" s="101" t="s">
        <v>78</v>
      </c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</row>
    <row r="19" spans="1:12" ht="14.25" thickBot="1">
      <c r="A19" s="102" t="s">
        <v>75</v>
      </c>
      <c r="B19" s="103">
        <v>2022</v>
      </c>
      <c r="C19" s="103">
        <v>2023</v>
      </c>
      <c r="D19" s="103">
        <v>2024</v>
      </c>
      <c r="E19" s="103">
        <v>2025</v>
      </c>
      <c r="F19" s="103">
        <v>2026</v>
      </c>
      <c r="G19" s="103">
        <v>2027</v>
      </c>
      <c r="H19" s="103">
        <v>2028</v>
      </c>
      <c r="I19" s="103">
        <v>2029</v>
      </c>
      <c r="J19" s="103">
        <v>2030</v>
      </c>
      <c r="K19" s="103">
        <v>2031</v>
      </c>
      <c r="L19" s="103">
        <v>2032</v>
      </c>
    </row>
    <row r="20" spans="1:12" ht="14.25" thickBot="1">
      <c r="A20" s="104" t="s">
        <v>53</v>
      </c>
      <c r="B20" s="105">
        <v>85</v>
      </c>
      <c r="C20" s="105">
        <v>65</v>
      </c>
      <c r="D20" s="105">
        <v>57</v>
      </c>
      <c r="E20" s="105">
        <v>70</v>
      </c>
      <c r="F20" s="105">
        <v>79</v>
      </c>
      <c r="G20" s="105">
        <v>86</v>
      </c>
      <c r="H20" s="105">
        <v>91</v>
      </c>
      <c r="I20" s="105">
        <v>94</v>
      </c>
      <c r="J20" s="105">
        <v>96</v>
      </c>
      <c r="K20" s="105">
        <v>98</v>
      </c>
      <c r="L20" s="105">
        <v>98</v>
      </c>
    </row>
    <row r="21" spans="1:12" ht="14.25" thickBot="1">
      <c r="A21" s="104" t="s">
        <v>54</v>
      </c>
      <c r="B21" s="105">
        <v>59</v>
      </c>
      <c r="C21" s="105">
        <v>34</v>
      </c>
      <c r="D21" s="105">
        <v>37</v>
      </c>
      <c r="E21" s="105">
        <v>42</v>
      </c>
      <c r="F21" s="105">
        <v>50</v>
      </c>
      <c r="G21" s="105">
        <v>56</v>
      </c>
      <c r="H21" s="105">
        <v>61</v>
      </c>
      <c r="I21" s="105">
        <v>65</v>
      </c>
      <c r="J21" s="105">
        <v>67</v>
      </c>
      <c r="K21" s="105">
        <v>68</v>
      </c>
      <c r="L21" s="105">
        <v>69</v>
      </c>
    </row>
    <row r="22" spans="1:12" ht="14.25" thickBot="1">
      <c r="A22" s="104" t="s">
        <v>55</v>
      </c>
      <c r="B22" s="105">
        <v>10</v>
      </c>
      <c r="C22" s="105">
        <v>31</v>
      </c>
      <c r="D22" s="105">
        <v>17</v>
      </c>
      <c r="E22" s="105">
        <v>25</v>
      </c>
      <c r="F22" s="105">
        <v>28</v>
      </c>
      <c r="G22" s="105">
        <v>33</v>
      </c>
      <c r="H22" s="105">
        <v>37</v>
      </c>
      <c r="I22" s="105">
        <v>40</v>
      </c>
      <c r="J22" s="105">
        <v>42</v>
      </c>
      <c r="K22" s="105">
        <v>44</v>
      </c>
      <c r="L22" s="105">
        <v>45</v>
      </c>
    </row>
    <row r="23" spans="1:12" ht="14.25" thickBot="1">
      <c r="A23" s="104" t="s">
        <v>56</v>
      </c>
      <c r="B23" s="105">
        <v>6</v>
      </c>
      <c r="C23" s="105">
        <v>9</v>
      </c>
      <c r="D23" s="105">
        <v>12</v>
      </c>
      <c r="E23" s="105">
        <v>13</v>
      </c>
      <c r="F23" s="105">
        <v>17</v>
      </c>
      <c r="G23" s="105">
        <v>19</v>
      </c>
      <c r="H23" s="105">
        <v>22</v>
      </c>
      <c r="I23" s="105">
        <v>25</v>
      </c>
      <c r="J23" s="105">
        <v>28</v>
      </c>
      <c r="K23" s="105">
        <v>30</v>
      </c>
      <c r="L23" s="105">
        <v>31</v>
      </c>
    </row>
    <row r="24" spans="1:12" ht="14.25" thickBot="1">
      <c r="A24" s="104" t="s">
        <v>21</v>
      </c>
      <c r="B24" s="105">
        <v>160</v>
      </c>
      <c r="C24" s="105">
        <v>139</v>
      </c>
      <c r="D24" s="105">
        <v>123</v>
      </c>
      <c r="E24" s="105">
        <v>149</v>
      </c>
      <c r="F24" s="105">
        <v>173</v>
      </c>
      <c r="G24" s="105">
        <v>193</v>
      </c>
      <c r="H24" s="105">
        <v>211</v>
      </c>
      <c r="I24" s="105">
        <v>224</v>
      </c>
      <c r="J24" s="105">
        <v>233</v>
      </c>
      <c r="K24" s="105">
        <v>239</v>
      </c>
      <c r="L24" s="105">
        <v>243</v>
      </c>
    </row>
    <row r="25" spans="1:12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</row>
    <row r="26" spans="1:12" ht="15.75" thickBot="1">
      <c r="A26" s="101" t="s">
        <v>79</v>
      </c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</row>
    <row r="27" spans="1:12" ht="14.25" thickBot="1">
      <c r="A27" s="102" t="s">
        <v>75</v>
      </c>
      <c r="B27" s="103">
        <v>2022</v>
      </c>
      <c r="C27" s="103">
        <v>2023</v>
      </c>
      <c r="D27" s="103">
        <v>2024</v>
      </c>
      <c r="E27" s="103">
        <v>2025</v>
      </c>
      <c r="F27" s="103">
        <v>2026</v>
      </c>
      <c r="G27" s="103">
        <v>2027</v>
      </c>
      <c r="H27" s="103">
        <v>2028</v>
      </c>
      <c r="I27" s="103">
        <v>2029</v>
      </c>
      <c r="J27" s="103">
        <v>2030</v>
      </c>
      <c r="K27" s="103">
        <v>2031</v>
      </c>
      <c r="L27" s="103">
        <v>2032</v>
      </c>
    </row>
    <row r="28" spans="1:12" ht="14.25" thickBot="1">
      <c r="A28" s="104" t="s">
        <v>53</v>
      </c>
      <c r="B28" s="105">
        <v>165</v>
      </c>
      <c r="C28" s="105">
        <v>99</v>
      </c>
      <c r="D28" s="105">
        <v>52</v>
      </c>
      <c r="E28" s="105">
        <v>69</v>
      </c>
      <c r="F28" s="105">
        <v>79</v>
      </c>
      <c r="G28" s="105">
        <v>86</v>
      </c>
      <c r="H28" s="105">
        <v>92</v>
      </c>
      <c r="I28" s="105">
        <v>95</v>
      </c>
      <c r="J28" s="105">
        <v>97</v>
      </c>
      <c r="K28" s="105">
        <v>98</v>
      </c>
      <c r="L28" s="105">
        <v>99</v>
      </c>
    </row>
    <row r="29" spans="1:12" ht="14.25" thickBot="1">
      <c r="A29" s="104" t="s">
        <v>54</v>
      </c>
      <c r="B29" s="105">
        <v>80</v>
      </c>
      <c r="C29" s="105">
        <v>42</v>
      </c>
      <c r="D29" s="105">
        <v>29</v>
      </c>
      <c r="E29" s="105">
        <v>35</v>
      </c>
      <c r="F29" s="105">
        <v>42</v>
      </c>
      <c r="G29" s="105">
        <v>47</v>
      </c>
      <c r="H29" s="105">
        <v>52</v>
      </c>
      <c r="I29" s="105">
        <v>55</v>
      </c>
      <c r="J29" s="105">
        <v>57</v>
      </c>
      <c r="K29" s="105">
        <v>58</v>
      </c>
      <c r="L29" s="105">
        <v>59</v>
      </c>
    </row>
    <row r="30" spans="1:12" ht="14.25" thickBot="1">
      <c r="A30" s="104" t="s">
        <v>55</v>
      </c>
      <c r="B30" s="105">
        <v>3</v>
      </c>
      <c r="C30" s="105">
        <v>31</v>
      </c>
      <c r="D30" s="105">
        <v>11</v>
      </c>
      <c r="E30" s="105">
        <v>18</v>
      </c>
      <c r="F30" s="105">
        <v>20</v>
      </c>
      <c r="G30" s="105">
        <v>24</v>
      </c>
      <c r="H30" s="105">
        <v>27</v>
      </c>
      <c r="I30" s="105">
        <v>29</v>
      </c>
      <c r="J30" s="105">
        <v>31</v>
      </c>
      <c r="K30" s="105">
        <v>32</v>
      </c>
      <c r="L30" s="105">
        <v>32</v>
      </c>
    </row>
    <row r="31" spans="1:12" ht="14.25" thickBot="1">
      <c r="A31" s="104" t="s">
        <v>56</v>
      </c>
      <c r="B31" s="105">
        <v>2</v>
      </c>
      <c r="C31" s="105">
        <v>7</v>
      </c>
      <c r="D31" s="105">
        <v>6</v>
      </c>
      <c r="E31" s="105">
        <v>7</v>
      </c>
      <c r="F31" s="105">
        <v>9</v>
      </c>
      <c r="G31" s="105">
        <v>10</v>
      </c>
      <c r="H31" s="105">
        <v>12</v>
      </c>
      <c r="I31" s="105">
        <v>14</v>
      </c>
      <c r="J31" s="105">
        <v>15</v>
      </c>
      <c r="K31" s="105">
        <v>16</v>
      </c>
      <c r="L31" s="105">
        <v>17</v>
      </c>
    </row>
    <row r="32" spans="1:12" ht="14.25" thickBot="1">
      <c r="A32" s="104" t="s">
        <v>21</v>
      </c>
      <c r="B32" s="105">
        <v>251</v>
      </c>
      <c r="C32" s="105">
        <v>179</v>
      </c>
      <c r="D32" s="105">
        <v>98</v>
      </c>
      <c r="E32" s="105">
        <v>128</v>
      </c>
      <c r="F32" s="105">
        <v>150</v>
      </c>
      <c r="G32" s="105">
        <v>167</v>
      </c>
      <c r="H32" s="105">
        <v>182</v>
      </c>
      <c r="I32" s="105">
        <v>192</v>
      </c>
      <c r="J32" s="105">
        <v>199</v>
      </c>
      <c r="K32" s="105">
        <v>204</v>
      </c>
      <c r="L32" s="105">
        <v>207</v>
      </c>
    </row>
    <row r="33" spans="1:12" ht="15">
      <c r="A33" s="107" t="s">
        <v>80</v>
      </c>
    </row>
    <row r="36" spans="1:12">
      <c r="A36" s="1" t="s">
        <v>81</v>
      </c>
    </row>
    <row r="37" spans="1:12" ht="15.75" thickBot="1">
      <c r="A37" s="101" t="s">
        <v>74</v>
      </c>
    </row>
    <row r="38" spans="1:12" ht="14.25" thickBot="1">
      <c r="A38" s="102" t="s">
        <v>75</v>
      </c>
      <c r="B38" s="103">
        <v>2022</v>
      </c>
      <c r="C38" s="103">
        <v>2023</v>
      </c>
      <c r="D38" s="103">
        <v>2024</v>
      </c>
      <c r="E38" s="103">
        <v>2025</v>
      </c>
      <c r="F38" s="103">
        <v>2026</v>
      </c>
      <c r="G38" s="103">
        <v>2027</v>
      </c>
      <c r="H38" s="103">
        <v>2028</v>
      </c>
      <c r="I38" s="103">
        <v>2029</v>
      </c>
      <c r="J38" s="103">
        <v>2030</v>
      </c>
      <c r="K38" s="103">
        <v>2031</v>
      </c>
      <c r="L38" s="103">
        <v>2032</v>
      </c>
    </row>
    <row r="39" spans="1:12" ht="14.25" thickBot="1">
      <c r="A39" s="104" t="s">
        <v>53</v>
      </c>
      <c r="B39" s="105">
        <v>0.86</v>
      </c>
      <c r="C39" s="105">
        <v>0.56000000000000005</v>
      </c>
      <c r="D39" s="105">
        <v>0.56000000000000005</v>
      </c>
      <c r="E39" s="105">
        <v>0.56000000000000005</v>
      </c>
      <c r="F39" s="105">
        <v>0.56000000000000005</v>
      </c>
      <c r="G39" s="105">
        <v>0.56000000000000005</v>
      </c>
      <c r="H39" s="105">
        <v>0.56000000000000005</v>
      </c>
      <c r="I39" s="105">
        <v>0.56000000000000005</v>
      </c>
      <c r="J39" s="105">
        <v>0.56000000000000005</v>
      </c>
      <c r="K39" s="105">
        <v>0.56000000000000005</v>
      </c>
      <c r="L39" s="105">
        <v>0.56000000000000005</v>
      </c>
    </row>
    <row r="40" spans="1:12" ht="14.25" thickBot="1">
      <c r="A40" s="104" t="s">
        <v>54</v>
      </c>
      <c r="B40" s="105">
        <v>0.75</v>
      </c>
      <c r="C40" s="105">
        <v>0.73</v>
      </c>
      <c r="D40" s="105">
        <v>0.73</v>
      </c>
      <c r="E40" s="105">
        <v>0.73</v>
      </c>
      <c r="F40" s="105">
        <v>0.73</v>
      </c>
      <c r="G40" s="105">
        <v>0.73</v>
      </c>
      <c r="H40" s="105">
        <v>0.73</v>
      </c>
      <c r="I40" s="105">
        <v>0.73</v>
      </c>
      <c r="J40" s="105">
        <v>0.73</v>
      </c>
      <c r="K40" s="105">
        <v>0.73</v>
      </c>
      <c r="L40" s="105">
        <v>0.73</v>
      </c>
    </row>
    <row r="41" spans="1:12" ht="14.25" thickBot="1">
      <c r="A41" s="104" t="s">
        <v>55</v>
      </c>
      <c r="B41" s="105">
        <v>0.27</v>
      </c>
      <c r="C41" s="105">
        <v>1.04</v>
      </c>
      <c r="D41" s="105">
        <v>1.04</v>
      </c>
      <c r="E41" s="105">
        <v>1.04</v>
      </c>
      <c r="F41" s="105">
        <v>1.04</v>
      </c>
      <c r="G41" s="105">
        <v>1.04</v>
      </c>
      <c r="H41" s="105">
        <v>1.04</v>
      </c>
      <c r="I41" s="105">
        <v>1.04</v>
      </c>
      <c r="J41" s="105">
        <v>1.04</v>
      </c>
      <c r="K41" s="105">
        <v>1.04</v>
      </c>
      <c r="L41" s="105">
        <v>1.04</v>
      </c>
    </row>
    <row r="42" spans="1:12" ht="14.25" thickBot="1">
      <c r="A42" s="104" t="s">
        <v>56</v>
      </c>
      <c r="B42" s="105">
        <v>0.27</v>
      </c>
      <c r="C42" s="105">
        <v>1.04</v>
      </c>
      <c r="D42" s="105">
        <v>1.04</v>
      </c>
      <c r="E42" s="105">
        <v>1.04</v>
      </c>
      <c r="F42" s="105">
        <v>1.04</v>
      </c>
      <c r="G42" s="105">
        <v>1.04</v>
      </c>
      <c r="H42" s="105">
        <v>1.04</v>
      </c>
      <c r="I42" s="105">
        <v>1.04</v>
      </c>
      <c r="J42" s="105">
        <v>1.04</v>
      </c>
      <c r="K42" s="105">
        <v>1.04</v>
      </c>
      <c r="L42" s="105">
        <v>1.04</v>
      </c>
    </row>
    <row r="43" spans="1:12" ht="14.25" thickBot="1">
      <c r="A43" s="104" t="s">
        <v>76</v>
      </c>
      <c r="B43" s="105">
        <v>0.54</v>
      </c>
      <c r="C43" s="105">
        <v>0.84</v>
      </c>
      <c r="D43" s="105">
        <v>0.84</v>
      </c>
      <c r="E43" s="105">
        <v>0.84</v>
      </c>
      <c r="F43" s="105">
        <v>0.84</v>
      </c>
      <c r="G43" s="105">
        <v>0.84</v>
      </c>
      <c r="H43" s="105">
        <v>0.84</v>
      </c>
      <c r="I43" s="105">
        <v>0.84</v>
      </c>
      <c r="J43" s="105">
        <v>0.84</v>
      </c>
      <c r="K43" s="105">
        <v>0.84</v>
      </c>
      <c r="L43" s="105">
        <v>0.84</v>
      </c>
    </row>
    <row r="44" spans="1:12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</row>
    <row r="45" spans="1:12" ht="15.75" thickBot="1">
      <c r="A45" s="101" t="s">
        <v>77</v>
      </c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</row>
    <row r="46" spans="1:12" ht="14.25" thickBot="1">
      <c r="A46" s="102" t="s">
        <v>75</v>
      </c>
      <c r="B46" s="103">
        <v>2022</v>
      </c>
      <c r="C46" s="103">
        <v>2023</v>
      </c>
      <c r="D46" s="103">
        <v>2024</v>
      </c>
      <c r="E46" s="103">
        <v>2025</v>
      </c>
      <c r="F46" s="103">
        <v>2026</v>
      </c>
      <c r="G46" s="103">
        <v>2027</v>
      </c>
      <c r="H46" s="103">
        <v>2028</v>
      </c>
      <c r="I46" s="103">
        <v>2029</v>
      </c>
      <c r="J46" s="103">
        <v>2030</v>
      </c>
      <c r="K46" s="103">
        <v>2031</v>
      </c>
      <c r="L46" s="103">
        <v>2032</v>
      </c>
    </row>
    <row r="47" spans="1:12" ht="14.25" thickBot="1">
      <c r="A47" s="104" t="s">
        <v>53</v>
      </c>
      <c r="B47" s="105">
        <v>338</v>
      </c>
      <c r="C47" s="105">
        <v>274</v>
      </c>
      <c r="D47" s="105">
        <v>239</v>
      </c>
      <c r="E47" s="105">
        <v>213</v>
      </c>
      <c r="F47" s="105">
        <v>189</v>
      </c>
      <c r="G47" s="105">
        <v>169</v>
      </c>
      <c r="H47" s="105">
        <v>151</v>
      </c>
      <c r="I47" s="105">
        <v>135</v>
      </c>
      <c r="J47" s="105">
        <v>120</v>
      </c>
      <c r="K47" s="105">
        <v>108</v>
      </c>
      <c r="L47" s="105">
        <v>95</v>
      </c>
    </row>
    <row r="48" spans="1:12" ht="14.25" thickBot="1">
      <c r="A48" s="104" t="s">
        <v>54</v>
      </c>
      <c r="B48" s="105">
        <v>179</v>
      </c>
      <c r="C48" s="105">
        <v>96</v>
      </c>
      <c r="D48" s="105">
        <v>105</v>
      </c>
      <c r="E48" s="105">
        <v>92</v>
      </c>
      <c r="F48" s="105">
        <v>82</v>
      </c>
      <c r="G48" s="105">
        <v>73</v>
      </c>
      <c r="H48" s="105">
        <v>65</v>
      </c>
      <c r="I48" s="105">
        <v>58</v>
      </c>
      <c r="J48" s="105">
        <v>52</v>
      </c>
      <c r="K48" s="105">
        <v>46</v>
      </c>
      <c r="L48" s="105">
        <v>41</v>
      </c>
    </row>
    <row r="49" spans="1:12" ht="14.25" thickBot="1">
      <c r="A49" s="104" t="s">
        <v>55</v>
      </c>
      <c r="B49" s="105">
        <v>17</v>
      </c>
      <c r="C49" s="105">
        <v>57</v>
      </c>
      <c r="D49" s="105">
        <v>31</v>
      </c>
      <c r="E49" s="105">
        <v>34</v>
      </c>
      <c r="F49" s="105">
        <v>29</v>
      </c>
      <c r="G49" s="105">
        <v>26</v>
      </c>
      <c r="H49" s="105">
        <v>23</v>
      </c>
      <c r="I49" s="105">
        <v>21</v>
      </c>
      <c r="J49" s="105">
        <v>19</v>
      </c>
      <c r="K49" s="105">
        <v>17</v>
      </c>
      <c r="L49" s="105">
        <v>15</v>
      </c>
    </row>
    <row r="50" spans="1:12" ht="14.25" thickBot="1">
      <c r="A50" s="104" t="s">
        <v>56</v>
      </c>
      <c r="B50" s="105">
        <v>9</v>
      </c>
      <c r="C50" s="105">
        <v>13</v>
      </c>
      <c r="D50" s="105">
        <v>17</v>
      </c>
      <c r="E50" s="105">
        <v>11</v>
      </c>
      <c r="F50" s="105">
        <v>11</v>
      </c>
      <c r="G50" s="105">
        <v>10</v>
      </c>
      <c r="H50" s="105">
        <v>9</v>
      </c>
      <c r="I50" s="105">
        <v>8</v>
      </c>
      <c r="J50" s="105">
        <v>7</v>
      </c>
      <c r="K50" s="105">
        <v>6</v>
      </c>
      <c r="L50" s="105">
        <v>5</v>
      </c>
    </row>
    <row r="51" spans="1:12" ht="14.25" thickBot="1">
      <c r="A51" s="104" t="s">
        <v>21</v>
      </c>
      <c r="B51" s="105">
        <v>543</v>
      </c>
      <c r="C51" s="105">
        <v>440</v>
      </c>
      <c r="D51" s="105">
        <v>392</v>
      </c>
      <c r="E51" s="105">
        <v>350</v>
      </c>
      <c r="F51" s="105">
        <v>311</v>
      </c>
      <c r="G51" s="105">
        <v>277</v>
      </c>
      <c r="H51" s="105">
        <v>248</v>
      </c>
      <c r="I51" s="105">
        <v>221</v>
      </c>
      <c r="J51" s="105">
        <v>197</v>
      </c>
      <c r="K51" s="105">
        <v>176</v>
      </c>
      <c r="L51" s="105">
        <v>157</v>
      </c>
    </row>
    <row r="52" spans="1:12">
      <c r="A52" s="106"/>
      <c r="B52" s="106"/>
      <c r="C52" s="106"/>
      <c r="D52" s="106"/>
      <c r="E52" s="106"/>
      <c r="F52" s="106"/>
      <c r="G52" s="106"/>
      <c r="H52" s="106"/>
      <c r="I52" s="106"/>
      <c r="J52" s="106"/>
      <c r="K52" s="106"/>
      <c r="L52" s="106"/>
    </row>
    <row r="53" spans="1:12" ht="15.75" thickBot="1">
      <c r="A53" s="101" t="s">
        <v>78</v>
      </c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</row>
    <row r="54" spans="1:12" ht="14.25" thickBot="1">
      <c r="A54" s="102" t="s">
        <v>75</v>
      </c>
      <c r="B54" s="103">
        <v>2022</v>
      </c>
      <c r="C54" s="103">
        <v>2023</v>
      </c>
      <c r="D54" s="103">
        <v>2024</v>
      </c>
      <c r="E54" s="103">
        <v>2025</v>
      </c>
      <c r="F54" s="103">
        <v>2026</v>
      </c>
      <c r="G54" s="103">
        <v>2027</v>
      </c>
      <c r="H54" s="103">
        <v>2028</v>
      </c>
      <c r="I54" s="103">
        <v>2029</v>
      </c>
      <c r="J54" s="103">
        <v>2030</v>
      </c>
      <c r="K54" s="103">
        <v>2031</v>
      </c>
      <c r="L54" s="103">
        <v>2032</v>
      </c>
    </row>
    <row r="55" spans="1:12" ht="14.25" thickBot="1">
      <c r="A55" s="104" t="s">
        <v>53</v>
      </c>
      <c r="B55" s="105">
        <v>85</v>
      </c>
      <c r="C55" s="105">
        <v>65</v>
      </c>
      <c r="D55" s="105">
        <v>57</v>
      </c>
      <c r="E55" s="105">
        <v>51</v>
      </c>
      <c r="F55" s="105">
        <v>45</v>
      </c>
      <c r="G55" s="105">
        <v>40</v>
      </c>
      <c r="H55" s="105">
        <v>36</v>
      </c>
      <c r="I55" s="105">
        <v>32</v>
      </c>
      <c r="J55" s="105">
        <v>29</v>
      </c>
      <c r="K55" s="105">
        <v>26</v>
      </c>
      <c r="L55" s="105">
        <v>23</v>
      </c>
    </row>
    <row r="56" spans="1:12" ht="14.25" thickBot="1">
      <c r="A56" s="104" t="s">
        <v>54</v>
      </c>
      <c r="B56" s="105">
        <v>59</v>
      </c>
      <c r="C56" s="105">
        <v>34</v>
      </c>
      <c r="D56" s="105">
        <v>37</v>
      </c>
      <c r="E56" s="105">
        <v>32</v>
      </c>
      <c r="F56" s="105">
        <v>29</v>
      </c>
      <c r="G56" s="105">
        <v>26</v>
      </c>
      <c r="H56" s="105">
        <v>23</v>
      </c>
      <c r="I56" s="105">
        <v>21</v>
      </c>
      <c r="J56" s="105">
        <v>18</v>
      </c>
      <c r="K56" s="105">
        <v>16</v>
      </c>
      <c r="L56" s="105">
        <v>15</v>
      </c>
    </row>
    <row r="57" spans="1:12" ht="14.25" thickBot="1">
      <c r="A57" s="104" t="s">
        <v>55</v>
      </c>
      <c r="B57" s="105">
        <v>10</v>
      </c>
      <c r="C57" s="105">
        <v>31</v>
      </c>
      <c r="D57" s="105">
        <v>17</v>
      </c>
      <c r="E57" s="105">
        <v>18</v>
      </c>
      <c r="F57" s="105">
        <v>16</v>
      </c>
      <c r="G57" s="105">
        <v>14</v>
      </c>
      <c r="H57" s="105">
        <v>13</v>
      </c>
      <c r="I57" s="105">
        <v>11</v>
      </c>
      <c r="J57" s="105">
        <v>10</v>
      </c>
      <c r="K57" s="105">
        <v>9</v>
      </c>
      <c r="L57" s="105">
        <v>8</v>
      </c>
    </row>
    <row r="58" spans="1:12" ht="14.25" thickBot="1">
      <c r="A58" s="104" t="s">
        <v>56</v>
      </c>
      <c r="B58" s="105">
        <v>6</v>
      </c>
      <c r="C58" s="105">
        <v>9</v>
      </c>
      <c r="D58" s="105">
        <v>12</v>
      </c>
      <c r="E58" s="105">
        <v>8</v>
      </c>
      <c r="F58" s="105">
        <v>8</v>
      </c>
      <c r="G58" s="105">
        <v>7</v>
      </c>
      <c r="H58" s="105">
        <v>6</v>
      </c>
      <c r="I58" s="105">
        <v>5</v>
      </c>
      <c r="J58" s="105">
        <v>5</v>
      </c>
      <c r="K58" s="105">
        <v>4</v>
      </c>
      <c r="L58" s="105">
        <v>4</v>
      </c>
    </row>
    <row r="59" spans="1:12" ht="14.25" thickBot="1">
      <c r="A59" s="104" t="s">
        <v>21</v>
      </c>
      <c r="B59" s="105">
        <v>160</v>
      </c>
      <c r="C59" s="105">
        <v>139</v>
      </c>
      <c r="D59" s="105">
        <v>123</v>
      </c>
      <c r="E59" s="105">
        <v>110</v>
      </c>
      <c r="F59" s="105">
        <v>98</v>
      </c>
      <c r="G59" s="105">
        <v>87</v>
      </c>
      <c r="H59" s="105">
        <v>78</v>
      </c>
      <c r="I59" s="105">
        <v>69</v>
      </c>
      <c r="J59" s="105">
        <v>62</v>
      </c>
      <c r="K59" s="105">
        <v>55</v>
      </c>
      <c r="L59" s="105">
        <v>49</v>
      </c>
    </row>
    <row r="60" spans="1:12">
      <c r="A60" s="106"/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</row>
    <row r="61" spans="1:12" ht="15.75" thickBot="1">
      <c r="A61" s="101" t="s">
        <v>79</v>
      </c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</row>
    <row r="62" spans="1:12" ht="14.25" thickBot="1">
      <c r="A62" s="102" t="s">
        <v>75</v>
      </c>
      <c r="B62" s="103">
        <v>2022</v>
      </c>
      <c r="C62" s="103">
        <v>2023</v>
      </c>
      <c r="D62" s="103">
        <v>2024</v>
      </c>
      <c r="E62" s="103">
        <v>2025</v>
      </c>
      <c r="F62" s="103">
        <v>2026</v>
      </c>
      <c r="G62" s="103">
        <v>2027</v>
      </c>
      <c r="H62" s="103">
        <v>2028</v>
      </c>
      <c r="I62" s="103">
        <v>2029</v>
      </c>
      <c r="J62" s="103">
        <v>2030</v>
      </c>
      <c r="K62" s="103">
        <v>2031</v>
      </c>
      <c r="L62" s="103">
        <v>2032</v>
      </c>
    </row>
    <row r="63" spans="1:12" ht="14.25" thickBot="1">
      <c r="A63" s="104" t="s">
        <v>53</v>
      </c>
      <c r="B63" s="105">
        <v>165</v>
      </c>
      <c r="C63" s="105">
        <v>99</v>
      </c>
      <c r="D63" s="105">
        <v>86</v>
      </c>
      <c r="E63" s="105">
        <v>77</v>
      </c>
      <c r="F63" s="105">
        <v>68</v>
      </c>
      <c r="G63" s="105">
        <v>61</v>
      </c>
      <c r="H63" s="105">
        <v>54</v>
      </c>
      <c r="I63" s="105">
        <v>48</v>
      </c>
      <c r="J63" s="105">
        <v>43</v>
      </c>
      <c r="K63" s="105">
        <v>39</v>
      </c>
      <c r="L63" s="105">
        <v>34</v>
      </c>
    </row>
    <row r="64" spans="1:12" ht="14.25" thickBot="1">
      <c r="A64" s="104" t="s">
        <v>54</v>
      </c>
      <c r="B64" s="105">
        <v>80</v>
      </c>
      <c r="C64" s="105">
        <v>42</v>
      </c>
      <c r="D64" s="105">
        <v>46</v>
      </c>
      <c r="E64" s="105">
        <v>40</v>
      </c>
      <c r="F64" s="105">
        <v>36</v>
      </c>
      <c r="G64" s="105">
        <v>32</v>
      </c>
      <c r="H64" s="105">
        <v>28</v>
      </c>
      <c r="I64" s="105">
        <v>25</v>
      </c>
      <c r="J64" s="105">
        <v>23</v>
      </c>
      <c r="K64" s="105">
        <v>20</v>
      </c>
      <c r="L64" s="105">
        <v>18</v>
      </c>
    </row>
    <row r="65" spans="1:12" ht="14.25" thickBot="1">
      <c r="A65" s="104" t="s">
        <v>55</v>
      </c>
      <c r="B65" s="105">
        <v>3</v>
      </c>
      <c r="C65" s="105">
        <v>31</v>
      </c>
      <c r="D65" s="105">
        <v>17</v>
      </c>
      <c r="E65" s="105">
        <v>19</v>
      </c>
      <c r="F65" s="105" t="s">
        <v>82</v>
      </c>
      <c r="G65" s="105">
        <v>14</v>
      </c>
      <c r="H65" s="105">
        <v>13</v>
      </c>
      <c r="I65" s="105">
        <v>11</v>
      </c>
      <c r="J65" s="105">
        <v>10</v>
      </c>
      <c r="K65" s="105">
        <v>9</v>
      </c>
      <c r="L65" s="105">
        <v>8</v>
      </c>
    </row>
    <row r="66" spans="1:12" ht="14.25" thickBot="1">
      <c r="A66" s="104" t="s">
        <v>56</v>
      </c>
      <c r="B66" s="105">
        <v>2</v>
      </c>
      <c r="C66" s="105">
        <v>7</v>
      </c>
      <c r="D66" s="105">
        <v>9</v>
      </c>
      <c r="E66" s="105">
        <v>6</v>
      </c>
      <c r="F66" s="105">
        <v>6</v>
      </c>
      <c r="G66" s="105">
        <v>5</v>
      </c>
      <c r="H66" s="105">
        <v>5</v>
      </c>
      <c r="I66" s="105">
        <v>4</v>
      </c>
      <c r="J66" s="105">
        <v>4</v>
      </c>
      <c r="K66" s="105">
        <v>3</v>
      </c>
      <c r="L66" s="105">
        <v>3</v>
      </c>
    </row>
    <row r="67" spans="1:12" ht="14.25" thickBot="1">
      <c r="A67" s="104" t="s">
        <v>21</v>
      </c>
      <c r="B67" s="105">
        <v>251</v>
      </c>
      <c r="C67" s="105">
        <v>179</v>
      </c>
      <c r="D67" s="105">
        <v>158</v>
      </c>
      <c r="E67" s="105">
        <v>142</v>
      </c>
      <c r="F67" s="105">
        <v>126</v>
      </c>
      <c r="G67" s="105">
        <v>112</v>
      </c>
      <c r="H67" s="105">
        <v>100</v>
      </c>
      <c r="I67" s="105">
        <v>90</v>
      </c>
      <c r="J67" s="105">
        <v>80</v>
      </c>
      <c r="K67" s="105">
        <v>71</v>
      </c>
      <c r="L67" s="105">
        <v>63</v>
      </c>
    </row>
    <row r="68" spans="1:12" ht="15">
      <c r="A68" s="107" t="s">
        <v>80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C9B2C-B62E-5043-86DF-9AB3822004E0}">
  <dimension ref="A1:AC11"/>
  <sheetViews>
    <sheetView zoomScaleNormal="100" workbookViewId="0">
      <selection activeCell="R18" sqref="R18"/>
    </sheetView>
  </sheetViews>
  <sheetFormatPr defaultColWidth="8.875" defaultRowHeight="13.5"/>
  <cols>
    <col min="1" max="1" width="12" style="1" customWidth="1"/>
    <col min="2" max="16384" width="8.875" style="1"/>
  </cols>
  <sheetData>
    <row r="1" spans="1:29">
      <c r="A1" s="131" t="s">
        <v>111</v>
      </c>
      <c r="F1" s="120"/>
      <c r="I1" s="8"/>
    </row>
    <row r="2" spans="1:29">
      <c r="A2" s="132"/>
      <c r="F2" s="110"/>
    </row>
    <row r="3" spans="1:29">
      <c r="A3" s="40" t="s">
        <v>83</v>
      </c>
      <c r="B3" s="40"/>
      <c r="C3" s="40"/>
      <c r="D3" s="40"/>
      <c r="E3" s="40"/>
      <c r="F3" s="40"/>
      <c r="G3" s="40"/>
      <c r="H3" s="40"/>
      <c r="I3" s="122"/>
      <c r="J3" s="40"/>
      <c r="K3" s="40"/>
      <c r="L3" s="40"/>
      <c r="M3" s="40"/>
      <c r="N3" s="40"/>
      <c r="O3" s="40"/>
      <c r="P3" s="8"/>
      <c r="Q3" s="40"/>
    </row>
    <row r="4" spans="1:29">
      <c r="A4" s="41" t="s">
        <v>18</v>
      </c>
      <c r="B4" s="41">
        <v>1997</v>
      </c>
      <c r="C4" s="41">
        <v>1998</v>
      </c>
      <c r="D4" s="41">
        <v>1999</v>
      </c>
      <c r="E4" s="41">
        <v>2000</v>
      </c>
      <c r="F4" s="41">
        <v>2001</v>
      </c>
      <c r="G4" s="41">
        <v>2002</v>
      </c>
      <c r="H4" s="41">
        <v>2003</v>
      </c>
      <c r="I4" s="41">
        <v>2004</v>
      </c>
      <c r="J4" s="41">
        <v>2005</v>
      </c>
      <c r="K4" s="41">
        <v>2006</v>
      </c>
      <c r="L4" s="41">
        <v>2007</v>
      </c>
      <c r="M4" s="41">
        <v>2008</v>
      </c>
      <c r="N4" s="41">
        <v>2009</v>
      </c>
      <c r="O4" s="41">
        <v>2010</v>
      </c>
      <c r="P4" s="41">
        <v>2011</v>
      </c>
      <c r="Q4" s="41">
        <v>2012</v>
      </c>
      <c r="R4" s="41">
        <v>2013</v>
      </c>
      <c r="S4" s="41">
        <v>2014</v>
      </c>
      <c r="T4" s="41">
        <v>2015</v>
      </c>
      <c r="U4" s="41">
        <v>2016</v>
      </c>
      <c r="V4" s="41">
        <v>2017</v>
      </c>
      <c r="W4" s="41">
        <v>2018</v>
      </c>
      <c r="X4" s="41">
        <v>2019</v>
      </c>
      <c r="Y4" s="41">
        <v>2020</v>
      </c>
      <c r="Z4" s="41">
        <v>2021</v>
      </c>
      <c r="AA4" s="41">
        <v>2022</v>
      </c>
    </row>
    <row r="5" spans="1:29">
      <c r="A5" s="41" t="s">
        <v>84</v>
      </c>
      <c r="B5" s="41">
        <v>0.2</v>
      </c>
      <c r="C5" s="41">
        <v>2.2000000000000002</v>
      </c>
      <c r="D5" s="41">
        <v>1.6</v>
      </c>
      <c r="E5" s="41">
        <v>0.9</v>
      </c>
      <c r="F5" s="41">
        <v>0.3</v>
      </c>
      <c r="G5" s="41">
        <v>0.3</v>
      </c>
      <c r="H5" s="41">
        <v>0.05</v>
      </c>
      <c r="I5" s="50">
        <v>1</v>
      </c>
      <c r="J5" s="41">
        <v>2.7</v>
      </c>
      <c r="K5" s="41">
        <v>1.7</v>
      </c>
      <c r="L5" s="41">
        <v>0.9</v>
      </c>
      <c r="M5" s="41">
        <v>8.3000000000000007</v>
      </c>
      <c r="N5" s="41">
        <v>0.8</v>
      </c>
      <c r="O5" s="41">
        <v>0.4</v>
      </c>
      <c r="P5" s="41">
        <v>0.8</v>
      </c>
      <c r="Q5" s="41">
        <v>7.8</v>
      </c>
      <c r="R5" s="41">
        <v>1.6</v>
      </c>
      <c r="S5" s="41">
        <v>1.7</v>
      </c>
      <c r="T5" s="41">
        <v>1.3</v>
      </c>
      <c r="U5" s="41">
        <v>2.2999999999999998</v>
      </c>
      <c r="V5" s="41">
        <v>4.8</v>
      </c>
      <c r="W5" s="41">
        <v>4.5999999999999996</v>
      </c>
      <c r="X5" s="41">
        <v>39.799999999999997</v>
      </c>
      <c r="Y5" s="51">
        <v>144</v>
      </c>
      <c r="Z5" s="41">
        <v>32.6</v>
      </c>
      <c r="AA5" s="41">
        <v>16.100000000000001</v>
      </c>
    </row>
    <row r="7" spans="1:29">
      <c r="A7" s="40" t="s">
        <v>85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X7" s="116"/>
      <c r="Y7" s="116"/>
      <c r="Z7" s="115"/>
    </row>
    <row r="8" spans="1:29">
      <c r="A8" s="41" t="s">
        <v>18</v>
      </c>
      <c r="B8" s="41">
        <v>2000</v>
      </c>
      <c r="C8" s="41">
        <v>2001</v>
      </c>
      <c r="D8" s="41">
        <v>2002</v>
      </c>
      <c r="E8" s="41">
        <v>2003</v>
      </c>
      <c r="F8" s="41">
        <v>2004</v>
      </c>
      <c r="G8" s="41">
        <v>2005</v>
      </c>
      <c r="H8" s="41">
        <v>2006</v>
      </c>
      <c r="I8" s="41">
        <v>2007</v>
      </c>
      <c r="J8" s="41">
        <v>2008</v>
      </c>
      <c r="K8" s="41">
        <v>2009</v>
      </c>
      <c r="L8" s="41">
        <v>2010</v>
      </c>
      <c r="M8" s="41">
        <v>2011</v>
      </c>
      <c r="N8" s="41">
        <v>2012</v>
      </c>
      <c r="O8" s="41">
        <v>2013</v>
      </c>
      <c r="P8" s="41">
        <v>2014</v>
      </c>
      <c r="Q8" s="41">
        <v>2015</v>
      </c>
      <c r="R8" s="41">
        <v>2016</v>
      </c>
      <c r="S8" s="41">
        <v>2017</v>
      </c>
      <c r="T8" s="41">
        <v>2018</v>
      </c>
      <c r="U8" s="41">
        <v>2019</v>
      </c>
      <c r="V8" s="41">
        <v>2020</v>
      </c>
      <c r="W8" s="41">
        <v>2021</v>
      </c>
      <c r="X8" s="133">
        <v>2022</v>
      </c>
      <c r="Y8" s="133">
        <v>2023</v>
      </c>
    </row>
    <row r="9" spans="1:29">
      <c r="A9" s="41" t="s">
        <v>86</v>
      </c>
      <c r="B9" s="52">
        <v>31300</v>
      </c>
      <c r="C9" s="52">
        <v>67230</v>
      </c>
      <c r="D9" s="52">
        <v>6417</v>
      </c>
      <c r="E9" s="52">
        <v>4515</v>
      </c>
      <c r="F9" s="52">
        <v>873</v>
      </c>
      <c r="G9" s="52">
        <v>501</v>
      </c>
      <c r="H9" s="52">
        <v>11063</v>
      </c>
      <c r="I9" s="41">
        <v>251</v>
      </c>
      <c r="J9" s="52">
        <v>3694</v>
      </c>
      <c r="K9" s="41">
        <v>78</v>
      </c>
      <c r="L9" s="52">
        <v>327</v>
      </c>
      <c r="M9" s="52">
        <v>11479</v>
      </c>
      <c r="N9" s="52">
        <v>11813</v>
      </c>
      <c r="O9" s="41">
        <v>141</v>
      </c>
      <c r="P9" s="52">
        <v>604</v>
      </c>
      <c r="Q9" s="52">
        <v>9065</v>
      </c>
      <c r="R9" s="52">
        <v>18568</v>
      </c>
      <c r="S9" s="52">
        <v>10165</v>
      </c>
      <c r="T9" s="52">
        <v>13632</v>
      </c>
      <c r="U9" s="52">
        <v>369</v>
      </c>
      <c r="V9" s="53" t="s">
        <v>87</v>
      </c>
      <c r="W9" s="52">
        <v>85</v>
      </c>
      <c r="X9" s="52">
        <v>14573</v>
      </c>
      <c r="Y9" s="134" t="s">
        <v>112</v>
      </c>
      <c r="Z9" s="118"/>
      <c r="AC9" s="8"/>
    </row>
    <row r="11" spans="1:29">
      <c r="X11" s="135" t="s">
        <v>113</v>
      </c>
      <c r="AA11" s="117"/>
      <c r="AC11" s="8"/>
    </row>
  </sheetData>
  <phoneticPr fontId="1"/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6D064-2BFB-5042-9903-FC4A1CB8F590}">
  <dimension ref="A1:BK34"/>
  <sheetViews>
    <sheetView zoomScaleNormal="100" workbookViewId="0">
      <selection activeCell="R18" sqref="R18"/>
    </sheetView>
  </sheetViews>
  <sheetFormatPr defaultColWidth="8.875" defaultRowHeight="13.5"/>
  <cols>
    <col min="1" max="1" width="12" style="1" customWidth="1"/>
    <col min="2" max="16384" width="8.875" style="1"/>
  </cols>
  <sheetData>
    <row r="1" spans="1:63">
      <c r="A1" s="136" t="s">
        <v>114</v>
      </c>
      <c r="B1" s="136"/>
      <c r="C1" s="136"/>
      <c r="D1" s="137"/>
      <c r="E1" s="136"/>
      <c r="K1" s="121"/>
      <c r="N1" s="8"/>
    </row>
    <row r="2" spans="1:63">
      <c r="A2" s="261" t="s">
        <v>88</v>
      </c>
      <c r="B2" s="257" t="s">
        <v>89</v>
      </c>
      <c r="C2" s="258"/>
      <c r="D2" s="258"/>
      <c r="E2" s="258"/>
      <c r="F2" s="257" t="s">
        <v>90</v>
      </c>
      <c r="G2" s="258"/>
      <c r="H2" s="258"/>
      <c r="I2" s="258"/>
      <c r="J2" s="261" t="s">
        <v>88</v>
      </c>
      <c r="K2" s="257" t="s">
        <v>91</v>
      </c>
      <c r="L2" s="259"/>
      <c r="M2" s="259"/>
      <c r="N2" s="260"/>
      <c r="O2" s="257" t="s">
        <v>92</v>
      </c>
      <c r="P2" s="258"/>
      <c r="Q2" s="258"/>
      <c r="R2" s="258"/>
      <c r="S2" s="261" t="s">
        <v>88</v>
      </c>
      <c r="T2" s="257" t="s">
        <v>93</v>
      </c>
      <c r="U2" s="258"/>
      <c r="V2" s="258"/>
      <c r="W2" s="258"/>
      <c r="X2" s="257" t="s">
        <v>94</v>
      </c>
      <c r="Y2" s="259"/>
      <c r="Z2" s="259"/>
      <c r="AA2" s="260"/>
    </row>
    <row r="3" spans="1:63">
      <c r="A3" s="262"/>
      <c r="B3" s="54">
        <v>0</v>
      </c>
      <c r="C3" s="55">
        <v>1</v>
      </c>
      <c r="D3" s="55">
        <v>2</v>
      </c>
      <c r="E3" s="55" t="s">
        <v>95</v>
      </c>
      <c r="F3" s="54">
        <v>0</v>
      </c>
      <c r="G3" s="55">
        <v>1</v>
      </c>
      <c r="H3" s="55">
        <v>2</v>
      </c>
      <c r="I3" s="55" t="s">
        <v>95</v>
      </c>
      <c r="J3" s="262"/>
      <c r="K3" s="54">
        <v>0</v>
      </c>
      <c r="L3" s="55">
        <v>1</v>
      </c>
      <c r="M3" s="55">
        <v>2</v>
      </c>
      <c r="N3" s="56" t="s">
        <v>95</v>
      </c>
      <c r="O3" s="54">
        <v>0</v>
      </c>
      <c r="P3" s="55">
        <v>1</v>
      </c>
      <c r="Q3" s="55">
        <v>2</v>
      </c>
      <c r="R3" s="55" t="s">
        <v>95</v>
      </c>
      <c r="S3" s="262"/>
      <c r="T3" s="54">
        <v>0</v>
      </c>
      <c r="U3" s="55">
        <v>1</v>
      </c>
      <c r="V3" s="55">
        <v>2</v>
      </c>
      <c r="W3" s="55" t="s">
        <v>95</v>
      </c>
      <c r="X3" s="54">
        <v>0</v>
      </c>
      <c r="Y3" s="55">
        <v>1</v>
      </c>
      <c r="Z3" s="55">
        <v>2</v>
      </c>
      <c r="AA3" s="56" t="s">
        <v>95</v>
      </c>
    </row>
    <row r="4" spans="1:63">
      <c r="A4" s="57">
        <v>1992</v>
      </c>
      <c r="B4" s="58">
        <v>27</v>
      </c>
      <c r="C4" s="59">
        <v>57</v>
      </c>
      <c r="D4" s="59">
        <v>12</v>
      </c>
      <c r="E4" s="59">
        <v>3</v>
      </c>
      <c r="F4" s="58">
        <v>8</v>
      </c>
      <c r="G4" s="59">
        <v>21</v>
      </c>
      <c r="H4" s="59">
        <v>6</v>
      </c>
      <c r="I4" s="59">
        <v>2</v>
      </c>
      <c r="J4" s="57">
        <v>1992</v>
      </c>
      <c r="K4" s="60">
        <v>0.25</v>
      </c>
      <c r="L4" s="61">
        <v>0.77</v>
      </c>
      <c r="M4" s="61">
        <v>0.6</v>
      </c>
      <c r="N4" s="62">
        <v>0.6</v>
      </c>
      <c r="O4" s="58">
        <v>296</v>
      </c>
      <c r="P4" s="59">
        <v>373</v>
      </c>
      <c r="Q4" s="59">
        <v>462</v>
      </c>
      <c r="R4" s="59">
        <v>692</v>
      </c>
      <c r="S4" s="57">
        <v>1992</v>
      </c>
      <c r="T4" s="58">
        <v>145</v>
      </c>
      <c r="U4" s="59">
        <v>126</v>
      </c>
      <c r="V4" s="59">
        <v>32</v>
      </c>
      <c r="W4" s="59">
        <v>8</v>
      </c>
      <c r="X4" s="58">
        <v>43</v>
      </c>
      <c r="Y4" s="59">
        <v>47</v>
      </c>
      <c r="Z4" s="59">
        <v>15</v>
      </c>
      <c r="AA4" s="63">
        <v>6</v>
      </c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</row>
    <row r="5" spans="1:63">
      <c r="A5" s="57">
        <v>1993</v>
      </c>
      <c r="B5" s="58">
        <v>82</v>
      </c>
      <c r="C5" s="59">
        <v>34</v>
      </c>
      <c r="D5" s="59">
        <v>29</v>
      </c>
      <c r="E5" s="59">
        <v>11</v>
      </c>
      <c r="F5" s="58">
        <v>24</v>
      </c>
      <c r="G5" s="59">
        <v>12</v>
      </c>
      <c r="H5" s="59">
        <v>14</v>
      </c>
      <c r="I5" s="59">
        <v>8</v>
      </c>
      <c r="J5" s="57">
        <v>1993</v>
      </c>
      <c r="K5" s="60">
        <v>0.24</v>
      </c>
      <c r="L5" s="61">
        <v>0.76</v>
      </c>
      <c r="M5" s="61">
        <v>1.8</v>
      </c>
      <c r="N5" s="62">
        <v>1.8</v>
      </c>
      <c r="O5" s="58">
        <v>287</v>
      </c>
      <c r="P5" s="59">
        <v>357</v>
      </c>
      <c r="Q5" s="59">
        <v>474</v>
      </c>
      <c r="R5" s="59">
        <v>703</v>
      </c>
      <c r="S5" s="57">
        <v>1993</v>
      </c>
      <c r="T5" s="58">
        <v>454</v>
      </c>
      <c r="U5" s="59">
        <v>76</v>
      </c>
      <c r="V5" s="59">
        <v>39</v>
      </c>
      <c r="W5" s="59">
        <v>15</v>
      </c>
      <c r="X5" s="58">
        <v>130</v>
      </c>
      <c r="Y5" s="59">
        <v>27</v>
      </c>
      <c r="Z5" s="59">
        <v>19</v>
      </c>
      <c r="AA5" s="63">
        <v>10</v>
      </c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</row>
    <row r="6" spans="1:63">
      <c r="A6" s="57">
        <v>1994</v>
      </c>
      <c r="B6" s="58">
        <v>56</v>
      </c>
      <c r="C6" s="59">
        <v>112</v>
      </c>
      <c r="D6" s="59">
        <v>14</v>
      </c>
      <c r="E6" s="59">
        <v>4</v>
      </c>
      <c r="F6" s="58">
        <v>12</v>
      </c>
      <c r="G6" s="59">
        <v>41</v>
      </c>
      <c r="H6" s="59">
        <v>7</v>
      </c>
      <c r="I6" s="59">
        <v>2</v>
      </c>
      <c r="J6" s="57">
        <v>1994</v>
      </c>
      <c r="K6" s="60">
        <v>0.28000000000000003</v>
      </c>
      <c r="L6" s="61">
        <v>0.81</v>
      </c>
      <c r="M6" s="61">
        <v>1.17</v>
      </c>
      <c r="N6" s="62">
        <v>1.17</v>
      </c>
      <c r="O6" s="58">
        <v>219</v>
      </c>
      <c r="P6" s="59">
        <v>365</v>
      </c>
      <c r="Q6" s="59">
        <v>487</v>
      </c>
      <c r="R6" s="59">
        <v>659</v>
      </c>
      <c r="S6" s="57">
        <v>1994</v>
      </c>
      <c r="T6" s="58">
        <v>279</v>
      </c>
      <c r="U6" s="59">
        <v>238</v>
      </c>
      <c r="V6" s="59">
        <v>24</v>
      </c>
      <c r="W6" s="59">
        <v>6</v>
      </c>
      <c r="X6" s="58">
        <v>61</v>
      </c>
      <c r="Y6" s="59">
        <v>87</v>
      </c>
      <c r="Z6" s="59">
        <v>12</v>
      </c>
      <c r="AA6" s="63">
        <v>4</v>
      </c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</row>
    <row r="7" spans="1:63">
      <c r="A7" s="57">
        <v>1995</v>
      </c>
      <c r="B7" s="58">
        <v>80</v>
      </c>
      <c r="C7" s="59">
        <v>65</v>
      </c>
      <c r="D7" s="59">
        <v>39</v>
      </c>
      <c r="E7" s="59">
        <v>3</v>
      </c>
      <c r="F7" s="58">
        <v>15</v>
      </c>
      <c r="G7" s="59">
        <v>24</v>
      </c>
      <c r="H7" s="59">
        <v>18</v>
      </c>
      <c r="I7" s="59">
        <v>2</v>
      </c>
      <c r="J7" s="57">
        <v>1995</v>
      </c>
      <c r="K7" s="60">
        <v>0.36</v>
      </c>
      <c r="L7" s="61">
        <v>0.78</v>
      </c>
      <c r="M7" s="61">
        <v>1.03</v>
      </c>
      <c r="N7" s="62">
        <v>1.03</v>
      </c>
      <c r="O7" s="58">
        <v>188</v>
      </c>
      <c r="P7" s="59">
        <v>374</v>
      </c>
      <c r="Q7" s="59">
        <v>454</v>
      </c>
      <c r="R7" s="59">
        <v>687</v>
      </c>
      <c r="S7" s="57">
        <v>1995</v>
      </c>
      <c r="T7" s="58">
        <v>321</v>
      </c>
      <c r="U7" s="59">
        <v>142</v>
      </c>
      <c r="V7" s="59">
        <v>71</v>
      </c>
      <c r="W7" s="59">
        <v>6</v>
      </c>
      <c r="X7" s="58">
        <v>61</v>
      </c>
      <c r="Y7" s="59">
        <v>53</v>
      </c>
      <c r="Z7" s="59">
        <v>32</v>
      </c>
      <c r="AA7" s="63">
        <v>4</v>
      </c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</row>
    <row r="8" spans="1:63">
      <c r="A8" s="57">
        <v>1996</v>
      </c>
      <c r="B8" s="58">
        <v>48</v>
      </c>
      <c r="C8" s="59">
        <v>69</v>
      </c>
      <c r="D8" s="59">
        <v>13</v>
      </c>
      <c r="E8" s="59">
        <v>5</v>
      </c>
      <c r="F8" s="58">
        <v>13</v>
      </c>
      <c r="G8" s="59">
        <v>25</v>
      </c>
      <c r="H8" s="59">
        <v>6</v>
      </c>
      <c r="I8" s="59">
        <v>4</v>
      </c>
      <c r="J8" s="57">
        <v>1996</v>
      </c>
      <c r="K8" s="60">
        <v>0.25</v>
      </c>
      <c r="L8" s="61">
        <v>0.77</v>
      </c>
      <c r="M8" s="61">
        <v>0.44</v>
      </c>
      <c r="N8" s="62">
        <v>0.44</v>
      </c>
      <c r="O8" s="58">
        <v>270</v>
      </c>
      <c r="P8" s="59">
        <v>361</v>
      </c>
      <c r="Q8" s="59">
        <v>474</v>
      </c>
      <c r="R8" s="59">
        <v>641</v>
      </c>
      <c r="S8" s="57">
        <v>1996</v>
      </c>
      <c r="T8" s="58">
        <v>266</v>
      </c>
      <c r="U8" s="59">
        <v>151</v>
      </c>
      <c r="V8" s="59">
        <v>43</v>
      </c>
      <c r="W8" s="59">
        <v>18</v>
      </c>
      <c r="X8" s="58">
        <v>72</v>
      </c>
      <c r="Y8" s="59">
        <v>54</v>
      </c>
      <c r="Z8" s="59">
        <v>21</v>
      </c>
      <c r="AA8" s="63">
        <v>12</v>
      </c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</row>
    <row r="9" spans="1:63">
      <c r="A9" s="57">
        <v>1997</v>
      </c>
      <c r="B9" s="58">
        <v>110</v>
      </c>
      <c r="C9" s="59">
        <v>48</v>
      </c>
      <c r="D9" s="59">
        <v>21</v>
      </c>
      <c r="E9" s="59">
        <v>12</v>
      </c>
      <c r="F9" s="58">
        <v>29</v>
      </c>
      <c r="G9" s="59">
        <v>18</v>
      </c>
      <c r="H9" s="59">
        <v>11</v>
      </c>
      <c r="I9" s="59">
        <v>9</v>
      </c>
      <c r="J9" s="57">
        <v>1997</v>
      </c>
      <c r="K9" s="60">
        <v>0.41</v>
      </c>
      <c r="L9" s="61">
        <v>0.53</v>
      </c>
      <c r="M9" s="61">
        <v>0.75</v>
      </c>
      <c r="N9" s="62">
        <v>0.75</v>
      </c>
      <c r="O9" s="58">
        <v>262</v>
      </c>
      <c r="P9" s="59">
        <v>370</v>
      </c>
      <c r="Q9" s="59">
        <v>505</v>
      </c>
      <c r="R9" s="59">
        <v>731</v>
      </c>
      <c r="S9" s="57">
        <v>1997</v>
      </c>
      <c r="T9" s="58">
        <v>390</v>
      </c>
      <c r="U9" s="59">
        <v>139</v>
      </c>
      <c r="V9" s="59">
        <v>47</v>
      </c>
      <c r="W9" s="59">
        <v>27</v>
      </c>
      <c r="X9" s="58">
        <v>102</v>
      </c>
      <c r="Y9" s="59">
        <v>52</v>
      </c>
      <c r="Z9" s="59">
        <v>24</v>
      </c>
      <c r="AA9" s="63">
        <v>20</v>
      </c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</row>
    <row r="10" spans="1:63">
      <c r="A10" s="57">
        <v>1998</v>
      </c>
      <c r="B10" s="58">
        <v>100</v>
      </c>
      <c r="C10" s="59">
        <v>98</v>
      </c>
      <c r="D10" s="59">
        <v>23</v>
      </c>
      <c r="E10" s="59">
        <v>10</v>
      </c>
      <c r="F10" s="58">
        <v>24</v>
      </c>
      <c r="G10" s="59">
        <v>36</v>
      </c>
      <c r="H10" s="59">
        <v>12</v>
      </c>
      <c r="I10" s="59">
        <v>7</v>
      </c>
      <c r="J10" s="57">
        <v>1998</v>
      </c>
      <c r="K10" s="60">
        <v>0.25</v>
      </c>
      <c r="L10" s="61">
        <v>1.0900000000000001</v>
      </c>
      <c r="M10" s="61">
        <v>0.7</v>
      </c>
      <c r="N10" s="62">
        <v>0.7</v>
      </c>
      <c r="O10" s="58">
        <v>238</v>
      </c>
      <c r="P10" s="59">
        <v>365</v>
      </c>
      <c r="Q10" s="59">
        <v>508</v>
      </c>
      <c r="R10" s="59">
        <v>667</v>
      </c>
      <c r="S10" s="57">
        <v>1998</v>
      </c>
      <c r="T10" s="58">
        <v>553</v>
      </c>
      <c r="U10" s="59">
        <v>173</v>
      </c>
      <c r="V10" s="59">
        <v>55</v>
      </c>
      <c r="W10" s="59">
        <v>23</v>
      </c>
      <c r="X10" s="58">
        <v>132</v>
      </c>
      <c r="Y10" s="59">
        <v>63</v>
      </c>
      <c r="Z10" s="59">
        <v>28</v>
      </c>
      <c r="AA10" s="63">
        <v>15</v>
      </c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</row>
    <row r="11" spans="1:63">
      <c r="A11" s="57">
        <v>1999</v>
      </c>
      <c r="B11" s="58">
        <v>169</v>
      </c>
      <c r="C11" s="59">
        <v>170</v>
      </c>
      <c r="D11" s="59">
        <v>18</v>
      </c>
      <c r="E11" s="59">
        <v>12</v>
      </c>
      <c r="F11" s="58">
        <v>42</v>
      </c>
      <c r="G11" s="59">
        <v>51</v>
      </c>
      <c r="H11" s="59">
        <v>9</v>
      </c>
      <c r="I11" s="59">
        <v>8</v>
      </c>
      <c r="J11" s="57">
        <v>1999</v>
      </c>
      <c r="K11" s="60">
        <v>0.65</v>
      </c>
      <c r="L11" s="61">
        <v>1.1599999999999999</v>
      </c>
      <c r="M11" s="61">
        <v>0.76</v>
      </c>
      <c r="N11" s="62">
        <v>0.76</v>
      </c>
      <c r="O11" s="58">
        <v>247</v>
      </c>
      <c r="P11" s="59">
        <v>298</v>
      </c>
      <c r="Q11" s="59">
        <v>489</v>
      </c>
      <c r="R11" s="59">
        <v>655</v>
      </c>
      <c r="S11" s="57">
        <v>1999</v>
      </c>
      <c r="T11" s="58">
        <v>419</v>
      </c>
      <c r="U11" s="59">
        <v>290</v>
      </c>
      <c r="V11" s="59">
        <v>39</v>
      </c>
      <c r="W11" s="59">
        <v>26</v>
      </c>
      <c r="X11" s="58">
        <v>103</v>
      </c>
      <c r="Y11" s="59">
        <v>86</v>
      </c>
      <c r="Z11" s="59">
        <v>19</v>
      </c>
      <c r="AA11" s="63">
        <v>17</v>
      </c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</row>
    <row r="12" spans="1:63">
      <c r="A12" s="57">
        <v>2000</v>
      </c>
      <c r="B12" s="58">
        <v>48</v>
      </c>
      <c r="C12" s="59">
        <v>94</v>
      </c>
      <c r="D12" s="59">
        <v>30</v>
      </c>
      <c r="E12" s="59">
        <v>10</v>
      </c>
      <c r="F12" s="58">
        <v>13</v>
      </c>
      <c r="G12" s="59">
        <v>32</v>
      </c>
      <c r="H12" s="59">
        <v>14</v>
      </c>
      <c r="I12" s="59">
        <v>7</v>
      </c>
      <c r="J12" s="57">
        <v>2000</v>
      </c>
      <c r="K12" s="60">
        <v>0.35</v>
      </c>
      <c r="L12" s="61">
        <v>1.38</v>
      </c>
      <c r="M12" s="61">
        <v>0.85</v>
      </c>
      <c r="N12" s="62">
        <v>0.85</v>
      </c>
      <c r="O12" s="58">
        <v>280</v>
      </c>
      <c r="P12" s="59">
        <v>343</v>
      </c>
      <c r="Q12" s="59">
        <v>487</v>
      </c>
      <c r="R12" s="59">
        <v>700</v>
      </c>
      <c r="S12" s="57">
        <v>2000</v>
      </c>
      <c r="T12" s="58">
        <v>195</v>
      </c>
      <c r="U12" s="59">
        <v>146</v>
      </c>
      <c r="V12" s="59">
        <v>61</v>
      </c>
      <c r="W12" s="59">
        <v>20</v>
      </c>
      <c r="X12" s="58">
        <v>55</v>
      </c>
      <c r="Y12" s="59">
        <v>50</v>
      </c>
      <c r="Z12" s="59">
        <v>30</v>
      </c>
      <c r="AA12" s="63">
        <v>14</v>
      </c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</row>
    <row r="13" spans="1:63">
      <c r="A13" s="57">
        <v>2001</v>
      </c>
      <c r="B13" s="58">
        <v>120</v>
      </c>
      <c r="C13" s="59">
        <v>40</v>
      </c>
      <c r="D13" s="59">
        <v>16</v>
      </c>
      <c r="E13" s="59">
        <v>15</v>
      </c>
      <c r="F13" s="58">
        <v>34</v>
      </c>
      <c r="G13" s="59">
        <v>14</v>
      </c>
      <c r="H13" s="59">
        <v>8</v>
      </c>
      <c r="I13" s="59">
        <v>11</v>
      </c>
      <c r="J13" s="57">
        <v>2001</v>
      </c>
      <c r="K13" s="60">
        <v>0.54</v>
      </c>
      <c r="L13" s="61">
        <v>0.71</v>
      </c>
      <c r="M13" s="61">
        <v>1.36</v>
      </c>
      <c r="N13" s="62">
        <v>1.36</v>
      </c>
      <c r="O13" s="58">
        <v>285</v>
      </c>
      <c r="P13" s="59">
        <v>362</v>
      </c>
      <c r="Q13" s="59">
        <v>519</v>
      </c>
      <c r="R13" s="59">
        <v>729</v>
      </c>
      <c r="S13" s="57">
        <v>2001</v>
      </c>
      <c r="T13" s="58">
        <v>344</v>
      </c>
      <c r="U13" s="59">
        <v>92</v>
      </c>
      <c r="V13" s="59">
        <v>25</v>
      </c>
      <c r="W13" s="59">
        <v>23</v>
      </c>
      <c r="X13" s="58">
        <v>98</v>
      </c>
      <c r="Y13" s="59">
        <v>33</v>
      </c>
      <c r="Z13" s="59">
        <v>13</v>
      </c>
      <c r="AA13" s="63">
        <v>17</v>
      </c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</row>
    <row r="14" spans="1:63">
      <c r="A14" s="57">
        <v>2002</v>
      </c>
      <c r="B14" s="58">
        <v>66</v>
      </c>
      <c r="C14" s="59">
        <v>55</v>
      </c>
      <c r="D14" s="59">
        <v>13</v>
      </c>
      <c r="E14" s="59">
        <v>4</v>
      </c>
      <c r="F14" s="58">
        <v>20</v>
      </c>
      <c r="G14" s="59">
        <v>20</v>
      </c>
      <c r="H14" s="59">
        <v>6</v>
      </c>
      <c r="I14" s="59">
        <v>3</v>
      </c>
      <c r="J14" s="57">
        <v>2002</v>
      </c>
      <c r="K14" s="60">
        <v>0.53</v>
      </c>
      <c r="L14" s="61">
        <v>0.66</v>
      </c>
      <c r="M14" s="61">
        <v>0.75</v>
      </c>
      <c r="N14" s="62">
        <v>0.75</v>
      </c>
      <c r="O14" s="58">
        <v>299</v>
      </c>
      <c r="P14" s="59">
        <v>360</v>
      </c>
      <c r="Q14" s="59">
        <v>475</v>
      </c>
      <c r="R14" s="59">
        <v>690</v>
      </c>
      <c r="S14" s="57">
        <v>2002</v>
      </c>
      <c r="T14" s="58">
        <v>192</v>
      </c>
      <c r="U14" s="59">
        <v>135</v>
      </c>
      <c r="V14" s="59">
        <v>30</v>
      </c>
      <c r="W14" s="59">
        <v>8</v>
      </c>
      <c r="X14" s="58">
        <v>57</v>
      </c>
      <c r="Y14" s="59">
        <v>49</v>
      </c>
      <c r="Z14" s="59">
        <v>14</v>
      </c>
      <c r="AA14" s="63">
        <v>6</v>
      </c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</row>
    <row r="15" spans="1:63">
      <c r="A15" s="57">
        <v>2003</v>
      </c>
      <c r="B15" s="58">
        <v>67</v>
      </c>
      <c r="C15" s="59">
        <v>42</v>
      </c>
      <c r="D15" s="59">
        <v>20</v>
      </c>
      <c r="E15" s="59">
        <v>5</v>
      </c>
      <c r="F15" s="58">
        <v>19</v>
      </c>
      <c r="G15" s="59">
        <v>16</v>
      </c>
      <c r="H15" s="59">
        <v>10</v>
      </c>
      <c r="I15" s="59">
        <v>4</v>
      </c>
      <c r="J15" s="57">
        <v>2003</v>
      </c>
      <c r="K15" s="60">
        <v>0.53</v>
      </c>
      <c r="L15" s="61">
        <v>1.04</v>
      </c>
      <c r="M15" s="61">
        <v>0.69</v>
      </c>
      <c r="N15" s="62">
        <v>0.69</v>
      </c>
      <c r="O15" s="58">
        <v>284</v>
      </c>
      <c r="P15" s="59">
        <v>388</v>
      </c>
      <c r="Q15" s="59">
        <v>508</v>
      </c>
      <c r="R15" s="59">
        <v>721</v>
      </c>
      <c r="S15" s="57">
        <v>2003</v>
      </c>
      <c r="T15" s="58">
        <v>195</v>
      </c>
      <c r="U15" s="59">
        <v>76</v>
      </c>
      <c r="V15" s="59">
        <v>47</v>
      </c>
      <c r="W15" s="59">
        <v>12</v>
      </c>
      <c r="X15" s="58">
        <v>55</v>
      </c>
      <c r="Y15" s="59">
        <v>29</v>
      </c>
      <c r="Z15" s="59">
        <v>24</v>
      </c>
      <c r="AA15" s="63">
        <v>9</v>
      </c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</row>
    <row r="16" spans="1:63">
      <c r="A16" s="57">
        <v>2004</v>
      </c>
      <c r="B16" s="64">
        <v>77</v>
      </c>
      <c r="C16" s="65">
        <v>14</v>
      </c>
      <c r="D16" s="65">
        <v>7</v>
      </c>
      <c r="E16" s="65">
        <v>8</v>
      </c>
      <c r="F16" s="58">
        <v>23</v>
      </c>
      <c r="G16" s="59">
        <v>5</v>
      </c>
      <c r="H16" s="59">
        <v>4</v>
      </c>
      <c r="I16" s="59">
        <v>5</v>
      </c>
      <c r="J16" s="57">
        <v>2004</v>
      </c>
      <c r="K16" s="60">
        <v>0.27</v>
      </c>
      <c r="L16" s="61">
        <v>0.26</v>
      </c>
      <c r="M16" s="61">
        <v>0.64</v>
      </c>
      <c r="N16" s="62">
        <v>0.64</v>
      </c>
      <c r="O16" s="64">
        <v>295</v>
      </c>
      <c r="P16" s="65">
        <v>362</v>
      </c>
      <c r="Q16" s="65">
        <v>520</v>
      </c>
      <c r="R16" s="65">
        <v>693</v>
      </c>
      <c r="S16" s="57">
        <v>2004</v>
      </c>
      <c r="T16" s="58">
        <v>390</v>
      </c>
      <c r="U16" s="59">
        <v>77</v>
      </c>
      <c r="V16" s="59">
        <v>18</v>
      </c>
      <c r="W16" s="59">
        <v>20</v>
      </c>
      <c r="X16" s="58">
        <v>115</v>
      </c>
      <c r="Y16" s="59">
        <v>28</v>
      </c>
      <c r="Z16" s="59">
        <v>9</v>
      </c>
      <c r="AA16" s="63">
        <v>14</v>
      </c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</row>
    <row r="17" spans="1:54">
      <c r="A17" s="57">
        <v>2005</v>
      </c>
      <c r="B17" s="64">
        <v>167</v>
      </c>
      <c r="C17" s="65">
        <v>90</v>
      </c>
      <c r="D17" s="65">
        <v>17</v>
      </c>
      <c r="E17" s="65">
        <v>6</v>
      </c>
      <c r="F17" s="58">
        <v>46</v>
      </c>
      <c r="G17" s="59">
        <v>33</v>
      </c>
      <c r="H17" s="59">
        <v>9</v>
      </c>
      <c r="I17" s="59">
        <v>4</v>
      </c>
      <c r="J17" s="57">
        <v>2005</v>
      </c>
      <c r="K17" s="60">
        <v>1.03</v>
      </c>
      <c r="L17" s="61">
        <v>0.76</v>
      </c>
      <c r="M17" s="61">
        <v>0.7</v>
      </c>
      <c r="N17" s="62">
        <v>0.7</v>
      </c>
      <c r="O17" s="64">
        <v>274</v>
      </c>
      <c r="P17" s="65">
        <v>366</v>
      </c>
      <c r="Q17" s="65">
        <v>505</v>
      </c>
      <c r="R17" s="65">
        <v>710</v>
      </c>
      <c r="S17" s="57">
        <v>2005</v>
      </c>
      <c r="T17" s="58">
        <v>305</v>
      </c>
      <c r="U17" s="59">
        <v>200</v>
      </c>
      <c r="V17" s="59">
        <v>40</v>
      </c>
      <c r="W17" s="59">
        <v>13</v>
      </c>
      <c r="X17" s="58">
        <v>84</v>
      </c>
      <c r="Y17" s="59">
        <v>73</v>
      </c>
      <c r="Z17" s="59">
        <v>20</v>
      </c>
      <c r="AA17" s="63">
        <v>10</v>
      </c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</row>
    <row r="18" spans="1:54">
      <c r="A18" s="57">
        <v>2006</v>
      </c>
      <c r="B18" s="64">
        <v>114</v>
      </c>
      <c r="C18" s="65">
        <v>32</v>
      </c>
      <c r="D18" s="65">
        <v>26</v>
      </c>
      <c r="E18" s="65">
        <v>7</v>
      </c>
      <c r="F18" s="64">
        <v>34</v>
      </c>
      <c r="G18" s="65">
        <v>12</v>
      </c>
      <c r="H18" s="65">
        <v>14</v>
      </c>
      <c r="I18" s="65">
        <v>5</v>
      </c>
      <c r="J18" s="57">
        <v>2006</v>
      </c>
      <c r="K18" s="66">
        <v>0.64</v>
      </c>
      <c r="L18" s="67">
        <v>0.72</v>
      </c>
      <c r="M18" s="67">
        <v>0.69</v>
      </c>
      <c r="N18" s="68">
        <v>0.69</v>
      </c>
      <c r="O18" s="64">
        <v>296</v>
      </c>
      <c r="P18" s="65">
        <v>367</v>
      </c>
      <c r="Q18" s="65">
        <v>524</v>
      </c>
      <c r="R18" s="65">
        <v>685</v>
      </c>
      <c r="S18" s="57">
        <v>2006</v>
      </c>
      <c r="T18" s="64">
        <v>287</v>
      </c>
      <c r="U18" s="65">
        <v>73</v>
      </c>
      <c r="V18" s="65">
        <v>62</v>
      </c>
      <c r="W18" s="65">
        <v>18</v>
      </c>
      <c r="X18" s="58">
        <v>85</v>
      </c>
      <c r="Y18" s="59">
        <v>27</v>
      </c>
      <c r="Z18" s="59">
        <v>33</v>
      </c>
      <c r="AA18" s="63">
        <v>12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</row>
    <row r="19" spans="1:54">
      <c r="A19" s="57">
        <v>2007</v>
      </c>
      <c r="B19" s="64">
        <v>67</v>
      </c>
      <c r="C19" s="65">
        <v>60</v>
      </c>
      <c r="D19" s="65">
        <v>12</v>
      </c>
      <c r="E19" s="65">
        <v>14</v>
      </c>
      <c r="F19" s="64">
        <v>18</v>
      </c>
      <c r="G19" s="65">
        <v>21</v>
      </c>
      <c r="H19" s="65">
        <v>6</v>
      </c>
      <c r="I19" s="65">
        <v>9</v>
      </c>
      <c r="J19" s="57">
        <v>2007</v>
      </c>
      <c r="K19" s="66">
        <v>0.54</v>
      </c>
      <c r="L19" s="67">
        <v>1.1599999999999999</v>
      </c>
      <c r="M19" s="67">
        <v>0.91</v>
      </c>
      <c r="N19" s="68">
        <v>0.91</v>
      </c>
      <c r="O19" s="64">
        <v>276</v>
      </c>
      <c r="P19" s="65">
        <v>345</v>
      </c>
      <c r="Q19" s="65">
        <v>534</v>
      </c>
      <c r="R19" s="65">
        <v>672</v>
      </c>
      <c r="S19" s="57">
        <v>2007</v>
      </c>
      <c r="T19" s="64">
        <v>191</v>
      </c>
      <c r="U19" s="65">
        <v>102</v>
      </c>
      <c r="V19" s="65">
        <v>24</v>
      </c>
      <c r="W19" s="65">
        <v>27</v>
      </c>
      <c r="X19" s="58">
        <v>53</v>
      </c>
      <c r="Y19" s="59">
        <v>35</v>
      </c>
      <c r="Z19" s="59">
        <v>13</v>
      </c>
      <c r="AA19" s="63">
        <v>18</v>
      </c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</row>
    <row r="20" spans="1:54">
      <c r="A20" s="57">
        <v>2008</v>
      </c>
      <c r="B20" s="64">
        <v>93</v>
      </c>
      <c r="C20" s="65">
        <v>29</v>
      </c>
      <c r="D20" s="65">
        <v>10</v>
      </c>
      <c r="E20" s="65">
        <v>6</v>
      </c>
      <c r="F20" s="64">
        <v>23</v>
      </c>
      <c r="G20" s="65">
        <v>10</v>
      </c>
      <c r="H20" s="65">
        <v>6</v>
      </c>
      <c r="I20" s="65">
        <v>5</v>
      </c>
      <c r="J20" s="57">
        <v>2008</v>
      </c>
      <c r="K20" s="66">
        <v>0.87</v>
      </c>
      <c r="L20" s="67">
        <v>0.61</v>
      </c>
      <c r="M20" s="67">
        <v>0.81</v>
      </c>
      <c r="N20" s="68">
        <v>0.81</v>
      </c>
      <c r="O20" s="64">
        <v>243</v>
      </c>
      <c r="P20" s="65">
        <v>342</v>
      </c>
      <c r="Q20" s="65">
        <v>597</v>
      </c>
      <c r="R20" s="65">
        <v>754</v>
      </c>
      <c r="S20" s="57">
        <v>2008</v>
      </c>
      <c r="T20" s="64">
        <v>188</v>
      </c>
      <c r="U20" s="65">
        <v>74</v>
      </c>
      <c r="V20" s="65">
        <v>21</v>
      </c>
      <c r="W20" s="65">
        <v>14</v>
      </c>
      <c r="X20" s="58">
        <v>46</v>
      </c>
      <c r="Y20" s="59">
        <v>25</v>
      </c>
      <c r="Z20" s="59">
        <v>13</v>
      </c>
      <c r="AA20" s="63">
        <v>10</v>
      </c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</row>
    <row r="21" spans="1:54">
      <c r="A21" s="57">
        <v>2009</v>
      </c>
      <c r="B21" s="64">
        <v>75</v>
      </c>
      <c r="C21" s="65">
        <v>31</v>
      </c>
      <c r="D21" s="65">
        <v>16</v>
      </c>
      <c r="E21" s="65">
        <v>6</v>
      </c>
      <c r="F21" s="64">
        <v>18</v>
      </c>
      <c r="G21" s="65">
        <v>12</v>
      </c>
      <c r="H21" s="65">
        <v>9</v>
      </c>
      <c r="I21" s="65">
        <v>5</v>
      </c>
      <c r="J21" s="57">
        <v>2009</v>
      </c>
      <c r="K21" s="66">
        <v>0.42</v>
      </c>
      <c r="L21" s="67">
        <v>1.19</v>
      </c>
      <c r="M21" s="67">
        <v>1.22</v>
      </c>
      <c r="N21" s="68">
        <v>1.22</v>
      </c>
      <c r="O21" s="64">
        <v>240</v>
      </c>
      <c r="P21" s="65">
        <v>376</v>
      </c>
      <c r="Q21" s="65">
        <v>567</v>
      </c>
      <c r="R21" s="65">
        <v>749</v>
      </c>
      <c r="S21" s="57">
        <v>2009</v>
      </c>
      <c r="T21" s="64">
        <v>265</v>
      </c>
      <c r="U21" s="65">
        <v>53</v>
      </c>
      <c r="V21" s="65">
        <v>27</v>
      </c>
      <c r="W21" s="65">
        <v>10</v>
      </c>
      <c r="X21" s="58">
        <v>64</v>
      </c>
      <c r="Y21" s="59">
        <v>20</v>
      </c>
      <c r="Z21" s="59">
        <v>15</v>
      </c>
      <c r="AA21" s="63">
        <v>8</v>
      </c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</row>
    <row r="22" spans="1:54">
      <c r="A22" s="57">
        <v>2010</v>
      </c>
      <c r="B22" s="64">
        <v>57</v>
      </c>
      <c r="C22" s="65">
        <v>42</v>
      </c>
      <c r="D22" s="65">
        <v>5</v>
      </c>
      <c r="E22" s="65">
        <v>3</v>
      </c>
      <c r="F22" s="64">
        <v>16</v>
      </c>
      <c r="G22" s="65">
        <v>14</v>
      </c>
      <c r="H22" s="65">
        <v>3</v>
      </c>
      <c r="I22" s="65">
        <v>3</v>
      </c>
      <c r="J22" s="57">
        <v>2010</v>
      </c>
      <c r="K22" s="66">
        <v>0.28999999999999998</v>
      </c>
      <c r="L22" s="67">
        <v>0.56000000000000005</v>
      </c>
      <c r="M22" s="67">
        <v>0.77</v>
      </c>
      <c r="N22" s="68">
        <v>0.77</v>
      </c>
      <c r="O22" s="64">
        <v>272</v>
      </c>
      <c r="P22" s="65">
        <v>327</v>
      </c>
      <c r="Q22" s="65">
        <v>581</v>
      </c>
      <c r="R22" s="65">
        <v>755</v>
      </c>
      <c r="S22" s="57">
        <v>2010</v>
      </c>
      <c r="T22" s="64">
        <v>274</v>
      </c>
      <c r="U22" s="65">
        <v>117</v>
      </c>
      <c r="V22" s="65">
        <v>11</v>
      </c>
      <c r="W22" s="65">
        <v>7</v>
      </c>
      <c r="X22" s="58">
        <v>75</v>
      </c>
      <c r="Y22" s="59">
        <v>38</v>
      </c>
      <c r="Z22" s="59">
        <v>6</v>
      </c>
      <c r="AA22" s="63">
        <v>6</v>
      </c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</row>
    <row r="23" spans="1:54">
      <c r="A23" s="57">
        <v>2011</v>
      </c>
      <c r="B23" s="64">
        <v>93</v>
      </c>
      <c r="C23" s="65">
        <v>58</v>
      </c>
      <c r="D23" s="65">
        <v>25</v>
      </c>
      <c r="E23" s="65">
        <v>3</v>
      </c>
      <c r="F23" s="64">
        <v>22</v>
      </c>
      <c r="G23" s="65">
        <v>24</v>
      </c>
      <c r="H23" s="65">
        <v>13</v>
      </c>
      <c r="I23" s="65">
        <v>2</v>
      </c>
      <c r="J23" s="57">
        <v>2011</v>
      </c>
      <c r="K23" s="66">
        <v>0.54</v>
      </c>
      <c r="L23" s="67">
        <v>0.7</v>
      </c>
      <c r="M23" s="67">
        <v>1.03</v>
      </c>
      <c r="N23" s="68">
        <v>1.03</v>
      </c>
      <c r="O23" s="64">
        <v>237</v>
      </c>
      <c r="P23" s="65">
        <v>404</v>
      </c>
      <c r="Q23" s="65">
        <v>533</v>
      </c>
      <c r="R23" s="65">
        <v>712</v>
      </c>
      <c r="S23" s="57">
        <v>2011</v>
      </c>
      <c r="T23" s="64">
        <v>265</v>
      </c>
      <c r="U23" s="65">
        <v>138</v>
      </c>
      <c r="V23" s="65">
        <v>45</v>
      </c>
      <c r="W23" s="65">
        <v>6</v>
      </c>
      <c r="X23" s="58">
        <v>63</v>
      </c>
      <c r="Y23" s="59">
        <v>56</v>
      </c>
      <c r="Z23" s="59">
        <v>24</v>
      </c>
      <c r="AA23" s="63">
        <v>4</v>
      </c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</row>
    <row r="24" spans="1:54">
      <c r="A24" s="57">
        <v>2012</v>
      </c>
      <c r="B24" s="64">
        <v>71</v>
      </c>
      <c r="C24" s="65">
        <v>42</v>
      </c>
      <c r="D24" s="65">
        <v>22</v>
      </c>
      <c r="E24" s="65">
        <v>6</v>
      </c>
      <c r="F24" s="64">
        <v>20</v>
      </c>
      <c r="G24" s="65">
        <v>15</v>
      </c>
      <c r="H24" s="65">
        <v>11</v>
      </c>
      <c r="I24" s="65">
        <v>4</v>
      </c>
      <c r="J24" s="57">
        <v>2012</v>
      </c>
      <c r="K24" s="66">
        <v>0.46</v>
      </c>
      <c r="L24" s="67">
        <v>0.66</v>
      </c>
      <c r="M24" s="67">
        <v>0.84</v>
      </c>
      <c r="N24" s="68">
        <v>0.84</v>
      </c>
      <c r="O24" s="64">
        <v>280</v>
      </c>
      <c r="P24" s="65">
        <v>347</v>
      </c>
      <c r="Q24" s="65">
        <v>519</v>
      </c>
      <c r="R24" s="65">
        <v>688</v>
      </c>
      <c r="S24" s="57">
        <v>2012</v>
      </c>
      <c r="T24" s="64">
        <v>228</v>
      </c>
      <c r="U24" s="65">
        <v>104</v>
      </c>
      <c r="V24" s="65">
        <v>46</v>
      </c>
      <c r="W24" s="65">
        <v>12</v>
      </c>
      <c r="X24" s="58">
        <v>64</v>
      </c>
      <c r="Y24" s="59">
        <v>36</v>
      </c>
      <c r="Z24" s="59">
        <v>24</v>
      </c>
      <c r="AA24" s="63">
        <v>8</v>
      </c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</row>
    <row r="25" spans="1:54">
      <c r="A25" s="57">
        <v>2013</v>
      </c>
      <c r="B25" s="64">
        <v>105</v>
      </c>
      <c r="C25" s="65">
        <v>43</v>
      </c>
      <c r="D25" s="65">
        <v>12</v>
      </c>
      <c r="E25" s="65">
        <v>6</v>
      </c>
      <c r="F25" s="64">
        <v>25</v>
      </c>
      <c r="G25" s="65">
        <v>15</v>
      </c>
      <c r="H25" s="65">
        <v>7</v>
      </c>
      <c r="I25" s="65">
        <v>4</v>
      </c>
      <c r="J25" s="57">
        <v>2013</v>
      </c>
      <c r="K25" s="66">
        <v>0.56999999999999995</v>
      </c>
      <c r="L25" s="67">
        <v>0.76</v>
      </c>
      <c r="M25" s="67">
        <v>0.53</v>
      </c>
      <c r="N25" s="68">
        <v>0.53</v>
      </c>
      <c r="O25" s="64">
        <v>239</v>
      </c>
      <c r="P25" s="65">
        <v>345</v>
      </c>
      <c r="Q25" s="65">
        <v>557</v>
      </c>
      <c r="R25" s="65">
        <v>668</v>
      </c>
      <c r="S25" s="57">
        <v>2013</v>
      </c>
      <c r="T25" s="64">
        <v>289</v>
      </c>
      <c r="U25" s="65">
        <v>96</v>
      </c>
      <c r="V25" s="65">
        <v>36</v>
      </c>
      <c r="W25" s="65">
        <v>17</v>
      </c>
      <c r="X25" s="58">
        <v>69</v>
      </c>
      <c r="Y25" s="59">
        <v>33</v>
      </c>
      <c r="Z25" s="59">
        <v>20</v>
      </c>
      <c r="AA25" s="63">
        <v>11</v>
      </c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</row>
    <row r="26" spans="1:54">
      <c r="A26" s="57">
        <v>2014</v>
      </c>
      <c r="B26" s="64">
        <v>50</v>
      </c>
      <c r="C26" s="65">
        <v>30</v>
      </c>
      <c r="D26" s="65">
        <v>12</v>
      </c>
      <c r="E26" s="65">
        <v>8</v>
      </c>
      <c r="F26" s="64">
        <v>12</v>
      </c>
      <c r="G26" s="65">
        <v>11</v>
      </c>
      <c r="H26" s="65">
        <v>7</v>
      </c>
      <c r="I26" s="65">
        <v>6</v>
      </c>
      <c r="J26" s="57">
        <v>2014</v>
      </c>
      <c r="K26" s="66">
        <v>0.31</v>
      </c>
      <c r="L26" s="67">
        <v>0.39</v>
      </c>
      <c r="M26" s="67">
        <v>0.65</v>
      </c>
      <c r="N26" s="68">
        <v>0.65</v>
      </c>
      <c r="O26" s="64">
        <v>233</v>
      </c>
      <c r="P26" s="65">
        <v>359</v>
      </c>
      <c r="Q26" s="65">
        <v>560</v>
      </c>
      <c r="R26" s="65">
        <v>701</v>
      </c>
      <c r="S26" s="57">
        <v>2014</v>
      </c>
      <c r="T26" s="64">
        <v>226</v>
      </c>
      <c r="U26" s="65">
        <v>110</v>
      </c>
      <c r="V26" s="65">
        <v>30</v>
      </c>
      <c r="W26" s="65">
        <v>21</v>
      </c>
      <c r="X26" s="58">
        <v>53</v>
      </c>
      <c r="Y26" s="59">
        <v>39</v>
      </c>
      <c r="Z26" s="59">
        <v>17</v>
      </c>
      <c r="AA26" s="63">
        <v>15</v>
      </c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</row>
    <row r="27" spans="1:54">
      <c r="A27" s="57">
        <v>2015</v>
      </c>
      <c r="B27" s="64">
        <v>61</v>
      </c>
      <c r="C27" s="65">
        <v>25</v>
      </c>
      <c r="D27" s="65">
        <v>20</v>
      </c>
      <c r="E27" s="65">
        <v>7</v>
      </c>
      <c r="F27" s="64">
        <v>15</v>
      </c>
      <c r="G27" s="65">
        <v>9</v>
      </c>
      <c r="H27" s="65">
        <v>11</v>
      </c>
      <c r="I27" s="65">
        <v>5</v>
      </c>
      <c r="J27" s="57">
        <v>2015</v>
      </c>
      <c r="K27" s="66">
        <v>0.28000000000000003</v>
      </c>
      <c r="L27" s="67">
        <v>0.31</v>
      </c>
      <c r="M27" s="67">
        <v>0.64</v>
      </c>
      <c r="N27" s="68">
        <v>0.64</v>
      </c>
      <c r="O27" s="64">
        <v>247</v>
      </c>
      <c r="P27" s="65">
        <v>352</v>
      </c>
      <c r="Q27" s="65">
        <v>546</v>
      </c>
      <c r="R27" s="65">
        <v>680</v>
      </c>
      <c r="S27" s="57">
        <v>2015</v>
      </c>
      <c r="T27" s="64">
        <v>299</v>
      </c>
      <c r="U27" s="65">
        <v>111</v>
      </c>
      <c r="V27" s="65">
        <v>50</v>
      </c>
      <c r="W27" s="65">
        <v>18</v>
      </c>
      <c r="X27" s="58">
        <v>74</v>
      </c>
      <c r="Y27" s="59">
        <v>39</v>
      </c>
      <c r="Z27" s="59">
        <v>27</v>
      </c>
      <c r="AA27" s="63">
        <v>12</v>
      </c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</row>
    <row r="28" spans="1:54">
      <c r="A28" s="57">
        <v>2016</v>
      </c>
      <c r="B28" s="64">
        <v>88</v>
      </c>
      <c r="C28" s="65">
        <v>53</v>
      </c>
      <c r="D28" s="65">
        <v>17</v>
      </c>
      <c r="E28" s="65">
        <v>8</v>
      </c>
      <c r="F28" s="64">
        <v>24</v>
      </c>
      <c r="G28" s="65">
        <v>19</v>
      </c>
      <c r="H28" s="65">
        <v>9</v>
      </c>
      <c r="I28" s="65">
        <v>5</v>
      </c>
      <c r="J28" s="57">
        <v>2016</v>
      </c>
      <c r="K28" s="66">
        <v>0.41</v>
      </c>
      <c r="L28" s="67">
        <v>0.54</v>
      </c>
      <c r="M28" s="67">
        <v>0.47</v>
      </c>
      <c r="N28" s="68">
        <v>0.47</v>
      </c>
      <c r="O28" s="64">
        <v>270</v>
      </c>
      <c r="P28" s="65">
        <v>356</v>
      </c>
      <c r="Q28" s="65">
        <v>539</v>
      </c>
      <c r="R28" s="65">
        <v>709</v>
      </c>
      <c r="S28" s="57">
        <v>2016</v>
      </c>
      <c r="T28" s="64">
        <v>313</v>
      </c>
      <c r="U28" s="65">
        <v>151</v>
      </c>
      <c r="V28" s="65">
        <v>54</v>
      </c>
      <c r="W28" s="65">
        <v>24</v>
      </c>
      <c r="X28" s="58">
        <v>84</v>
      </c>
      <c r="Y28" s="59">
        <v>54</v>
      </c>
      <c r="Z28" s="59">
        <v>29</v>
      </c>
      <c r="AA28" s="63">
        <v>17</v>
      </c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</row>
    <row r="29" spans="1:54">
      <c r="A29" s="57">
        <v>2017</v>
      </c>
      <c r="B29" s="64">
        <v>68</v>
      </c>
      <c r="C29" s="65">
        <v>38</v>
      </c>
      <c r="D29" s="65">
        <v>18</v>
      </c>
      <c r="E29" s="65">
        <v>10</v>
      </c>
      <c r="F29" s="64">
        <v>13</v>
      </c>
      <c r="G29" s="65">
        <v>13</v>
      </c>
      <c r="H29" s="65">
        <v>10</v>
      </c>
      <c r="I29" s="65">
        <v>7</v>
      </c>
      <c r="J29" s="57">
        <v>2017</v>
      </c>
      <c r="K29" s="66">
        <v>0.3</v>
      </c>
      <c r="L29" s="67">
        <v>0.4</v>
      </c>
      <c r="M29" s="67">
        <v>0.47</v>
      </c>
      <c r="N29" s="68">
        <v>0.47</v>
      </c>
      <c r="O29" s="64">
        <v>198</v>
      </c>
      <c r="P29" s="65">
        <v>354</v>
      </c>
      <c r="Q29" s="65">
        <v>540</v>
      </c>
      <c r="R29" s="65">
        <v>738</v>
      </c>
      <c r="S29" s="57">
        <v>2017</v>
      </c>
      <c r="T29" s="64">
        <v>315</v>
      </c>
      <c r="U29" s="65">
        <v>139</v>
      </c>
      <c r="V29" s="65">
        <v>59</v>
      </c>
      <c r="W29" s="65">
        <v>33</v>
      </c>
      <c r="X29" s="58">
        <v>62</v>
      </c>
      <c r="Y29" s="59">
        <v>49</v>
      </c>
      <c r="Z29" s="59">
        <v>32</v>
      </c>
      <c r="AA29" s="63">
        <v>24</v>
      </c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</row>
    <row r="30" spans="1:54">
      <c r="A30" s="57">
        <v>2018</v>
      </c>
      <c r="B30" s="64">
        <v>197</v>
      </c>
      <c r="C30" s="65">
        <v>101</v>
      </c>
      <c r="D30" s="65">
        <v>35</v>
      </c>
      <c r="E30" s="65">
        <v>21</v>
      </c>
      <c r="F30" s="64">
        <v>44</v>
      </c>
      <c r="G30" s="65">
        <v>37</v>
      </c>
      <c r="H30" s="65">
        <v>20</v>
      </c>
      <c r="I30" s="65">
        <v>17</v>
      </c>
      <c r="J30" s="57">
        <v>2018</v>
      </c>
      <c r="K30" s="66">
        <v>0.94</v>
      </c>
      <c r="L30" s="67">
        <v>1.37</v>
      </c>
      <c r="M30" s="67">
        <v>1.05</v>
      </c>
      <c r="N30" s="68">
        <v>1.05</v>
      </c>
      <c r="O30" s="64">
        <v>222</v>
      </c>
      <c r="P30" s="65">
        <v>363</v>
      </c>
      <c r="Q30" s="65">
        <v>571</v>
      </c>
      <c r="R30" s="65">
        <v>772</v>
      </c>
      <c r="S30" s="57">
        <v>2018</v>
      </c>
      <c r="T30" s="64">
        <v>380</v>
      </c>
      <c r="U30" s="65">
        <v>156</v>
      </c>
      <c r="V30" s="65">
        <v>63</v>
      </c>
      <c r="W30" s="65">
        <v>39</v>
      </c>
      <c r="X30" s="58">
        <v>84</v>
      </c>
      <c r="Y30" s="59">
        <v>57</v>
      </c>
      <c r="Z30" s="59">
        <v>36</v>
      </c>
      <c r="AA30" s="63">
        <v>30</v>
      </c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</row>
    <row r="31" spans="1:54">
      <c r="A31" s="57">
        <v>2019</v>
      </c>
      <c r="B31" s="64">
        <v>45</v>
      </c>
      <c r="C31" s="65">
        <v>59</v>
      </c>
      <c r="D31" s="65">
        <v>11</v>
      </c>
      <c r="E31" s="65">
        <v>9</v>
      </c>
      <c r="F31" s="64">
        <v>10</v>
      </c>
      <c r="G31" s="65">
        <v>20</v>
      </c>
      <c r="H31" s="65">
        <v>6</v>
      </c>
      <c r="I31" s="65">
        <v>7</v>
      </c>
      <c r="J31" s="57">
        <v>2019</v>
      </c>
      <c r="K31" s="66">
        <v>0.57999999999999996</v>
      </c>
      <c r="L31" s="67">
        <v>1.17</v>
      </c>
      <c r="M31" s="67">
        <v>0.64</v>
      </c>
      <c r="N31" s="68">
        <v>0.64</v>
      </c>
      <c r="O31" s="64">
        <v>229</v>
      </c>
      <c r="P31" s="65">
        <v>339</v>
      </c>
      <c r="Q31" s="65">
        <v>571</v>
      </c>
      <c r="R31" s="65">
        <v>762</v>
      </c>
      <c r="S31" s="57">
        <v>2019</v>
      </c>
      <c r="T31" s="64">
        <v>121</v>
      </c>
      <c r="U31" s="65">
        <v>99</v>
      </c>
      <c r="V31" s="65">
        <v>27</v>
      </c>
      <c r="W31" s="65">
        <v>24</v>
      </c>
      <c r="X31" s="58">
        <v>28</v>
      </c>
      <c r="Y31" s="59">
        <v>34</v>
      </c>
      <c r="Z31" s="59">
        <v>15</v>
      </c>
      <c r="AA31" s="63">
        <v>18</v>
      </c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</row>
    <row r="32" spans="1:54">
      <c r="A32" s="57">
        <v>2020</v>
      </c>
      <c r="B32" s="64">
        <v>31</v>
      </c>
      <c r="C32" s="65">
        <v>15</v>
      </c>
      <c r="D32" s="65">
        <v>8</v>
      </c>
      <c r="E32" s="65">
        <v>7</v>
      </c>
      <c r="F32" s="64">
        <v>9</v>
      </c>
      <c r="G32" s="65">
        <v>6</v>
      </c>
      <c r="H32" s="65">
        <v>4</v>
      </c>
      <c r="I32" s="65">
        <v>5</v>
      </c>
      <c r="J32" s="57">
        <v>2020</v>
      </c>
      <c r="K32" s="66">
        <v>0.3</v>
      </c>
      <c r="L32" s="67">
        <v>0.52</v>
      </c>
      <c r="M32" s="67">
        <v>0.59</v>
      </c>
      <c r="N32" s="68">
        <v>0.59</v>
      </c>
      <c r="O32" s="64">
        <v>284</v>
      </c>
      <c r="P32" s="65">
        <v>360</v>
      </c>
      <c r="Q32" s="65">
        <v>564</v>
      </c>
      <c r="R32" s="65">
        <v>744</v>
      </c>
      <c r="S32" s="57">
        <v>2020</v>
      </c>
      <c r="T32" s="64">
        <v>142</v>
      </c>
      <c r="U32" s="65">
        <v>45</v>
      </c>
      <c r="V32" s="65">
        <v>20</v>
      </c>
      <c r="W32" s="65">
        <v>18</v>
      </c>
      <c r="X32" s="58">
        <v>40</v>
      </c>
      <c r="Y32" s="59">
        <v>16</v>
      </c>
      <c r="Z32" s="59">
        <v>12</v>
      </c>
      <c r="AA32" s="63">
        <v>13</v>
      </c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</row>
    <row r="33" spans="1:54">
      <c r="A33" s="57">
        <v>2021</v>
      </c>
      <c r="B33" s="64">
        <v>115</v>
      </c>
      <c r="C33" s="65">
        <v>39</v>
      </c>
      <c r="D33" s="65">
        <v>9</v>
      </c>
      <c r="E33" s="65">
        <v>7</v>
      </c>
      <c r="F33" s="64">
        <v>29</v>
      </c>
      <c r="G33" s="65">
        <v>14</v>
      </c>
      <c r="H33" s="65">
        <v>5</v>
      </c>
      <c r="I33" s="65">
        <v>5</v>
      </c>
      <c r="J33" s="57">
        <v>2021</v>
      </c>
      <c r="K33" s="66">
        <v>0.42</v>
      </c>
      <c r="L33" s="67">
        <v>1.05</v>
      </c>
      <c r="M33" s="67">
        <v>0.88</v>
      </c>
      <c r="N33" s="68">
        <v>0.88</v>
      </c>
      <c r="O33" s="64">
        <v>251</v>
      </c>
      <c r="P33" s="65">
        <v>356</v>
      </c>
      <c r="Q33" s="65">
        <v>557</v>
      </c>
      <c r="R33" s="65">
        <v>768</v>
      </c>
      <c r="S33" s="57">
        <v>2021</v>
      </c>
      <c r="T33" s="64">
        <v>405</v>
      </c>
      <c r="U33" s="65">
        <v>71</v>
      </c>
      <c r="V33" s="65">
        <v>18</v>
      </c>
      <c r="W33" s="65">
        <v>14</v>
      </c>
      <c r="X33" s="58">
        <v>102</v>
      </c>
      <c r="Y33" s="59">
        <v>25</v>
      </c>
      <c r="Z33" s="59">
        <v>10</v>
      </c>
      <c r="AA33" s="63">
        <v>11</v>
      </c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</row>
    <row r="34" spans="1:54">
      <c r="A34" s="54">
        <v>2022</v>
      </c>
      <c r="B34" s="69">
        <v>165</v>
      </c>
      <c r="C34" s="70">
        <v>80</v>
      </c>
      <c r="D34" s="70">
        <v>3</v>
      </c>
      <c r="E34" s="70">
        <v>2</v>
      </c>
      <c r="F34" s="69">
        <v>41</v>
      </c>
      <c r="G34" s="70">
        <v>26</v>
      </c>
      <c r="H34" s="70">
        <v>2</v>
      </c>
      <c r="I34" s="70">
        <v>1</v>
      </c>
      <c r="J34" s="54">
        <v>2022</v>
      </c>
      <c r="K34" s="71">
        <v>0.86</v>
      </c>
      <c r="L34" s="72">
        <v>0.75</v>
      </c>
      <c r="M34" s="72">
        <v>0.27</v>
      </c>
      <c r="N34" s="73">
        <v>0.27</v>
      </c>
      <c r="O34" s="69">
        <v>251</v>
      </c>
      <c r="P34" s="70">
        <v>330</v>
      </c>
      <c r="Q34" s="70">
        <v>578</v>
      </c>
      <c r="R34" s="70">
        <v>714</v>
      </c>
      <c r="S34" s="54">
        <v>2022</v>
      </c>
      <c r="T34" s="69">
        <v>338</v>
      </c>
      <c r="U34" s="70">
        <v>179</v>
      </c>
      <c r="V34" s="70">
        <v>17</v>
      </c>
      <c r="W34" s="70">
        <v>9</v>
      </c>
      <c r="X34" s="74">
        <v>85</v>
      </c>
      <c r="Y34" s="75">
        <v>59</v>
      </c>
      <c r="Z34" s="75">
        <v>10</v>
      </c>
      <c r="AA34" s="76">
        <v>6</v>
      </c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</row>
  </sheetData>
  <mergeCells count="9">
    <mergeCell ref="O2:R2"/>
    <mergeCell ref="T2:W2"/>
    <mergeCell ref="X2:AA2"/>
    <mergeCell ref="A2:A3"/>
    <mergeCell ref="B2:E2"/>
    <mergeCell ref="F2:I2"/>
    <mergeCell ref="K2:N2"/>
    <mergeCell ref="J2:J3"/>
    <mergeCell ref="S2:S3"/>
  </mergeCells>
  <phoneticPr fontId="1"/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CC28F-36EB-406B-80BB-150004346BFC}">
  <dimension ref="A1:D10"/>
  <sheetViews>
    <sheetView workbookViewId="0">
      <selection activeCell="R18" sqref="R18"/>
    </sheetView>
  </sheetViews>
  <sheetFormatPr defaultColWidth="8.875" defaultRowHeight="13.5"/>
  <cols>
    <col min="1" max="4" width="16.625" style="142" customWidth="1"/>
  </cols>
  <sheetData>
    <row r="1" spans="1:4" ht="14.25" thickBot="1">
      <c r="A1" s="1" t="s">
        <v>129</v>
      </c>
    </row>
    <row r="2" spans="1:4">
      <c r="A2" s="143" t="s">
        <v>128</v>
      </c>
      <c r="B2" s="144" t="s">
        <v>127</v>
      </c>
      <c r="C2" s="145" t="s">
        <v>126</v>
      </c>
      <c r="D2" s="144" t="s">
        <v>125</v>
      </c>
    </row>
    <row r="3" spans="1:4">
      <c r="A3" s="146" t="s">
        <v>124</v>
      </c>
      <c r="B3" s="147" t="s">
        <v>123</v>
      </c>
      <c r="C3" s="147" t="s">
        <v>122</v>
      </c>
      <c r="D3" s="147" t="s">
        <v>121</v>
      </c>
    </row>
    <row r="4" spans="1:4" ht="14.25" thickBot="1">
      <c r="A4" s="148" t="s">
        <v>31</v>
      </c>
      <c r="B4" s="149" t="s">
        <v>31</v>
      </c>
      <c r="C4" s="149" t="s">
        <v>120</v>
      </c>
      <c r="D4" s="150"/>
    </row>
    <row r="5" spans="1:4" ht="14.25" thickBot="1">
      <c r="A5" s="141">
        <v>34</v>
      </c>
      <c r="B5" s="140">
        <v>50</v>
      </c>
      <c r="C5" s="140">
        <v>0.56999999999999995</v>
      </c>
      <c r="D5" s="140">
        <v>27</v>
      </c>
    </row>
    <row r="6" spans="1:4">
      <c r="A6" s="269" t="s">
        <v>119</v>
      </c>
      <c r="B6" s="270"/>
      <c r="C6" s="270"/>
      <c r="D6" s="271"/>
    </row>
    <row r="7" spans="1:4" ht="50.25" customHeight="1">
      <c r="A7" s="263" t="s">
        <v>118</v>
      </c>
      <c r="B7" s="264"/>
      <c r="C7" s="264"/>
      <c r="D7" s="265"/>
    </row>
    <row r="8" spans="1:4">
      <c r="A8" s="263" t="s">
        <v>117</v>
      </c>
      <c r="B8" s="264"/>
      <c r="C8" s="264"/>
      <c r="D8" s="265"/>
    </row>
    <row r="9" spans="1:4">
      <c r="A9" s="263" t="s">
        <v>116</v>
      </c>
      <c r="B9" s="264"/>
      <c r="C9" s="264"/>
      <c r="D9" s="265"/>
    </row>
    <row r="10" spans="1:4" ht="14.25" thickBot="1">
      <c r="A10" s="266" t="s">
        <v>115</v>
      </c>
      <c r="B10" s="267"/>
      <c r="C10" s="267"/>
      <c r="D10" s="268"/>
    </row>
  </sheetData>
  <mergeCells count="5">
    <mergeCell ref="A7:D7"/>
    <mergeCell ref="A8:D8"/>
    <mergeCell ref="A9:D9"/>
    <mergeCell ref="A10:D10"/>
    <mergeCell ref="A6:D6"/>
  </mergeCells>
  <phoneticPr fontId="1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70D50-45B0-4ECF-92F4-780F5E1CA70A}">
  <dimension ref="A1:H35"/>
  <sheetViews>
    <sheetView workbookViewId="0">
      <selection activeCell="R18" sqref="R18"/>
    </sheetView>
  </sheetViews>
  <sheetFormatPr defaultColWidth="8.875" defaultRowHeight="13.5"/>
  <cols>
    <col min="1" max="7" width="9" style="1"/>
  </cols>
  <sheetData>
    <row r="1" spans="1:6">
      <c r="A1" s="1" t="s">
        <v>96</v>
      </c>
    </row>
    <row r="2" spans="1:6">
      <c r="A2" s="89" t="s">
        <v>97</v>
      </c>
    </row>
    <row r="4" spans="1:6">
      <c r="A4" s="1" t="s">
        <v>98</v>
      </c>
    </row>
    <row r="5" spans="1:6">
      <c r="A5" s="90" t="s">
        <v>99</v>
      </c>
      <c r="B5" s="90" t="s">
        <v>100</v>
      </c>
      <c r="C5" s="90" t="s">
        <v>101</v>
      </c>
      <c r="D5" s="90" t="s">
        <v>102</v>
      </c>
      <c r="E5" s="90" t="s">
        <v>103</v>
      </c>
      <c r="F5" s="90" t="s">
        <v>104</v>
      </c>
    </row>
    <row r="6" spans="1:6">
      <c r="A6" s="90">
        <v>2019</v>
      </c>
      <c r="B6" s="91">
        <v>246</v>
      </c>
      <c r="C6" s="90"/>
      <c r="D6" s="90"/>
      <c r="E6" s="90"/>
      <c r="F6" s="90"/>
    </row>
    <row r="7" spans="1:6">
      <c r="A7" s="90">
        <v>2020</v>
      </c>
      <c r="B7" s="92">
        <v>204</v>
      </c>
      <c r="C7" s="91">
        <v>170</v>
      </c>
      <c r="D7" s="90"/>
      <c r="E7" s="90"/>
      <c r="F7" s="90"/>
    </row>
    <row r="8" spans="1:6">
      <c r="A8" s="90">
        <v>2021</v>
      </c>
      <c r="B8" s="90">
        <v>181</v>
      </c>
      <c r="C8" s="92">
        <v>195</v>
      </c>
      <c r="D8" s="91">
        <v>244</v>
      </c>
      <c r="E8" s="90"/>
      <c r="F8" s="90"/>
    </row>
    <row r="9" spans="1:6">
      <c r="A9" s="90">
        <v>2022</v>
      </c>
      <c r="B9" s="90">
        <v>178</v>
      </c>
      <c r="C9" s="90">
        <v>314</v>
      </c>
      <c r="D9" s="92">
        <v>232</v>
      </c>
      <c r="E9" s="91">
        <v>223</v>
      </c>
      <c r="F9" s="91"/>
    </row>
    <row r="10" spans="1:6">
      <c r="A10" s="90">
        <v>2023</v>
      </c>
      <c r="B10" s="90">
        <v>142</v>
      </c>
      <c r="C10" s="90">
        <v>405</v>
      </c>
      <c r="D10" s="90">
        <v>338</v>
      </c>
      <c r="E10" s="92">
        <v>274</v>
      </c>
      <c r="F10" s="91">
        <v>239</v>
      </c>
    </row>
    <row r="12" spans="1:6">
      <c r="A12" s="1" t="s">
        <v>105</v>
      </c>
    </row>
    <row r="13" spans="1:6">
      <c r="A13" s="90" t="s">
        <v>99</v>
      </c>
      <c r="B13" s="90" t="s">
        <v>100</v>
      </c>
      <c r="C13" s="90" t="s">
        <v>101</v>
      </c>
      <c r="D13" s="90" t="s">
        <v>102</v>
      </c>
      <c r="E13" s="90" t="s">
        <v>103</v>
      </c>
      <c r="F13" s="90" t="s">
        <v>104</v>
      </c>
    </row>
    <row r="14" spans="1:6">
      <c r="A14" s="90">
        <v>2019</v>
      </c>
      <c r="B14" s="91">
        <v>50</v>
      </c>
      <c r="C14" s="90"/>
      <c r="D14" s="90"/>
      <c r="E14" s="90"/>
      <c r="F14" s="90"/>
    </row>
    <row r="15" spans="1:6">
      <c r="A15" s="90">
        <v>2020</v>
      </c>
      <c r="B15" s="92">
        <v>41</v>
      </c>
      <c r="C15" s="91">
        <v>35</v>
      </c>
      <c r="D15" s="90"/>
      <c r="E15" s="90"/>
      <c r="F15" s="90"/>
    </row>
    <row r="16" spans="1:6">
      <c r="A16" s="90">
        <v>2021</v>
      </c>
      <c r="B16" s="90">
        <v>31</v>
      </c>
      <c r="C16" s="92">
        <v>39</v>
      </c>
      <c r="D16" s="91">
        <v>49</v>
      </c>
      <c r="E16" s="90"/>
      <c r="F16" s="90"/>
    </row>
    <row r="17" spans="1:8">
      <c r="A17" s="90">
        <v>2022</v>
      </c>
      <c r="B17" s="90">
        <v>34</v>
      </c>
      <c r="C17" s="90">
        <v>41</v>
      </c>
      <c r="D17" s="92">
        <v>47</v>
      </c>
      <c r="E17" s="91">
        <v>45</v>
      </c>
      <c r="F17" s="91"/>
    </row>
    <row r="18" spans="1:8">
      <c r="A18" s="90">
        <v>2023</v>
      </c>
      <c r="B18" s="90">
        <v>33</v>
      </c>
      <c r="C18" s="90">
        <v>35</v>
      </c>
      <c r="D18" s="90">
        <v>50</v>
      </c>
      <c r="E18" s="92">
        <v>56</v>
      </c>
      <c r="F18" s="91">
        <v>48</v>
      </c>
    </row>
    <row r="20" spans="1:8">
      <c r="A20" s="1" t="s">
        <v>106</v>
      </c>
    </row>
    <row r="21" spans="1:8">
      <c r="A21" s="90" t="s">
        <v>99</v>
      </c>
      <c r="B21" s="90" t="s">
        <v>100</v>
      </c>
      <c r="C21" s="90" t="s">
        <v>101</v>
      </c>
      <c r="D21" s="90" t="s">
        <v>102</v>
      </c>
      <c r="E21" s="90" t="s">
        <v>103</v>
      </c>
      <c r="F21" s="90" t="s">
        <v>104</v>
      </c>
    </row>
    <row r="22" spans="1:8">
      <c r="A22" s="90">
        <v>2019</v>
      </c>
      <c r="B22" s="91">
        <v>126</v>
      </c>
      <c r="C22" s="90"/>
      <c r="D22" s="90"/>
      <c r="E22" s="90"/>
      <c r="F22" s="90"/>
    </row>
    <row r="23" spans="1:8">
      <c r="A23" s="90">
        <v>2020</v>
      </c>
      <c r="B23" s="92">
        <v>102</v>
      </c>
      <c r="C23" s="91">
        <v>88</v>
      </c>
      <c r="D23" s="90"/>
      <c r="E23" s="90"/>
      <c r="F23" s="90"/>
    </row>
    <row r="24" spans="1:8">
      <c r="A24" s="90">
        <v>2021</v>
      </c>
      <c r="B24" s="90">
        <v>92</v>
      </c>
      <c r="C24" s="92">
        <v>101</v>
      </c>
      <c r="D24" s="91">
        <v>125</v>
      </c>
      <c r="E24" s="90"/>
      <c r="F24" s="90"/>
    </row>
    <row r="25" spans="1:8">
      <c r="A25" s="90">
        <v>2022</v>
      </c>
      <c r="B25" s="90">
        <v>93</v>
      </c>
      <c r="C25" s="90">
        <v>134</v>
      </c>
      <c r="D25" s="92">
        <v>122</v>
      </c>
      <c r="E25" s="91">
        <v>114</v>
      </c>
      <c r="F25" s="91"/>
    </row>
    <row r="26" spans="1:8">
      <c r="A26" s="90">
        <v>2023</v>
      </c>
      <c r="B26" s="90">
        <v>82</v>
      </c>
      <c r="C26" s="90">
        <v>148</v>
      </c>
      <c r="D26" s="93">
        <v>160</v>
      </c>
      <c r="E26" s="92">
        <v>139</v>
      </c>
      <c r="F26" s="91">
        <v>123</v>
      </c>
    </row>
    <row r="28" spans="1:8">
      <c r="A28" s="1" t="s">
        <v>107</v>
      </c>
    </row>
    <row r="29" spans="1:8">
      <c r="A29" s="90" t="s">
        <v>99</v>
      </c>
      <c r="B29" s="90" t="s">
        <v>100</v>
      </c>
      <c r="C29" s="90" t="s">
        <v>101</v>
      </c>
      <c r="D29" s="90" t="s">
        <v>102</v>
      </c>
      <c r="E29" s="90" t="s">
        <v>103</v>
      </c>
      <c r="F29" s="90" t="s">
        <v>104</v>
      </c>
    </row>
    <row r="30" spans="1:8">
      <c r="A30" s="90">
        <v>2019</v>
      </c>
      <c r="B30" s="91">
        <v>0.85</v>
      </c>
      <c r="C30" s="90"/>
      <c r="D30" s="90"/>
      <c r="E30" s="90"/>
      <c r="F30" s="90"/>
      <c r="H30" s="121"/>
    </row>
    <row r="31" spans="1:8">
      <c r="A31" s="90">
        <v>2020</v>
      </c>
      <c r="B31" s="92">
        <v>1.34</v>
      </c>
      <c r="C31" s="91">
        <v>0.68</v>
      </c>
      <c r="D31" s="90"/>
      <c r="E31" s="90"/>
      <c r="F31" s="90"/>
      <c r="H31" s="8"/>
    </row>
    <row r="32" spans="1:8">
      <c r="A32" s="90">
        <v>2021</v>
      </c>
      <c r="B32" s="90">
        <v>0.83</v>
      </c>
      <c r="C32" s="92">
        <v>0.88</v>
      </c>
      <c r="D32" s="91">
        <v>0.87</v>
      </c>
      <c r="E32" s="90"/>
      <c r="F32" s="90"/>
    </row>
    <row r="33" spans="1:8">
      <c r="A33" s="90">
        <v>2022</v>
      </c>
      <c r="B33" s="90">
        <v>0.85</v>
      </c>
      <c r="C33" s="90">
        <v>1.46</v>
      </c>
      <c r="D33" s="92">
        <v>1.49</v>
      </c>
      <c r="E33" s="138">
        <v>0.8</v>
      </c>
      <c r="F33" s="91"/>
    </row>
    <row r="34" spans="1:8">
      <c r="A34" s="90">
        <v>2023</v>
      </c>
      <c r="B34" s="90">
        <v>0.94</v>
      </c>
      <c r="C34" s="90">
        <v>1.58</v>
      </c>
      <c r="D34" s="139">
        <v>1.4</v>
      </c>
      <c r="E34" s="92">
        <v>1.56</v>
      </c>
      <c r="F34" s="91">
        <v>0.85</v>
      </c>
      <c r="H34" s="121"/>
    </row>
    <row r="35" spans="1:8">
      <c r="H35" s="8"/>
    </row>
  </sheetData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15</vt:i4>
      </vt:variant>
    </vt:vector>
  </HeadingPairs>
  <TitlesOfParts>
    <vt:vector size="15" baseType="lpstr">
      <vt:lpstr>表3-1</vt:lpstr>
      <vt:lpstr>表3-2</vt:lpstr>
      <vt:lpstr>表4-1</vt:lpstr>
      <vt:lpstr>表5-1~5-2</vt:lpstr>
      <vt:lpstr>補足表2-1~2-3</vt:lpstr>
      <vt:lpstr>補足表3-1</vt:lpstr>
      <vt:lpstr>補足表3-2</vt:lpstr>
      <vt:lpstr>補足表3-3</vt:lpstr>
      <vt:lpstr>補足表3-4</vt:lpstr>
      <vt:lpstr>補足表3-5</vt:lpstr>
      <vt:lpstr>補足表3-6~3-7</vt:lpstr>
      <vt:lpstr>補足資料4</vt:lpstr>
      <vt:lpstr>補足資料5</vt:lpstr>
      <vt:lpstr>補足表6-1</vt:lpstr>
      <vt:lpstr>補足表8-1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2024-07-11T06:29:30Z</dcterms:created>
  <dcterms:modified xsi:type="dcterms:W3CDTF">2024-07-11T06:29:42Z</dcterms:modified>
  <cp:category/>
  <cp:contentStatus/>
</cp:coreProperties>
</file>