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defaultThemeVersion="124226"/>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0B0B3DA2-8A69-4FF7-AB34-CA5202CA9149}" xr6:coauthVersionLast="47" xr6:coauthVersionMax="47" xr10:uidLastSave="{00000000-0000-0000-0000-000000000000}"/>
  <bookViews>
    <workbookView xWindow="-120" yWindow="-120" windowWidth="29040" windowHeight="15840" xr2:uid="{00000000-000D-0000-FFFF-FFFF00000000}"/>
  </bookViews>
  <sheets>
    <sheet name="表1" sheetId="1" r:id="rId1"/>
    <sheet name="表2" sheetId="2" r:id="rId2"/>
    <sheet name="表3" sheetId="3" r:id="rId3"/>
    <sheet name="表4" sheetId="4" r:id="rId4"/>
    <sheet name="補足表3-1" sheetId="5" r:id="rId5"/>
    <sheet name="補足表4-1～4-9" sheetId="6" r:id="rId6"/>
  </sheets>
  <externalReferences>
    <externalReference r:id="rId7"/>
    <externalReference r:id="rId8"/>
  </externalReferences>
  <definedNames>
    <definedName name="_Fill">[1]④漁獲量!$A$16:$A$24</definedName>
    <definedName name="q_魚種別各層別平均密度クエリ">[2]q_魚種別各層別平均密度クエリ!$A$2:$AJ$75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A112" i="6" l="1"/>
  <c r="Z112" i="6"/>
  <c r="AA97" i="6" l="1"/>
  <c r="Z97" i="6"/>
</calcChain>
</file>

<file path=xl/sharedStrings.xml><?xml version="1.0" encoding="utf-8"?>
<sst xmlns="http://schemas.openxmlformats.org/spreadsheetml/2006/main" count="141" uniqueCount="66">
  <si>
    <t>合　計</t>
    <rPh sb="0" eb="1">
      <t>ゴウ</t>
    </rPh>
    <rPh sb="2" eb="3">
      <t>ケイ</t>
    </rPh>
    <phoneticPr fontId="4"/>
  </si>
  <si>
    <t>小海区</t>
  </si>
  <si>
    <t>尻屋崎</t>
    <rPh sb="1" eb="2">
      <t>ヤ</t>
    </rPh>
    <phoneticPr fontId="4"/>
  </si>
  <si>
    <t>金華山</t>
  </si>
  <si>
    <t>尻屋崎</t>
    <rPh sb="1" eb="2">
      <t>ヤ</t>
    </rPh>
    <rPh sb="2" eb="3">
      <t>サキ</t>
    </rPh>
    <phoneticPr fontId="4"/>
  </si>
  <si>
    <r>
      <t>補足表</t>
    </r>
    <r>
      <rPr>
        <sz val="10"/>
        <rFont val="Times New Roman"/>
        <family val="1"/>
      </rPr>
      <t>4-1.</t>
    </r>
    <r>
      <rPr>
        <sz val="10"/>
        <rFont val="ＭＳ 明朝"/>
        <family val="1"/>
        <charset val="128"/>
      </rPr>
      <t>　採集効率一定の１とした場合の年齢別資源尾数（</t>
    </r>
    <r>
      <rPr>
        <sz val="10"/>
        <rFont val="Times New Roman"/>
        <family val="1"/>
      </rPr>
      <t>10-11</t>
    </r>
    <r>
      <rPr>
        <sz val="10"/>
        <rFont val="ＭＳ 明朝"/>
        <family val="1"/>
        <charset val="128"/>
      </rPr>
      <t>月時点、単位：千尾）</t>
    </r>
    <rPh sb="0" eb="2">
      <t>ホソク</t>
    </rPh>
    <rPh sb="2" eb="3">
      <t>ヒョウ</t>
    </rPh>
    <rPh sb="8" eb="10">
      <t>サイシュウ</t>
    </rPh>
    <rPh sb="10" eb="12">
      <t>コウリツ</t>
    </rPh>
    <rPh sb="12" eb="14">
      <t>イッテイ</t>
    </rPh>
    <rPh sb="19" eb="21">
      <t>バアイ</t>
    </rPh>
    <rPh sb="22" eb="25">
      <t>ネンレイベツ</t>
    </rPh>
    <rPh sb="25" eb="27">
      <t>シゲン</t>
    </rPh>
    <rPh sb="27" eb="28">
      <t>ビ</t>
    </rPh>
    <rPh sb="28" eb="29">
      <t>スウ</t>
    </rPh>
    <rPh sb="35" eb="36">
      <t>ガツ</t>
    </rPh>
    <rPh sb="36" eb="38">
      <t>ジテン</t>
    </rPh>
    <rPh sb="39" eb="41">
      <t>タンイ</t>
    </rPh>
    <rPh sb="42" eb="44">
      <t>センビ</t>
    </rPh>
    <phoneticPr fontId="4"/>
  </si>
  <si>
    <t>年齢</t>
  </si>
  <si>
    <t>合計</t>
  </si>
  <si>
    <r>
      <t>0</t>
    </r>
    <r>
      <rPr>
        <sz val="10"/>
        <rFont val="ＭＳ 明朝"/>
        <family val="1"/>
        <charset val="128"/>
      </rPr>
      <t>歳魚はごく僅かであるため、本表から除外した。</t>
    </r>
    <r>
      <rPr>
        <sz val="10"/>
        <rFont val="Times New Roman"/>
        <family val="1"/>
      </rPr>
      <t>2005</t>
    </r>
    <r>
      <rPr>
        <sz val="10"/>
        <rFont val="ＭＳ 明朝"/>
        <family val="1"/>
        <charset val="128"/>
      </rPr>
      <t>年以前は</t>
    </r>
    <r>
      <rPr>
        <sz val="10"/>
        <rFont val="Times New Roman"/>
        <family val="1"/>
      </rPr>
      <t>5</t>
    </r>
    <r>
      <rPr>
        <sz val="10"/>
        <rFont val="ＭＳ 明朝"/>
        <family val="1"/>
        <charset val="128"/>
      </rPr>
      <t>歳魚以上、</t>
    </r>
    <r>
      <rPr>
        <sz val="10"/>
        <rFont val="Times New Roman"/>
        <family val="1"/>
      </rPr>
      <t>2006</t>
    </r>
    <r>
      <rPr>
        <sz val="10"/>
        <rFont val="ＭＳ 明朝"/>
        <family val="1"/>
        <charset val="128"/>
      </rPr>
      <t>年からは</t>
    </r>
    <r>
      <rPr>
        <sz val="10"/>
        <rFont val="Times New Roman"/>
        <family val="1"/>
      </rPr>
      <t>10</t>
    </r>
    <r>
      <rPr>
        <sz val="10"/>
        <rFont val="ＭＳ 明朝"/>
        <family val="1"/>
        <charset val="128"/>
      </rPr>
      <t>歳魚以上をプラスグループとした。</t>
    </r>
    <rPh sb="1" eb="2">
      <t>サイ</t>
    </rPh>
    <rPh sb="2" eb="3">
      <t>サカナ</t>
    </rPh>
    <rPh sb="6" eb="7">
      <t>ワズ</t>
    </rPh>
    <rPh sb="14" eb="15">
      <t>ホン</t>
    </rPh>
    <rPh sb="15" eb="16">
      <t>オモテ</t>
    </rPh>
    <rPh sb="18" eb="20">
      <t>ジョガイ</t>
    </rPh>
    <rPh sb="34" eb="36">
      <t>イジョウ</t>
    </rPh>
    <rPh sb="49" eb="51">
      <t>イジョウ</t>
    </rPh>
    <phoneticPr fontId="4"/>
  </si>
  <si>
    <r>
      <t>補足表</t>
    </r>
    <r>
      <rPr>
        <sz val="10"/>
        <rFont val="Times New Roman"/>
        <family val="1"/>
      </rPr>
      <t>4-2.</t>
    </r>
    <r>
      <rPr>
        <sz val="10"/>
        <rFont val="ＭＳ 明朝"/>
        <family val="1"/>
        <charset val="128"/>
      </rPr>
      <t>　</t>
    </r>
    <r>
      <rPr>
        <sz val="10"/>
        <rFont val="Times New Roman"/>
        <family val="1"/>
      </rPr>
      <t>10-11</t>
    </r>
    <r>
      <rPr>
        <sz val="10"/>
        <rFont val="ＭＳ 明朝"/>
        <family val="1"/>
        <charset val="128"/>
      </rPr>
      <t>月時点の平均体長（</t>
    </r>
    <r>
      <rPr>
        <sz val="10"/>
        <rFont val="Times New Roman"/>
        <family val="1"/>
      </rPr>
      <t>mm</t>
    </r>
    <r>
      <rPr>
        <sz val="10"/>
        <rFont val="ＭＳ 明朝"/>
        <family val="1"/>
        <charset val="128"/>
      </rPr>
      <t>）</t>
    </r>
    <rPh sb="0" eb="2">
      <t>ホソク</t>
    </rPh>
    <rPh sb="2" eb="3">
      <t>ヒョウ</t>
    </rPh>
    <rPh sb="13" eb="14">
      <t>ガツ</t>
    </rPh>
    <rPh sb="14" eb="16">
      <t>ジテン</t>
    </rPh>
    <rPh sb="17" eb="19">
      <t>ヘイキン</t>
    </rPh>
    <rPh sb="19" eb="21">
      <t>タイチョウ</t>
    </rPh>
    <phoneticPr fontId="4"/>
  </si>
  <si>
    <r>
      <t>補足表</t>
    </r>
    <r>
      <rPr>
        <sz val="10"/>
        <rFont val="Times New Roman"/>
        <family val="1"/>
      </rPr>
      <t>4-3.</t>
    </r>
    <r>
      <rPr>
        <sz val="10"/>
        <rFont val="ＭＳ 明朝"/>
        <family val="1"/>
        <charset val="128"/>
      </rPr>
      <t>　</t>
    </r>
    <r>
      <rPr>
        <sz val="10"/>
        <rFont val="Times New Roman"/>
        <family val="1"/>
      </rPr>
      <t>10-11</t>
    </r>
    <r>
      <rPr>
        <sz val="10"/>
        <rFont val="ＭＳ 明朝"/>
        <family val="1"/>
        <charset val="128"/>
      </rPr>
      <t>月時点の平均体重（</t>
    </r>
    <r>
      <rPr>
        <sz val="10"/>
        <rFont val="Times New Roman"/>
        <family val="1"/>
      </rPr>
      <t>g</t>
    </r>
    <r>
      <rPr>
        <sz val="10"/>
        <rFont val="ＭＳ 明朝"/>
        <family val="1"/>
        <charset val="128"/>
      </rPr>
      <t>）</t>
    </r>
    <rPh sb="0" eb="2">
      <t>ホソク</t>
    </rPh>
    <rPh sb="2" eb="3">
      <t>ヒョウ</t>
    </rPh>
    <rPh sb="13" eb="14">
      <t>ガツ</t>
    </rPh>
    <rPh sb="14" eb="16">
      <t>ジテン</t>
    </rPh>
    <rPh sb="17" eb="19">
      <t>ヘイキン</t>
    </rPh>
    <rPh sb="19" eb="21">
      <t>タイジュウ</t>
    </rPh>
    <phoneticPr fontId="4"/>
  </si>
  <si>
    <r>
      <t>補足表</t>
    </r>
    <r>
      <rPr>
        <sz val="10"/>
        <rFont val="Times New Roman"/>
        <family val="1"/>
      </rPr>
      <t>4-4.</t>
    </r>
    <r>
      <rPr>
        <sz val="10"/>
        <rFont val="ＭＳ 明朝"/>
        <family val="1"/>
        <charset val="128"/>
      </rPr>
      <t>　</t>
    </r>
    <r>
      <rPr>
        <sz val="10"/>
        <rFont val="Times New Roman"/>
        <family val="1"/>
      </rPr>
      <t>Logistic</t>
    </r>
    <r>
      <rPr>
        <sz val="10"/>
        <rFont val="ＭＳ 明朝"/>
        <family val="1"/>
        <charset val="128"/>
      </rPr>
      <t>式から得られた採集効率</t>
    </r>
    <rPh sb="0" eb="2">
      <t>ホソク</t>
    </rPh>
    <rPh sb="2" eb="3">
      <t>ヒョウ</t>
    </rPh>
    <rPh sb="16" eb="17">
      <t>シキ</t>
    </rPh>
    <rPh sb="19" eb="20">
      <t>エ</t>
    </rPh>
    <rPh sb="23" eb="25">
      <t>サイシュウ</t>
    </rPh>
    <rPh sb="25" eb="27">
      <t>コウリツ</t>
    </rPh>
    <phoneticPr fontId="4"/>
  </si>
  <si>
    <r>
      <t>補足表</t>
    </r>
    <r>
      <rPr>
        <sz val="10"/>
        <rFont val="Times New Roman"/>
        <family val="1"/>
      </rPr>
      <t>4-5.</t>
    </r>
    <r>
      <rPr>
        <sz val="10"/>
        <rFont val="ＭＳ 明朝"/>
        <family val="1"/>
        <charset val="128"/>
      </rPr>
      <t>　</t>
    </r>
    <r>
      <rPr>
        <sz val="10"/>
        <rFont val="Times New Roman"/>
        <family val="1"/>
      </rPr>
      <t>Logistic</t>
    </r>
    <r>
      <rPr>
        <sz val="10"/>
        <rFont val="ＭＳ 明朝"/>
        <family val="1"/>
        <charset val="128"/>
      </rPr>
      <t>式から得られた採集効率を用いた場合の年齢別資源尾数（</t>
    </r>
    <r>
      <rPr>
        <sz val="10"/>
        <rFont val="Times New Roman"/>
        <family val="1"/>
      </rPr>
      <t>10-11</t>
    </r>
    <r>
      <rPr>
        <sz val="10"/>
        <rFont val="ＭＳ 明朝"/>
        <family val="1"/>
        <charset val="128"/>
      </rPr>
      <t>月時点、単位：千尾）</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0">
      <t>ビ</t>
    </rPh>
    <rPh sb="40" eb="41">
      <t>スウ</t>
    </rPh>
    <rPh sb="47" eb="48">
      <t>ガツ</t>
    </rPh>
    <rPh sb="48" eb="50">
      <t>ジテン</t>
    </rPh>
    <rPh sb="51" eb="53">
      <t>タンイ</t>
    </rPh>
    <rPh sb="54" eb="56">
      <t>センビ</t>
    </rPh>
    <phoneticPr fontId="4"/>
  </si>
  <si>
    <r>
      <t>1</t>
    </r>
    <r>
      <rPr>
        <sz val="10"/>
        <rFont val="ＭＳ 明朝"/>
        <family val="1"/>
        <charset val="128"/>
      </rPr>
      <t>歳魚はほとんど漁獲されないので、漁獲対象資源に含めない。</t>
    </r>
    <rPh sb="1" eb="2">
      <t>サイ</t>
    </rPh>
    <rPh sb="2" eb="3">
      <t>ギョ</t>
    </rPh>
    <phoneticPr fontId="4"/>
  </si>
  <si>
    <r>
      <t>補足表</t>
    </r>
    <r>
      <rPr>
        <sz val="10"/>
        <rFont val="Times New Roman"/>
        <family val="1"/>
      </rPr>
      <t>4-6.</t>
    </r>
    <r>
      <rPr>
        <sz val="10"/>
        <rFont val="ＭＳ 明朝"/>
        <family val="1"/>
        <charset val="128"/>
      </rPr>
      <t>　</t>
    </r>
    <r>
      <rPr>
        <sz val="10"/>
        <rFont val="Times New Roman"/>
        <family val="1"/>
      </rPr>
      <t>Logistic</t>
    </r>
    <r>
      <rPr>
        <sz val="10"/>
        <rFont val="ＭＳ 明朝"/>
        <family val="1"/>
        <charset val="128"/>
      </rPr>
      <t>式から得られた採集効率を用いた場合の年齢別資源重量（</t>
    </r>
    <r>
      <rPr>
        <sz val="10"/>
        <rFont val="Times New Roman"/>
        <family val="1"/>
      </rPr>
      <t>10-11</t>
    </r>
    <r>
      <rPr>
        <sz val="10"/>
        <rFont val="ＭＳ 明朝"/>
        <family val="1"/>
        <charset val="128"/>
      </rPr>
      <t>月時点、単位：トン）</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1">
      <t>ジュウリョウ</t>
    </rPh>
    <rPh sb="47" eb="48">
      <t>ガツ</t>
    </rPh>
    <rPh sb="48" eb="50">
      <t>ジテン</t>
    </rPh>
    <rPh sb="51" eb="53">
      <t>タンイ</t>
    </rPh>
    <phoneticPr fontId="4"/>
  </si>
  <si>
    <r>
      <t>補足表</t>
    </r>
    <r>
      <rPr>
        <sz val="10"/>
        <rFont val="Times New Roman"/>
        <family val="1"/>
      </rPr>
      <t>4-7.</t>
    </r>
    <r>
      <rPr>
        <sz val="10"/>
        <rFont val="ＭＳ 明朝"/>
        <family val="1"/>
        <charset val="128"/>
      </rPr>
      <t>　</t>
    </r>
    <r>
      <rPr>
        <sz val="10"/>
        <rFont val="Times New Roman"/>
        <family val="1"/>
      </rPr>
      <t>Logistic</t>
    </r>
    <r>
      <rPr>
        <sz val="10"/>
        <rFont val="ＭＳ 明朝"/>
        <family val="1"/>
        <charset val="128"/>
      </rPr>
      <t>式から得られた採集効率を用いた場合の年齢別資源尾数（</t>
    </r>
    <r>
      <rPr>
        <sz val="10"/>
        <rFont val="Times New Roman"/>
        <family val="1"/>
      </rPr>
      <t>1</t>
    </r>
    <r>
      <rPr>
        <sz val="10"/>
        <rFont val="ＭＳ 明朝"/>
        <family val="1"/>
        <charset val="128"/>
      </rPr>
      <t>月時点、単位：千尾）</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0">
      <t>ビ</t>
    </rPh>
    <rPh sb="40" eb="41">
      <t>スウ</t>
    </rPh>
    <rPh sb="43" eb="44">
      <t>ガツ</t>
    </rPh>
    <rPh sb="44" eb="46">
      <t>ジテン</t>
    </rPh>
    <rPh sb="47" eb="49">
      <t>タンイ</t>
    </rPh>
    <rPh sb="50" eb="52">
      <t>センビ</t>
    </rPh>
    <phoneticPr fontId="4"/>
  </si>
  <si>
    <r>
      <t>補足表</t>
    </r>
    <r>
      <rPr>
        <sz val="10"/>
        <rFont val="Times New Roman"/>
        <family val="1"/>
      </rPr>
      <t>4-8.</t>
    </r>
    <r>
      <rPr>
        <sz val="10"/>
        <rFont val="ＭＳ 明朝"/>
        <family val="1"/>
        <charset val="128"/>
      </rPr>
      <t>　</t>
    </r>
    <r>
      <rPr>
        <sz val="10"/>
        <rFont val="Times New Roman"/>
        <family val="1"/>
      </rPr>
      <t>Logistic</t>
    </r>
    <r>
      <rPr>
        <sz val="10"/>
        <rFont val="ＭＳ 明朝"/>
        <family val="1"/>
        <charset val="128"/>
      </rPr>
      <t>式から得られた採集効率を用いた場合の年齢別資源重量（</t>
    </r>
    <r>
      <rPr>
        <sz val="10"/>
        <rFont val="Times New Roman"/>
        <family val="1"/>
      </rPr>
      <t>1</t>
    </r>
    <r>
      <rPr>
        <sz val="10"/>
        <rFont val="ＭＳ 明朝"/>
        <family val="1"/>
        <charset val="128"/>
      </rPr>
      <t>月時点、単位：トン）</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1">
      <t>ジュウリョウ</t>
    </rPh>
    <rPh sb="43" eb="44">
      <t>ガツ</t>
    </rPh>
    <rPh sb="44" eb="46">
      <t>ジテン</t>
    </rPh>
    <rPh sb="47" eb="49">
      <t>タンイ</t>
    </rPh>
    <phoneticPr fontId="4"/>
  </si>
  <si>
    <r>
      <rPr>
        <sz val="10"/>
        <rFont val="ＭＳ 明朝"/>
        <family val="1"/>
        <charset val="128"/>
      </rPr>
      <t>近</t>
    </r>
    <r>
      <rPr>
        <sz val="10"/>
        <rFont val="Times New Roman"/>
        <family val="1"/>
      </rPr>
      <t>3</t>
    </r>
    <r>
      <rPr>
        <sz val="10"/>
        <rFont val="ＭＳ 明朝"/>
        <family val="1"/>
        <charset val="128"/>
      </rPr>
      <t>年</t>
    </r>
    <rPh sb="0" eb="1">
      <t>キン</t>
    </rPh>
    <rPh sb="2" eb="3">
      <t>ネン</t>
    </rPh>
    <phoneticPr fontId="4"/>
  </si>
  <si>
    <t>漁獲量</t>
    <rPh sb="0" eb="3">
      <t>ギョカクリョウ</t>
    </rPh>
    <phoneticPr fontId="4"/>
  </si>
  <si>
    <t>漁獲割合</t>
    <rPh sb="0" eb="2">
      <t>ギョカク</t>
    </rPh>
    <rPh sb="2" eb="4">
      <t>ワリアイ</t>
    </rPh>
    <phoneticPr fontId="4"/>
  </si>
  <si>
    <r>
      <t>表</t>
    </r>
    <r>
      <rPr>
        <sz val="12"/>
        <rFont val="Times New Roman"/>
        <family val="1"/>
      </rPr>
      <t>1.</t>
    </r>
    <r>
      <rPr>
        <sz val="12"/>
        <rFont val="ＭＳ 明朝"/>
        <family val="1"/>
        <charset val="128"/>
      </rPr>
      <t>　太平洋北部における漁業種類別のキチジの漁獲量（トン）　</t>
    </r>
    <rPh sb="0" eb="1">
      <t>ヒョウ</t>
    </rPh>
    <rPh sb="4" eb="7">
      <t>タイヘイヨウ</t>
    </rPh>
    <rPh sb="7" eb="9">
      <t>ホクブ</t>
    </rPh>
    <rPh sb="13" eb="15">
      <t>ギョギョウ</t>
    </rPh>
    <rPh sb="15" eb="18">
      <t>シュルイベツ</t>
    </rPh>
    <rPh sb="23" eb="26">
      <t>ギョカクリョウ</t>
    </rPh>
    <phoneticPr fontId="4"/>
  </si>
  <si>
    <r>
      <t>表</t>
    </r>
    <r>
      <rPr>
        <sz val="12"/>
        <rFont val="Times New Roman"/>
        <family val="1"/>
      </rPr>
      <t>2.</t>
    </r>
    <r>
      <rPr>
        <sz val="12"/>
        <rFont val="ＭＳ 明朝"/>
        <family val="1"/>
        <charset val="128"/>
      </rPr>
      <t>　沖合底びき網漁業による小海区別のキチジの漁獲量（トン）</t>
    </r>
    <rPh sb="15" eb="16">
      <t>ショウ</t>
    </rPh>
    <rPh sb="16" eb="17">
      <t>カイ</t>
    </rPh>
    <rPh sb="17" eb="19">
      <t>クベツ</t>
    </rPh>
    <phoneticPr fontId="4"/>
  </si>
  <si>
    <r>
      <rPr>
        <sz val="10"/>
        <rFont val="Times New Roman"/>
        <family val="1"/>
      </rPr>
      <t>2</t>
    </r>
    <r>
      <rPr>
        <sz val="10"/>
        <rFont val="ＭＳ 明朝"/>
        <family val="1"/>
        <charset val="128"/>
      </rPr>
      <t>ヶ月分の漁獲と自然死亡分を減じて</t>
    </r>
    <r>
      <rPr>
        <sz val="10"/>
        <rFont val="Times New Roman"/>
        <family val="1"/>
      </rPr>
      <t>1</t>
    </r>
    <r>
      <rPr>
        <sz val="10"/>
        <rFont val="ＭＳ 明朝"/>
        <family val="1"/>
        <charset val="128"/>
      </rPr>
      <t>月時点の資源尾数を求めた。</t>
    </r>
    <r>
      <rPr>
        <sz val="10"/>
        <rFont val="Times New Roman"/>
        <family val="1"/>
      </rPr>
      <t>M=2.5</t>
    </r>
    <r>
      <rPr>
        <sz val="10"/>
        <rFont val="ＭＳ 明朝"/>
        <family val="1"/>
        <charset val="128"/>
      </rPr>
      <t>／寿命（</t>
    </r>
    <r>
      <rPr>
        <sz val="10"/>
        <rFont val="Times New Roman"/>
        <family val="1"/>
      </rPr>
      <t>20</t>
    </r>
    <r>
      <rPr>
        <sz val="10"/>
        <rFont val="ＭＳ 明朝"/>
        <family val="1"/>
        <charset val="128"/>
      </rPr>
      <t>歳）</t>
    </r>
    <r>
      <rPr>
        <sz val="10"/>
        <rFont val="Times New Roman"/>
        <family val="1"/>
      </rPr>
      <t>=0.125</t>
    </r>
    <r>
      <rPr>
        <sz val="10"/>
        <rFont val="ＭＳ 明朝"/>
        <family val="1"/>
        <charset val="128"/>
      </rPr>
      <t>を仮定。</t>
    </r>
    <rPh sb="2" eb="3">
      <t>ゲツ</t>
    </rPh>
    <rPh sb="3" eb="4">
      <t>ブン</t>
    </rPh>
    <rPh sb="5" eb="7">
      <t>ギョカク</t>
    </rPh>
    <rPh sb="8" eb="10">
      <t>シゼン</t>
    </rPh>
    <rPh sb="10" eb="12">
      <t>シボウ</t>
    </rPh>
    <rPh sb="12" eb="13">
      <t>ブン</t>
    </rPh>
    <rPh sb="14" eb="15">
      <t>ゲン</t>
    </rPh>
    <rPh sb="18" eb="19">
      <t>ガツ</t>
    </rPh>
    <rPh sb="19" eb="21">
      <t>ジテン</t>
    </rPh>
    <rPh sb="22" eb="24">
      <t>シゲン</t>
    </rPh>
    <rPh sb="24" eb="26">
      <t>ビスウ</t>
    </rPh>
    <rPh sb="27" eb="28">
      <t>モト</t>
    </rPh>
    <rPh sb="37" eb="39">
      <t>ジュミョウ</t>
    </rPh>
    <rPh sb="42" eb="43">
      <t>サイ</t>
    </rPh>
    <rPh sb="51" eb="53">
      <t>カテイ</t>
    </rPh>
    <phoneticPr fontId="4"/>
  </si>
  <si>
    <r>
      <t>F</t>
    </r>
    <r>
      <rPr>
        <sz val="10"/>
        <rFont val="ＭＳ 明朝"/>
        <family val="1"/>
        <charset val="128"/>
      </rPr>
      <t>値</t>
    </r>
    <rPh sb="1" eb="2">
      <t>チ</t>
    </rPh>
    <phoneticPr fontId="4"/>
  </si>
  <si>
    <t>その他</t>
    <rPh sb="2" eb="3">
      <t>タ</t>
    </rPh>
    <phoneticPr fontId="11"/>
  </si>
  <si>
    <t>震災以降の福島県では、試験操業において沖底と小底は｢底びき網｣として合計されている。｢底びき網｣から漁場別漁獲統計資料の値を引いたものを小底の値として集計した。</t>
    <rPh sb="0" eb="2">
      <t>シンサイ</t>
    </rPh>
    <rPh sb="2" eb="4">
      <t>イコウ</t>
    </rPh>
    <rPh sb="5" eb="8">
      <t>フクシマケン</t>
    </rPh>
    <rPh sb="11" eb="13">
      <t>シケン</t>
    </rPh>
    <rPh sb="13" eb="15">
      <t>ソウギョウ</t>
    </rPh>
    <rPh sb="19" eb="20">
      <t>オキ</t>
    </rPh>
    <rPh sb="20" eb="21">
      <t>ソコ</t>
    </rPh>
    <rPh sb="22" eb="23">
      <t>コ</t>
    </rPh>
    <rPh sb="23" eb="24">
      <t>ソコ</t>
    </rPh>
    <rPh sb="26" eb="27">
      <t>ソコ</t>
    </rPh>
    <rPh sb="29" eb="30">
      <t>アミ</t>
    </rPh>
    <rPh sb="34" eb="36">
      <t>ゴウケイ</t>
    </rPh>
    <rPh sb="43" eb="44">
      <t>ソコ</t>
    </rPh>
    <rPh sb="46" eb="47">
      <t>アミ</t>
    </rPh>
    <rPh sb="50" eb="52">
      <t>ギョジョウ</t>
    </rPh>
    <rPh sb="52" eb="53">
      <t>ベツ</t>
    </rPh>
    <rPh sb="53" eb="55">
      <t>ギョカク</t>
    </rPh>
    <rPh sb="55" eb="57">
      <t>トウケイ</t>
    </rPh>
    <rPh sb="57" eb="59">
      <t>シリョウ</t>
    </rPh>
    <rPh sb="60" eb="61">
      <t>アタイ</t>
    </rPh>
    <rPh sb="62" eb="63">
      <t>ヒ</t>
    </rPh>
    <rPh sb="68" eb="69">
      <t>コ</t>
    </rPh>
    <rPh sb="69" eb="70">
      <t>ソコ</t>
    </rPh>
    <rPh sb="71" eb="72">
      <t>アタイ</t>
    </rPh>
    <rPh sb="75" eb="77">
      <t>シュウケイ</t>
    </rPh>
    <phoneticPr fontId="4"/>
  </si>
  <si>
    <t>沖　底</t>
  </si>
  <si>
    <t>小　底</t>
  </si>
  <si>
    <t>刺　網</t>
  </si>
  <si>
    <t>延　縄</t>
  </si>
  <si>
    <t>定　置</t>
  </si>
  <si>
    <t>合　計</t>
  </si>
  <si>
    <t>常　磐</t>
  </si>
  <si>
    <t>房　総</t>
  </si>
  <si>
    <t>トロール</t>
  </si>
  <si>
    <t>調査地点数</t>
    <rPh sb="0" eb="2">
      <t>チョウサ</t>
    </rPh>
    <rPh sb="2" eb="4">
      <t>チテン</t>
    </rPh>
    <rPh sb="4" eb="5">
      <t>スウ</t>
    </rPh>
    <phoneticPr fontId="3"/>
  </si>
  <si>
    <t>資源量（トン）</t>
    <rPh sb="0" eb="3">
      <t>シゲンリョウ</t>
    </rPh>
    <phoneticPr fontId="3"/>
  </si>
  <si>
    <r>
      <t>資源量の</t>
    </r>
    <r>
      <rPr>
        <sz val="10.5"/>
        <rFont val="Times New Roman"/>
        <family val="1"/>
      </rPr>
      <t>CV</t>
    </r>
    <rPh sb="0" eb="3">
      <t>シゲンリョウ</t>
    </rPh>
    <phoneticPr fontId="3"/>
  </si>
  <si>
    <r>
      <t>資源量の</t>
    </r>
    <r>
      <rPr>
        <sz val="10.5"/>
        <rFont val="Times New Roman"/>
        <family val="1"/>
      </rPr>
      <t>SE</t>
    </r>
    <r>
      <rPr>
        <sz val="10.5"/>
        <rFont val="ＭＳ 明朝"/>
        <family val="1"/>
        <charset val="128"/>
      </rPr>
      <t>（トン）</t>
    </r>
    <rPh sb="0" eb="3">
      <t>シゲンリョウ</t>
    </rPh>
    <phoneticPr fontId="3"/>
  </si>
  <si>
    <r>
      <t>95%</t>
    </r>
    <r>
      <rPr>
        <sz val="10.5"/>
        <rFont val="ＭＳ 明朝"/>
        <family val="1"/>
        <charset val="128"/>
      </rPr>
      <t>信頼区間（上限）、トン</t>
    </r>
    <rPh sb="3" eb="5">
      <t>シンライ</t>
    </rPh>
    <rPh sb="5" eb="7">
      <t>クカン</t>
    </rPh>
    <rPh sb="8" eb="10">
      <t>ジョウゲン</t>
    </rPh>
    <phoneticPr fontId="3"/>
  </si>
  <si>
    <r>
      <t>95%</t>
    </r>
    <r>
      <rPr>
        <sz val="10.5"/>
        <rFont val="ＭＳ 明朝"/>
        <family val="1"/>
        <charset val="128"/>
      </rPr>
      <t>信頼区間（下限）、トン</t>
    </r>
    <rPh sb="3" eb="5">
      <t>シンライ</t>
    </rPh>
    <rPh sb="5" eb="7">
      <t>クカン</t>
    </rPh>
    <rPh sb="8" eb="10">
      <t>カゲン</t>
    </rPh>
    <phoneticPr fontId="3"/>
  </si>
  <si>
    <t>資源尾数（千尾）</t>
    <rPh sb="0" eb="2">
      <t>シゲン</t>
    </rPh>
    <rPh sb="2" eb="3">
      <t>オ</t>
    </rPh>
    <rPh sb="3" eb="4">
      <t>カズ</t>
    </rPh>
    <rPh sb="5" eb="7">
      <t>センビ</t>
    </rPh>
    <phoneticPr fontId="3"/>
  </si>
  <si>
    <r>
      <t>資源尾数の</t>
    </r>
    <r>
      <rPr>
        <sz val="10.5"/>
        <rFont val="Times New Roman"/>
        <family val="1"/>
      </rPr>
      <t>CV</t>
    </r>
    <rPh sb="0" eb="2">
      <t>シゲン</t>
    </rPh>
    <rPh sb="2" eb="3">
      <t>オ</t>
    </rPh>
    <rPh sb="3" eb="4">
      <t>カズ</t>
    </rPh>
    <phoneticPr fontId="3"/>
  </si>
  <si>
    <r>
      <t>資源尾数の</t>
    </r>
    <r>
      <rPr>
        <sz val="10.5"/>
        <rFont val="Times New Roman"/>
        <family val="1"/>
      </rPr>
      <t>SE</t>
    </r>
    <r>
      <rPr>
        <sz val="10.5"/>
        <rFont val="ＭＳ 明朝"/>
        <family val="1"/>
        <charset val="128"/>
      </rPr>
      <t>（千尾）</t>
    </r>
    <rPh sb="0" eb="2">
      <t>シゲン</t>
    </rPh>
    <rPh sb="2" eb="3">
      <t>オ</t>
    </rPh>
    <rPh sb="3" eb="4">
      <t>カズ</t>
    </rPh>
    <rPh sb="8" eb="10">
      <t>センビ</t>
    </rPh>
    <phoneticPr fontId="3"/>
  </si>
  <si>
    <r>
      <t>95%</t>
    </r>
    <r>
      <rPr>
        <sz val="10.5"/>
        <rFont val="ＭＳ 明朝"/>
        <family val="1"/>
        <charset val="128"/>
      </rPr>
      <t>信頼区間（上限）、千尾</t>
    </r>
    <rPh sb="3" eb="5">
      <t>シンライ</t>
    </rPh>
    <rPh sb="5" eb="7">
      <t>クカン</t>
    </rPh>
    <rPh sb="8" eb="10">
      <t>ジョウゲン</t>
    </rPh>
    <rPh sb="12" eb="14">
      <t>センビ</t>
    </rPh>
    <phoneticPr fontId="3"/>
  </si>
  <si>
    <r>
      <t>95%</t>
    </r>
    <r>
      <rPr>
        <sz val="10.5"/>
        <rFont val="ＭＳ 明朝"/>
        <family val="1"/>
        <charset val="128"/>
      </rPr>
      <t>信頼区間（下限）、千尾</t>
    </r>
    <rPh sb="3" eb="5">
      <t>シンライ</t>
    </rPh>
    <rPh sb="5" eb="7">
      <t>クカン</t>
    </rPh>
    <rPh sb="8" eb="10">
      <t>カゲン</t>
    </rPh>
    <rPh sb="12" eb="14">
      <t>センビ</t>
    </rPh>
    <phoneticPr fontId="3"/>
  </si>
  <si>
    <t>年</t>
    <rPh sb="0" eb="1">
      <t>ネン</t>
    </rPh>
    <phoneticPr fontId="3"/>
  </si>
  <si>
    <r>
      <t>補足表</t>
    </r>
    <r>
      <rPr>
        <sz val="10"/>
        <rFont val="Times New Roman"/>
        <family val="1"/>
      </rPr>
      <t>4-9.</t>
    </r>
    <r>
      <rPr>
        <sz val="10"/>
        <rFont val="ＭＳ 明朝"/>
        <family val="1"/>
        <charset val="128"/>
      </rPr>
      <t>　漁獲量（トン）、漁獲割合（</t>
    </r>
    <r>
      <rPr>
        <sz val="10"/>
        <rFont val="Times New Roman"/>
        <family val="1"/>
      </rPr>
      <t>%</t>
    </r>
    <r>
      <rPr>
        <sz val="10"/>
        <rFont val="ＭＳ 明朝"/>
        <family val="1"/>
        <charset val="128"/>
      </rPr>
      <t>）および</t>
    </r>
    <r>
      <rPr>
        <sz val="10"/>
        <rFont val="Times New Roman"/>
        <family val="1"/>
      </rPr>
      <t>F</t>
    </r>
    <r>
      <rPr>
        <sz val="10"/>
        <rFont val="ＭＳ 明朝"/>
        <family val="1"/>
        <charset val="128"/>
      </rPr>
      <t>値</t>
    </r>
    <rPh sb="0" eb="2">
      <t>ホソク</t>
    </rPh>
    <rPh sb="2" eb="3">
      <t>ヒョウ</t>
    </rPh>
    <rPh sb="8" eb="10">
      <t>ギョカク</t>
    </rPh>
    <rPh sb="10" eb="11">
      <t>リョウ</t>
    </rPh>
    <rPh sb="16" eb="18">
      <t>ギョカク</t>
    </rPh>
    <rPh sb="18" eb="20">
      <t>ワリアイ</t>
    </rPh>
    <rPh sb="27" eb="28">
      <t>チ</t>
    </rPh>
    <phoneticPr fontId="4"/>
  </si>
  <si>
    <t>10+</t>
  </si>
  <si>
    <t>年</t>
    <rPh sb="0" eb="1">
      <t>ネン</t>
    </rPh>
    <phoneticPr fontId="4"/>
  </si>
  <si>
    <r>
      <t>表</t>
    </r>
    <r>
      <rPr>
        <sz val="10.5"/>
        <rFont val="Times New Roman"/>
        <family val="1"/>
      </rPr>
      <t>4.</t>
    </r>
    <r>
      <rPr>
        <sz val="10.5"/>
        <rFont val="ＭＳ 明朝"/>
        <family val="1"/>
        <charset val="128"/>
      </rPr>
      <t>　沖底の小海区別、漁法別の</t>
    </r>
    <r>
      <rPr>
        <sz val="10.5"/>
        <rFont val="Times New Roman"/>
        <family val="1"/>
      </rPr>
      <t>CPUE</t>
    </r>
    <r>
      <rPr>
        <sz val="10.5"/>
        <rFont val="ＭＳ 明朝"/>
        <family val="1"/>
        <charset val="128"/>
      </rPr>
      <t>（</t>
    </r>
    <r>
      <rPr>
        <sz val="10.5"/>
        <rFont val="Times New Roman"/>
        <family val="1"/>
      </rPr>
      <t>kg</t>
    </r>
    <r>
      <rPr>
        <sz val="10.5"/>
        <rFont val="ＭＳ 明朝"/>
        <family val="1"/>
        <charset val="128"/>
      </rPr>
      <t>／網）の推移</t>
    </r>
    <rPh sb="0" eb="1">
      <t>ヒョウ</t>
    </rPh>
    <rPh sb="4" eb="5">
      <t>オキ</t>
    </rPh>
    <rPh sb="5" eb="6">
      <t>ソコ</t>
    </rPh>
    <rPh sb="7" eb="8">
      <t>ショウ</t>
    </rPh>
    <rPh sb="8" eb="10">
      <t>カイク</t>
    </rPh>
    <rPh sb="10" eb="11">
      <t>ベツ</t>
    </rPh>
    <rPh sb="12" eb="14">
      <t>ギョホウ</t>
    </rPh>
    <rPh sb="14" eb="15">
      <t>ベツ</t>
    </rPh>
    <rPh sb="24" eb="25">
      <t>アミ</t>
    </rPh>
    <rPh sb="27" eb="29">
      <t>スイイ</t>
    </rPh>
    <phoneticPr fontId="10"/>
  </si>
  <si>
    <t>岩　手</t>
    <rPh sb="0" eb="1">
      <t>イワ</t>
    </rPh>
    <rPh sb="2" eb="3">
      <t>テ</t>
    </rPh>
    <phoneticPr fontId="4"/>
  </si>
  <si>
    <t>岩　手</t>
    <phoneticPr fontId="4"/>
  </si>
  <si>
    <t>常　磐</t>
    <phoneticPr fontId="4"/>
  </si>
  <si>
    <t>房　総</t>
    <phoneticPr fontId="4"/>
  </si>
  <si>
    <t>親魚量</t>
    <rPh sb="0" eb="1">
      <t>シン</t>
    </rPh>
    <rPh sb="1" eb="2">
      <t>ギョ</t>
    </rPh>
    <rPh sb="2" eb="3">
      <t>リョウ</t>
    </rPh>
    <phoneticPr fontId="4"/>
  </si>
  <si>
    <r>
      <t>親魚量は各年、各体長階級別の資源尾数に体長階級別成熟割合を乗じて求めた。性比は雌：雄=</t>
    </r>
    <r>
      <rPr>
        <sz val="10"/>
        <rFont val="Times New Roman"/>
        <family val="1"/>
      </rPr>
      <t>1</t>
    </r>
    <r>
      <rPr>
        <sz val="10"/>
        <rFont val="ＭＳ 明朝"/>
        <family val="1"/>
        <charset val="128"/>
      </rPr>
      <t>：</t>
    </r>
    <r>
      <rPr>
        <sz val="10"/>
        <rFont val="Times New Roman"/>
        <family val="1"/>
      </rPr>
      <t>1</t>
    </r>
    <r>
      <rPr>
        <sz val="10"/>
        <rFont val="ＭＳ 明朝"/>
        <family val="1"/>
        <charset val="128"/>
      </rPr>
      <t>を仮定。</t>
    </r>
    <rPh sb="0" eb="1">
      <t>シン</t>
    </rPh>
    <rPh sb="1" eb="2">
      <t>ギョ</t>
    </rPh>
    <rPh sb="2" eb="3">
      <t>リョウ</t>
    </rPh>
    <rPh sb="4" eb="6">
      <t>カクネン</t>
    </rPh>
    <rPh sb="7" eb="8">
      <t>カク</t>
    </rPh>
    <rPh sb="8" eb="10">
      <t>タイチョウ</t>
    </rPh>
    <rPh sb="10" eb="12">
      <t>カイキュウ</t>
    </rPh>
    <rPh sb="12" eb="13">
      <t>ベツ</t>
    </rPh>
    <rPh sb="14" eb="16">
      <t>シゲン</t>
    </rPh>
    <rPh sb="16" eb="17">
      <t>ビ</t>
    </rPh>
    <rPh sb="17" eb="18">
      <t>スウ</t>
    </rPh>
    <rPh sb="19" eb="21">
      <t>タイチョウ</t>
    </rPh>
    <rPh sb="21" eb="23">
      <t>カイキュウ</t>
    </rPh>
    <rPh sb="23" eb="24">
      <t>ベツ</t>
    </rPh>
    <rPh sb="24" eb="26">
      <t>セイジュク</t>
    </rPh>
    <rPh sb="26" eb="28">
      <t>ワリアイ</t>
    </rPh>
    <rPh sb="29" eb="30">
      <t>ジョウ</t>
    </rPh>
    <rPh sb="32" eb="33">
      <t>モト</t>
    </rPh>
    <rPh sb="36" eb="38">
      <t>セイヒ</t>
    </rPh>
    <rPh sb="39" eb="40">
      <t>メス</t>
    </rPh>
    <rPh sb="41" eb="42">
      <t>オス</t>
    </rPh>
    <rPh sb="47" eb="49">
      <t>カテイ</t>
    </rPh>
    <phoneticPr fontId="4"/>
  </si>
  <si>
    <t>かけまわし</t>
    <phoneticPr fontId="4"/>
  </si>
  <si>
    <r>
      <t>2</t>
    </r>
    <r>
      <rPr>
        <sz val="10.5"/>
        <rFont val="ＭＳ 明朝"/>
        <family val="1"/>
        <charset val="128"/>
      </rPr>
      <t>そうびき</t>
    </r>
    <phoneticPr fontId="14"/>
  </si>
  <si>
    <r>
      <t>表</t>
    </r>
    <r>
      <rPr>
        <sz val="10.5"/>
        <rFont val="Times New Roman"/>
        <family val="1"/>
      </rPr>
      <t>3.</t>
    </r>
    <r>
      <rPr>
        <sz val="10.5"/>
        <rFont val="ＭＳ 明朝"/>
        <family val="1"/>
        <charset val="128"/>
      </rPr>
      <t>　沖底の小海区別漁獲努力量（キチジの有漁網数）の推移</t>
    </r>
    <rPh sb="0" eb="1">
      <t>ヒョウ</t>
    </rPh>
    <rPh sb="4" eb="5">
      <t>オキ</t>
    </rPh>
    <rPh sb="5" eb="6">
      <t>ソコ</t>
    </rPh>
    <rPh sb="7" eb="8">
      <t>ショウ</t>
    </rPh>
    <rPh sb="8" eb="10">
      <t>カイク</t>
    </rPh>
    <rPh sb="10" eb="11">
      <t>ベツ</t>
    </rPh>
    <rPh sb="11" eb="13">
      <t>ギョカク</t>
    </rPh>
    <rPh sb="13" eb="16">
      <t>ドリョクリョウ</t>
    </rPh>
    <rPh sb="21" eb="22">
      <t>ユウ</t>
    </rPh>
    <rPh sb="22" eb="23">
      <t>リョウ</t>
    </rPh>
    <rPh sb="23" eb="24">
      <t>アミ</t>
    </rPh>
    <rPh sb="24" eb="25">
      <t>カズ</t>
    </rPh>
    <rPh sb="27" eb="29">
      <t>スイイ</t>
    </rPh>
    <phoneticPr fontId="10"/>
  </si>
  <si>
    <r>
      <t>2018</t>
    </r>
    <r>
      <rPr>
        <sz val="10"/>
        <rFont val="ＭＳ 明朝"/>
        <family val="1"/>
        <charset val="128"/>
      </rPr>
      <t>年の漁獲量は暫定値。</t>
    </r>
    <rPh sb="4" eb="5">
      <t>ネン</t>
    </rPh>
    <rPh sb="6" eb="9">
      <t>ギョカクリョウ</t>
    </rPh>
    <rPh sb="10" eb="13">
      <t>ザンテイチ</t>
    </rPh>
    <phoneticPr fontId="4"/>
  </si>
  <si>
    <r>
      <t>値は漁場別漁獲統計資料による（</t>
    </r>
    <r>
      <rPr>
        <sz val="10.5"/>
        <rFont val="Times New Roman"/>
        <family val="1"/>
      </rPr>
      <t>2019</t>
    </r>
    <r>
      <rPr>
        <sz val="10.5"/>
        <rFont val="ＭＳ 明朝"/>
        <family val="1"/>
        <charset val="128"/>
      </rPr>
      <t>年の値は暫定値）。</t>
    </r>
    <rPh sb="0" eb="1">
      <t>アタイ</t>
    </rPh>
    <rPh sb="2" eb="4">
      <t>ギョジョウ</t>
    </rPh>
    <rPh sb="4" eb="5">
      <t>ベツ</t>
    </rPh>
    <rPh sb="5" eb="7">
      <t>ギョカク</t>
    </rPh>
    <rPh sb="7" eb="9">
      <t>トウケイ</t>
    </rPh>
    <rPh sb="9" eb="11">
      <t>シリョウ</t>
    </rPh>
    <phoneticPr fontId="4"/>
  </si>
  <si>
    <r>
      <t>値は漁場別漁獲統計資料による（</t>
    </r>
    <r>
      <rPr>
        <sz val="10.5"/>
        <rFont val="Times New Roman"/>
        <family val="1"/>
      </rPr>
      <t>2019</t>
    </r>
    <r>
      <rPr>
        <sz val="10.5"/>
        <rFont val="ＭＳ 明朝"/>
        <family val="1"/>
        <charset val="128"/>
      </rPr>
      <t>年の値は暫定値）。</t>
    </r>
    <phoneticPr fontId="4"/>
  </si>
  <si>
    <r>
      <t>沖底の値は漁場別漁獲統計資料による（</t>
    </r>
    <r>
      <rPr>
        <sz val="10.5"/>
        <rFont val="Times New Roman"/>
        <family val="1"/>
      </rPr>
      <t>2019</t>
    </r>
    <r>
      <rPr>
        <sz val="10.5"/>
        <rFont val="ＭＳ 明朝"/>
        <family val="1"/>
        <charset val="128"/>
      </rPr>
      <t>年の値は暫定値）。</t>
    </r>
    <r>
      <rPr>
        <sz val="10.5"/>
        <rFont val="Times New Roman"/>
        <family val="1"/>
      </rPr>
      <t>2005</t>
    </r>
    <r>
      <rPr>
        <sz val="10.5"/>
        <rFont val="ＭＳ 明朝"/>
        <family val="1"/>
        <charset val="128"/>
      </rPr>
      <t>年以前の沖底以外の値は農林統計、</t>
    </r>
    <r>
      <rPr>
        <sz val="10.5"/>
        <rFont val="Times New Roman"/>
        <family val="1"/>
      </rPr>
      <t>2006</t>
    </r>
    <r>
      <rPr>
        <sz val="10.5"/>
        <rFont val="ＭＳ 明朝"/>
        <family val="1"/>
        <charset val="128"/>
      </rPr>
      <t>年以降の値は水試調べによる。</t>
    </r>
    <phoneticPr fontId="4"/>
  </si>
  <si>
    <t>令和2（2020）年度キチジ太平洋北部の資源評価のデータセット</t>
    <rPh sb="0" eb="2">
      <t>レイワ</t>
    </rPh>
    <rPh sb="14" eb="17">
      <t>タイヘイヨウ</t>
    </rPh>
    <rPh sb="17" eb="19">
      <t>ホクブ</t>
    </rPh>
    <phoneticPr fontId="4"/>
  </si>
  <si>
    <r>
      <t>補足表</t>
    </r>
    <r>
      <rPr>
        <sz val="10.5"/>
        <rFont val="Times New Roman"/>
        <family val="1"/>
      </rPr>
      <t>3-1.</t>
    </r>
    <r>
      <rPr>
        <sz val="10.5"/>
        <rFont val="ＭＳ 明朝"/>
        <family val="1"/>
        <charset val="128"/>
      </rPr>
      <t xml:space="preserve">　若鷹丸による秋季の底魚類資源量調査により得られたキチジの資源量および資源尾数の
</t>
    </r>
    <r>
      <rPr>
        <sz val="10.5"/>
        <rFont val="Times New Roman"/>
        <family val="1"/>
      </rPr>
      <t xml:space="preserve">    </t>
    </r>
    <r>
      <rPr>
        <sz val="10.5"/>
        <rFont val="ＭＳ 明朝"/>
        <family val="1"/>
        <charset val="128"/>
      </rPr>
      <t>　　　　</t>
    </r>
    <r>
      <rPr>
        <sz val="10.5"/>
        <rFont val="Times New Roman"/>
        <family val="1"/>
      </rPr>
      <t xml:space="preserve">  </t>
    </r>
    <r>
      <rPr>
        <sz val="10.5"/>
        <rFont val="ＭＳ 明朝"/>
        <family val="1"/>
        <charset val="128"/>
      </rPr>
      <t>経年変化（面積－密度法で推定。採集効率は</t>
    </r>
    <r>
      <rPr>
        <sz val="10.5"/>
        <rFont val="Times New Roman"/>
        <family val="1"/>
      </rPr>
      <t>1</t>
    </r>
    <r>
      <rPr>
        <sz val="10.5"/>
        <rFont val="ＭＳ 明朝"/>
        <family val="1"/>
        <charset val="128"/>
      </rPr>
      <t>と仮定）</t>
    </r>
    <rPh sb="0" eb="2">
      <t>ホソク</t>
    </rPh>
    <rPh sb="2" eb="3">
      <t>ヒョウ</t>
    </rPh>
    <rPh sb="8" eb="9">
      <t>ワカ</t>
    </rPh>
    <rPh sb="9" eb="11">
      <t>タカマル</t>
    </rPh>
    <rPh sb="14" eb="16">
      <t>シュウキ</t>
    </rPh>
    <rPh sb="17" eb="20">
      <t>ソコウオルイ</t>
    </rPh>
    <rPh sb="20" eb="22">
      <t>シゲン</t>
    </rPh>
    <rPh sb="22" eb="25">
      <t>リョウチョウサ</t>
    </rPh>
    <rPh sb="28" eb="29">
      <t>エ</t>
    </rPh>
    <rPh sb="36" eb="39">
      <t>シゲンリョウ</t>
    </rPh>
    <rPh sb="42" eb="43">
      <t>シ</t>
    </rPh>
    <rPh sb="43" eb="44">
      <t>ミナモト</t>
    </rPh>
    <rPh sb="44" eb="45">
      <t>ビ</t>
    </rPh>
    <rPh sb="45" eb="46">
      <t>スウ</t>
    </rPh>
    <rPh sb="60" eb="61">
      <t>ヘン</t>
    </rPh>
    <rPh sb="63" eb="65">
      <t>ケイネン</t>
    </rPh>
    <rPh sb="65" eb="66">
      <t>ヘン</t>
    </rPh>
    <rPh sb="67" eb="68">
      <t>カ</t>
    </rPh>
    <rPh sb="70" eb="72">
      <t>スイテ</t>
    </rPh>
    <rPh sb="73" eb="74">
      <t>テイ</t>
    </rPh>
    <rPh sb="79" eb="80">
      <t>ミツドホウ</t>
    </rPh>
    <rPh sb="80" eb="82">
      <t>カテイ</t>
    </rPh>
    <rPh sb="82" eb="83">
      <t>サイシュウコウリツイッテイバアイ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</si>
</sst>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_ "/>
    <numFmt numFmtId="177" formatCode="0_ "/>
    <numFmt numFmtId="178" formatCode="0.0_);[Red]\(0.0\)"/>
    <numFmt numFmtId="179" formatCode="#,##0_);[Red]\(#,##0\)"/>
    <numFmt numFmtId="180" formatCode="#,##0.0_ "/>
    <numFmt numFmtId="181" formatCode="0.00_ "/>
    <numFmt numFmtId="182" formatCode="#,##0_ ;[Red]\-#,##0\ "/>
    <numFmt numFmtId="183" formatCode="#,##0.00_ "/>
    <numFmt numFmtId="184" formatCode="0.000_ "/>
    <numFmt numFmtId="185" formatCode="0_);[Red]\(0\)"/>
    <numFmt numFmtId="186" formatCode="0.000_);[Red]\(0.000\)"/>
  </numFmts>
  <fonts count="23" x14ac:knownFonts="1">
    <font>
      <sz val="11"/>
      <name val="ＭＳ Ｐゴシック"/>
      <family val="3"/>
      <charset val="128"/>
    </font>
    <font>
      <sz val="11"/>
      <color theme="1"/>
      <name val="ＭＳ Ｐゴシック"/>
      <family val="2"/>
      <charset val="128"/>
      <scheme val="minor"/>
    </font>
    <font>
      <sz val="11"/>
      <name val="ＭＳ Ｐゴシック"/>
      <family val="3"/>
      <charset val="128"/>
    </font>
    <font>
      <sz val="18"/>
      <name val="Times New Roman"/>
      <family val="1"/>
    </font>
    <font>
      <sz val="6"/>
      <name val="ＭＳ Ｐゴシック"/>
      <family val="3"/>
      <charset val="128"/>
    </font>
    <font>
      <sz val="10.5"/>
      <name val="Times New Roman"/>
      <family val="1"/>
    </font>
    <font>
      <sz val="11"/>
      <name val="Times New Roman"/>
      <family val="1"/>
    </font>
    <font>
      <sz val="10.5"/>
      <name val="ＭＳ 明朝"/>
      <family val="1"/>
      <charset val="128"/>
    </font>
    <font>
      <sz val="9"/>
      <name val="ＭＳ Ｐゴシック"/>
      <family val="3"/>
      <charset val="128"/>
    </font>
    <font>
      <sz val="12"/>
      <name val="ＭＳ Ｐゴシック"/>
      <family val="3"/>
      <charset val="128"/>
    </font>
    <font>
      <sz val="7"/>
      <name val="ＭＳ Ｐ明朝"/>
      <family val="1"/>
      <charset val="128"/>
    </font>
    <font>
      <sz val="10"/>
      <name val="Times New Roman"/>
      <family val="1"/>
    </font>
    <font>
      <sz val="10"/>
      <name val="ＭＳ 明朝"/>
      <family val="1"/>
      <charset val="128"/>
    </font>
    <font>
      <sz val="8"/>
      <name val="ＭＳ 明朝"/>
      <family val="1"/>
      <charset val="128"/>
    </font>
    <font>
      <sz val="12"/>
      <name val="ＭＳ 明朝"/>
      <family val="1"/>
      <charset val="128"/>
    </font>
    <font>
      <sz val="12"/>
      <name val="Times New Roman"/>
      <family val="1"/>
    </font>
    <font>
      <sz val="12"/>
      <name val="ＭＳ Ｐ明朝"/>
      <family val="1"/>
      <charset val="128"/>
    </font>
    <font>
      <sz val="10"/>
      <name val="Century"/>
      <family val="1"/>
    </font>
    <font>
      <sz val="10"/>
      <color indexed="12"/>
      <name val="Century"/>
      <family val="1"/>
    </font>
    <font>
      <sz val="10"/>
      <name val="ＭＳ Ｐ明朝"/>
      <family val="1"/>
      <charset val="128"/>
    </font>
    <font>
      <sz val="10.5"/>
      <name val="ＭＳ Ｐ明朝"/>
      <family val="1"/>
      <charset val="128"/>
    </font>
    <font>
      <sz val="10"/>
      <name val="Times New Roman"/>
      <family val="1"/>
      <charset val="128"/>
    </font>
    <font>
      <sz val="11"/>
      <name val="ＭＳ Ｐゴシック"/>
      <family val="2"/>
      <charset val="128"/>
    </font>
  </fonts>
  <fills count="2">
    <fill>
      <patternFill patternType="none"/>
    </fill>
    <fill>
      <patternFill patternType="gray125"/>
    </fill>
  </fills>
  <borders count="6">
    <border>
      <left/>
      <right/>
      <top/>
      <bottom/>
      <diagonal/>
    </border>
    <border>
      <left/>
      <right/>
      <top style="thin">
        <color indexed="64"/>
      </top>
      <bottom style="thin">
        <color indexed="64"/>
      </bottom>
      <diagonal/>
    </border>
    <border>
      <left/>
      <right/>
      <top style="dotted">
        <color indexed="64"/>
      </top>
      <bottom style="thin">
        <color indexed="64"/>
      </bottom>
      <diagonal/>
    </border>
    <border>
      <left/>
      <right/>
      <top/>
      <bottom style="thin">
        <color indexed="64"/>
      </bottom>
      <diagonal/>
    </border>
    <border>
      <left/>
      <right/>
      <top style="thin">
        <color indexed="64"/>
      </top>
      <bottom/>
      <diagonal/>
    </border>
    <border>
      <left/>
      <right/>
      <top/>
      <bottom style="dotted">
        <color indexed="64"/>
      </bottom>
      <diagonal/>
    </border>
  </borders>
  <cellStyleXfs count="12">
    <xf numFmtId="0" fontId="0" fillId="0" borderId="0"/>
    <xf numFmtId="38" fontId="2" fillId="0" borderId="0" applyFont="0" applyFill="0" applyBorder="0" applyAlignment="0" applyProtection="0"/>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38" fontId="2" fillId="0" borderId="0" applyFont="0" applyFill="0" applyBorder="0" applyAlignment="0" applyProtection="0"/>
    <xf numFmtId="0" fontId="8" fillId="0" borderId="0">
      <alignment vertical="center"/>
    </xf>
    <xf numFmtId="0" fontId="9" fillId="0" borderId="0"/>
    <xf numFmtId="0" fontId="2" fillId="0" borderId="0"/>
    <xf numFmtId="0" fontId="8" fillId="0" borderId="0">
      <alignment vertical="center"/>
    </xf>
    <xf numFmtId="0" fontId="2" fillId="0" borderId="0"/>
    <xf numFmtId="0" fontId="1" fillId="0" borderId="0"/>
    <xf numFmtId="0" fontId="22" fillId="0" borderId="0"/>
  </cellStyleXfs>
  <cellXfs count="125">
    <xf numFmtId="0" fontId="0" fillId="0" borderId="0" xfId="0"/>
    <xf numFmtId="0" fontId="5" fillId="0" borderId="0" xfId="0" applyFont="1" applyBorder="1"/>
    <xf numFmtId="0" fontId="5" fillId="0" borderId="0" xfId="0" applyFont="1"/>
    <xf numFmtId="0" fontId="6" fillId="0" borderId="0" xfId="0" applyFont="1"/>
    <xf numFmtId="176" fontId="5" fillId="0" borderId="2" xfId="0" applyNumberFormat="1" applyFont="1" applyFill="1" applyBorder="1"/>
    <xf numFmtId="176" fontId="5" fillId="0" borderId="0" xfId="0" applyNumberFormat="1" applyFont="1" applyFill="1" applyBorder="1"/>
    <xf numFmtId="176" fontId="6" fillId="0" borderId="0" xfId="0" applyNumberFormat="1" applyFont="1"/>
    <xf numFmtId="0" fontId="9" fillId="0" borderId="0" xfId="0" applyFont="1" applyAlignment="1"/>
    <xf numFmtId="0" fontId="7" fillId="0" borderId="3" xfId="0" applyNumberFormat="1" applyFont="1" applyBorder="1" applyAlignment="1"/>
    <xf numFmtId="0" fontId="5" fillId="0" borderId="3" xfId="0" applyNumberFormat="1" applyFont="1" applyBorder="1" applyAlignment="1"/>
    <xf numFmtId="0" fontId="12" fillId="0" borderId="0" xfId="0" applyFont="1"/>
    <xf numFmtId="176" fontId="13" fillId="0" borderId="0" xfId="0" applyNumberFormat="1" applyFont="1"/>
    <xf numFmtId="0" fontId="5" fillId="0" borderId="0" xfId="0" applyNumberFormat="1" applyFont="1" applyFill="1" applyBorder="1" applyAlignment="1">
      <alignment horizontal="center"/>
    </xf>
    <xf numFmtId="176" fontId="5" fillId="0" borderId="0" xfId="0" applyNumberFormat="1" applyFont="1" applyFill="1" applyBorder="1" applyAlignment="1"/>
    <xf numFmtId="176" fontId="5" fillId="0" borderId="3" xfId="0" applyNumberFormat="1" applyFont="1" applyFill="1" applyBorder="1" applyAlignment="1"/>
    <xf numFmtId="0" fontId="11" fillId="0" borderId="0" xfId="0" applyNumberFormat="1" applyFont="1" applyBorder="1" applyAlignment="1"/>
    <xf numFmtId="176" fontId="12" fillId="0" borderId="0" xfId="0" applyNumberFormat="1" applyFont="1"/>
    <xf numFmtId="178" fontId="5" fillId="0" borderId="3" xfId="0" applyNumberFormat="1" applyFont="1" applyBorder="1" applyAlignment="1"/>
    <xf numFmtId="0" fontId="11" fillId="0" borderId="0" xfId="0" applyFont="1"/>
    <xf numFmtId="178" fontId="5" fillId="0" borderId="0" xfId="0" applyNumberFormat="1" applyFont="1" applyFill="1" applyBorder="1" applyAlignment="1"/>
    <xf numFmtId="178" fontId="5" fillId="0" borderId="3" xfId="0" applyNumberFormat="1" applyFont="1" applyFill="1" applyBorder="1" applyAlignment="1"/>
    <xf numFmtId="178" fontId="11" fillId="0" borderId="0" xfId="0" applyNumberFormat="1" applyFont="1" applyBorder="1" applyAlignment="1"/>
    <xf numFmtId="178" fontId="11" fillId="0" borderId="0" xfId="0" applyNumberFormat="1" applyFont="1"/>
    <xf numFmtId="0" fontId="16" fillId="0" borderId="0" xfId="5" applyFont="1">
      <alignment vertical="center"/>
    </xf>
    <xf numFmtId="0" fontId="17" fillId="0" borderId="0" xfId="0" applyFont="1"/>
    <xf numFmtId="0" fontId="11" fillId="0" borderId="0" xfId="0" applyFont="1" applyFill="1" applyBorder="1" applyAlignment="1">
      <alignment horizontal="center"/>
    </xf>
    <xf numFmtId="0" fontId="11" fillId="0" borderId="0" xfId="7" applyFont="1" applyFill="1" applyBorder="1" applyAlignment="1">
      <alignment horizontal="center"/>
    </xf>
    <xf numFmtId="176" fontId="11" fillId="0" borderId="3" xfId="7" applyNumberFormat="1" applyFont="1" applyFill="1" applyBorder="1"/>
    <xf numFmtId="0" fontId="17" fillId="0" borderId="0" xfId="7" applyFont="1" applyAlignment="1"/>
    <xf numFmtId="184" fontId="18" fillId="0" borderId="0" xfId="8" applyNumberFormat="1" applyFont="1" applyBorder="1">
      <alignment vertical="center"/>
    </xf>
    <xf numFmtId="176" fontId="11" fillId="0" borderId="2" xfId="7" applyNumberFormat="1" applyFont="1" applyFill="1" applyBorder="1"/>
    <xf numFmtId="0" fontId="11" fillId="0" borderId="1" xfId="0" applyNumberFormat="1" applyFont="1" applyFill="1" applyBorder="1" applyAlignment="1">
      <alignment horizontal="right"/>
    </xf>
    <xf numFmtId="0" fontId="19" fillId="0" borderId="0" xfId="0" applyFont="1"/>
    <xf numFmtId="0" fontId="5" fillId="0" borderId="3" xfId="0" applyNumberFormat="1" applyFont="1" applyFill="1" applyBorder="1" applyAlignment="1">
      <alignment horizontal="center"/>
    </xf>
    <xf numFmtId="0" fontId="14" fillId="0" borderId="0" xfId="0" applyFont="1" applyBorder="1"/>
    <xf numFmtId="0" fontId="14" fillId="0" borderId="0" xfId="0" applyFont="1"/>
    <xf numFmtId="182" fontId="5" fillId="0" borderId="0" xfId="1" applyNumberFormat="1" applyFont="1" applyFill="1" applyBorder="1" applyAlignment="1"/>
    <xf numFmtId="182" fontId="5" fillId="0" borderId="2" xfId="1" applyNumberFormat="1" applyFont="1" applyFill="1" applyBorder="1" applyAlignment="1"/>
    <xf numFmtId="185" fontId="11" fillId="0" borderId="0" xfId="7" applyNumberFormat="1" applyFont="1" applyFill="1" applyBorder="1"/>
    <xf numFmtId="178" fontId="11" fillId="0" borderId="0" xfId="7" applyNumberFormat="1" applyFont="1" applyFill="1" applyBorder="1"/>
    <xf numFmtId="0" fontId="5" fillId="0" borderId="1" xfId="0" applyFont="1" applyFill="1" applyBorder="1"/>
    <xf numFmtId="177" fontId="5" fillId="0" borderId="1" xfId="0" applyNumberFormat="1" applyFont="1" applyFill="1" applyBorder="1"/>
    <xf numFmtId="0" fontId="7" fillId="0" borderId="0" xfId="0" applyFont="1" applyFill="1" applyBorder="1"/>
    <xf numFmtId="0" fontId="7" fillId="0" borderId="2" xfId="0" applyFont="1" applyFill="1" applyBorder="1"/>
    <xf numFmtId="0" fontId="5" fillId="0" borderId="0" xfId="0" applyFont="1" applyFill="1" applyBorder="1"/>
    <xf numFmtId="0" fontId="6" fillId="0" borderId="0" xfId="0" applyFont="1" applyFill="1" applyBorder="1"/>
    <xf numFmtId="0" fontId="0" fillId="0" borderId="0" xfId="0" applyFont="1" applyFill="1" applyBorder="1"/>
    <xf numFmtId="185" fontId="5" fillId="0" borderId="1" xfId="0" applyNumberFormat="1" applyFont="1" applyFill="1" applyBorder="1"/>
    <xf numFmtId="185" fontId="5" fillId="0" borderId="1" xfId="0" applyNumberFormat="1" applyFont="1" applyFill="1" applyBorder="1" applyAlignment="1"/>
    <xf numFmtId="176" fontId="5" fillId="0" borderId="2" xfId="0" applyNumberFormat="1" applyFont="1" applyFill="1" applyBorder="1" applyAlignment="1"/>
    <xf numFmtId="0" fontId="7" fillId="0" borderId="1" xfId="0" applyFont="1" applyFill="1" applyBorder="1"/>
    <xf numFmtId="182" fontId="5" fillId="0" borderId="0" xfId="1" applyNumberFormat="1" applyFont="1" applyFill="1" applyBorder="1"/>
    <xf numFmtId="182" fontId="5" fillId="0" borderId="2" xfId="1" applyNumberFormat="1" applyFont="1" applyFill="1" applyBorder="1"/>
    <xf numFmtId="182" fontId="5" fillId="0" borderId="0" xfId="4" applyNumberFormat="1" applyFont="1" applyFill="1" applyBorder="1" applyAlignment="1"/>
    <xf numFmtId="182" fontId="5" fillId="0" borderId="2" xfId="4" applyNumberFormat="1" applyFont="1" applyFill="1" applyBorder="1" applyAlignment="1"/>
    <xf numFmtId="178" fontId="7" fillId="0" borderId="0" xfId="0" applyNumberFormat="1" applyFont="1" applyFill="1" applyBorder="1" applyAlignment="1">
      <alignment horizontal="center"/>
    </xf>
    <xf numFmtId="179" fontId="7" fillId="0" borderId="3" xfId="0" applyNumberFormat="1" applyFont="1" applyFill="1" applyBorder="1" applyAlignment="1">
      <alignment horizontal="center"/>
    </xf>
    <xf numFmtId="179" fontId="5" fillId="0" borderId="3" xfId="0" applyNumberFormat="1" applyFont="1" applyFill="1" applyBorder="1" applyAlignment="1">
      <alignment horizontal="center"/>
    </xf>
    <xf numFmtId="178" fontId="7" fillId="0" borderId="3" xfId="0" applyNumberFormat="1" applyFont="1" applyFill="1" applyBorder="1" applyAlignment="1">
      <alignment horizontal="center"/>
    </xf>
    <xf numFmtId="0" fontId="5" fillId="0" borderId="0" xfId="6" applyNumberFormat="1" applyFont="1" applyFill="1" applyBorder="1" applyAlignment="1">
      <alignment horizontal="center"/>
    </xf>
    <xf numFmtId="176" fontId="5" fillId="0" borderId="0" xfId="6" applyNumberFormat="1" applyFont="1" applyFill="1" applyBorder="1" applyAlignment="1"/>
    <xf numFmtId="0" fontId="7" fillId="0" borderId="0" xfId="0" applyNumberFormat="1" applyFont="1" applyFill="1" applyBorder="1" applyAlignment="1"/>
    <xf numFmtId="0" fontId="11" fillId="0" borderId="0" xfId="0" applyNumberFormat="1" applyFont="1" applyFill="1" applyBorder="1" applyAlignment="1"/>
    <xf numFmtId="0" fontId="5" fillId="0" borderId="0" xfId="6" applyFont="1" applyFill="1" applyBorder="1" applyAlignment="1">
      <alignment horizontal="center"/>
    </xf>
    <xf numFmtId="178" fontId="5" fillId="0" borderId="0" xfId="0" applyNumberFormat="1" applyFont="1" applyFill="1" applyBorder="1" applyAlignment="1" applyProtection="1"/>
    <xf numFmtId="180" fontId="5" fillId="0" borderId="0" xfId="0" applyNumberFormat="1" applyFont="1" applyFill="1" applyBorder="1" applyAlignment="1"/>
    <xf numFmtId="0" fontId="7" fillId="0" borderId="1" xfId="0" applyFont="1" applyFill="1" applyBorder="1" applyAlignment="1">
      <alignment vertical="center"/>
    </xf>
    <xf numFmtId="177" fontId="5" fillId="0" borderId="1" xfId="0" applyNumberFormat="1" applyFont="1" applyFill="1" applyBorder="1" applyAlignment="1">
      <alignment vertical="center"/>
    </xf>
    <xf numFmtId="0" fontId="7" fillId="0" borderId="0" xfId="0" applyFont="1" applyFill="1" applyBorder="1" applyAlignment="1">
      <alignment vertical="center"/>
    </xf>
    <xf numFmtId="177" fontId="5" fillId="0" borderId="0" xfId="0" applyNumberFormat="1" applyFont="1" applyFill="1" applyBorder="1" applyAlignment="1">
      <alignment vertical="center"/>
    </xf>
    <xf numFmtId="176" fontId="5" fillId="0" borderId="0" xfId="0" applyNumberFormat="1" applyFont="1" applyFill="1" applyBorder="1" applyAlignment="1">
      <alignment vertical="center"/>
    </xf>
    <xf numFmtId="181" fontId="5" fillId="0" borderId="0" xfId="0" applyNumberFormat="1" applyFont="1" applyFill="1" applyBorder="1" applyAlignment="1">
      <alignment vertical="center"/>
    </xf>
    <xf numFmtId="0" fontId="5" fillId="0" borderId="0" xfId="0" applyFont="1" applyFill="1" applyBorder="1" applyAlignment="1">
      <alignment vertical="center"/>
    </xf>
    <xf numFmtId="0" fontId="5" fillId="0" borderId="3" xfId="0" applyFont="1" applyFill="1" applyBorder="1" applyAlignment="1">
      <alignment vertical="center"/>
    </xf>
    <xf numFmtId="176" fontId="5" fillId="0" borderId="3" xfId="0" applyNumberFormat="1" applyFont="1" applyFill="1" applyBorder="1" applyAlignment="1">
      <alignment vertical="center"/>
    </xf>
    <xf numFmtId="0" fontId="5" fillId="0" borderId="1" xfId="0" applyFont="1" applyFill="1" applyBorder="1" applyAlignment="1">
      <alignment vertical="center"/>
    </xf>
    <xf numFmtId="0" fontId="16" fillId="0" borderId="0" xfId="0" applyFont="1" applyFill="1" applyBorder="1" applyAlignment="1">
      <alignment vertical="center"/>
    </xf>
    <xf numFmtId="0" fontId="12" fillId="0" borderId="0" xfId="0" applyFont="1" applyFill="1" applyBorder="1" applyAlignment="1">
      <alignment horizontal="left"/>
    </xf>
    <xf numFmtId="0" fontId="11" fillId="0" borderId="0" xfId="0" applyFont="1" applyFill="1" applyBorder="1"/>
    <xf numFmtId="0" fontId="17" fillId="0" borderId="0" xfId="0" applyFont="1" applyFill="1" applyBorder="1"/>
    <xf numFmtId="0" fontId="12" fillId="0" borderId="1" xfId="0" applyFont="1" applyFill="1" applyBorder="1" applyAlignment="1">
      <alignment horizontal="center"/>
    </xf>
    <xf numFmtId="182" fontId="11" fillId="0" borderId="0" xfId="3" applyNumberFormat="1" applyFont="1" applyFill="1" applyBorder="1" applyAlignment="1"/>
    <xf numFmtId="0" fontId="12" fillId="0" borderId="2" xfId="0" applyFont="1" applyFill="1" applyBorder="1" applyAlignment="1">
      <alignment horizontal="center"/>
    </xf>
    <xf numFmtId="176" fontId="11" fillId="0" borderId="2" xfId="0" applyNumberFormat="1" applyFont="1" applyFill="1" applyBorder="1"/>
    <xf numFmtId="0" fontId="11" fillId="0" borderId="0" xfId="0" applyFont="1" applyFill="1" applyBorder="1" applyAlignment="1">
      <alignment horizontal="left"/>
    </xf>
    <xf numFmtId="176" fontId="11" fillId="0" borderId="0" xfId="0" applyNumberFormat="1" applyFont="1" applyFill="1" applyBorder="1"/>
    <xf numFmtId="0" fontId="12" fillId="0" borderId="0" xfId="7" applyFont="1" applyFill="1" applyBorder="1" applyAlignment="1">
      <alignment horizontal="left"/>
    </xf>
    <xf numFmtId="0" fontId="11" fillId="0" borderId="0" xfId="7" applyFont="1" applyFill="1" applyBorder="1"/>
    <xf numFmtId="0" fontId="12" fillId="0" borderId="1" xfId="7" applyFont="1" applyFill="1" applyBorder="1" applyAlignment="1">
      <alignment horizontal="center"/>
    </xf>
    <xf numFmtId="176" fontId="11" fillId="0" borderId="0" xfId="7" applyNumberFormat="1" applyFont="1" applyFill="1" applyBorder="1"/>
    <xf numFmtId="176" fontId="11" fillId="0" borderId="0" xfId="7" applyNumberFormat="1" applyFont="1" applyFill="1" applyBorder="1" applyAlignment="1">
      <alignment horizontal="right"/>
    </xf>
    <xf numFmtId="0" fontId="11" fillId="0" borderId="3" xfId="0" applyFont="1" applyFill="1" applyBorder="1" applyAlignment="1">
      <alignment horizontal="center"/>
    </xf>
    <xf numFmtId="177" fontId="11" fillId="0" borderId="0" xfId="7" applyNumberFormat="1" applyFont="1" applyFill="1" applyBorder="1"/>
    <xf numFmtId="177" fontId="11" fillId="0" borderId="3" xfId="7" applyNumberFormat="1" applyFont="1" applyFill="1" applyBorder="1"/>
    <xf numFmtId="179" fontId="11" fillId="0" borderId="0" xfId="7" applyNumberFormat="1" applyFont="1" applyFill="1" applyBorder="1"/>
    <xf numFmtId="183" fontId="11" fillId="0" borderId="0" xfId="7" applyNumberFormat="1" applyFont="1" applyFill="1" applyBorder="1"/>
    <xf numFmtId="183" fontId="11" fillId="0" borderId="3" xfId="7" applyNumberFormat="1" applyFont="1" applyFill="1" applyBorder="1"/>
    <xf numFmtId="0" fontId="11" fillId="0" borderId="4" xfId="0" applyFont="1" applyFill="1" applyBorder="1" applyAlignment="1">
      <alignment horizontal="center"/>
    </xf>
    <xf numFmtId="183" fontId="11" fillId="0" borderId="4" xfId="7" applyNumberFormat="1" applyFont="1" applyFill="1" applyBorder="1"/>
    <xf numFmtId="38" fontId="11" fillId="0" borderId="0" xfId="3" applyFont="1" applyFill="1" applyBorder="1" applyAlignment="1"/>
    <xf numFmtId="0" fontId="11" fillId="0" borderId="5" xfId="0" applyFont="1" applyFill="1" applyBorder="1" applyAlignment="1">
      <alignment horizontal="center"/>
    </xf>
    <xf numFmtId="0" fontId="12" fillId="0" borderId="3" xfId="0" applyFont="1" applyFill="1" applyBorder="1" applyAlignment="1">
      <alignment horizontal="center"/>
    </xf>
    <xf numFmtId="0" fontId="11" fillId="0" borderId="0" xfId="7" applyFont="1" applyFill="1" applyBorder="1" applyAlignment="1">
      <alignment horizontal="left"/>
    </xf>
    <xf numFmtId="176" fontId="11" fillId="0" borderId="4" xfId="7" applyNumberFormat="1" applyFont="1" applyFill="1" applyBorder="1"/>
    <xf numFmtId="0" fontId="12" fillId="0" borderId="0" xfId="0" applyFont="1" applyFill="1" applyBorder="1" applyAlignment="1">
      <alignment horizontal="center"/>
    </xf>
    <xf numFmtId="179" fontId="12" fillId="0" borderId="0" xfId="0" applyNumberFormat="1" applyFont="1" applyFill="1" applyBorder="1" applyAlignment="1">
      <alignment horizontal="center"/>
    </xf>
    <xf numFmtId="185" fontId="11" fillId="0" borderId="0" xfId="0" applyNumberFormat="1" applyFont="1" applyFill="1" applyBorder="1"/>
    <xf numFmtId="0" fontId="12" fillId="0" borderId="0" xfId="7" applyFont="1" applyFill="1" applyBorder="1" applyAlignment="1">
      <alignment horizontal="center"/>
    </xf>
    <xf numFmtId="0" fontId="11" fillId="0" borderId="3" xfId="7" applyFont="1" applyFill="1" applyBorder="1" applyAlignment="1">
      <alignment horizontal="center"/>
    </xf>
    <xf numFmtId="186" fontId="11" fillId="0" borderId="3" xfId="7" applyNumberFormat="1" applyFont="1" applyFill="1" applyBorder="1"/>
    <xf numFmtId="0" fontId="12" fillId="0" borderId="1" xfId="9" applyFont="1" applyBorder="1" applyAlignment="1">
      <alignment horizontal="center"/>
    </xf>
    <xf numFmtId="176" fontId="11" fillId="0" borderId="1" xfId="7" applyNumberFormat="1" applyFont="1" applyBorder="1"/>
    <xf numFmtId="0" fontId="12" fillId="0" borderId="0" xfId="9" applyFont="1" applyBorder="1" applyAlignment="1">
      <alignment horizontal="left"/>
    </xf>
    <xf numFmtId="176" fontId="11" fillId="0" borderId="0" xfId="7" applyNumberFormat="1" applyFont="1" applyBorder="1"/>
    <xf numFmtId="0" fontId="21" fillId="0" borderId="1" xfId="0" applyNumberFormat="1" applyFont="1" applyFill="1" applyBorder="1" applyAlignment="1">
      <alignment horizontal="right"/>
    </xf>
    <xf numFmtId="176" fontId="17" fillId="0" borderId="0" xfId="0" applyNumberFormat="1" applyFont="1"/>
    <xf numFmtId="176" fontId="0" fillId="0" borderId="0" xfId="0" applyNumberFormat="1" applyFill="1"/>
    <xf numFmtId="0" fontId="20" fillId="0" borderId="4" xfId="0" applyNumberFormat="1" applyFont="1" applyFill="1" applyBorder="1" applyAlignment="1">
      <alignment horizontal="center" vertical="center"/>
    </xf>
    <xf numFmtId="0" fontId="20" fillId="0" borderId="3" xfId="0" applyNumberFormat="1" applyFont="1" applyFill="1" applyBorder="1" applyAlignment="1">
      <alignment horizontal="center" vertical="center"/>
    </xf>
    <xf numFmtId="0" fontId="7" fillId="0" borderId="4" xfId="0" applyNumberFormat="1" applyFont="1" applyFill="1" applyBorder="1" applyAlignment="1">
      <alignment horizontal="center" vertical="center"/>
    </xf>
    <xf numFmtId="0" fontId="7" fillId="0" borderId="3" xfId="0" applyNumberFormat="1" applyFont="1" applyFill="1" applyBorder="1" applyAlignment="1">
      <alignment horizontal="center" vertical="center"/>
    </xf>
    <xf numFmtId="0" fontId="7" fillId="0" borderId="0" xfId="0" applyFont="1" applyBorder="1" applyAlignment="1">
      <alignment vertical="center" wrapText="1"/>
    </xf>
    <xf numFmtId="0" fontId="5" fillId="0" borderId="0" xfId="0" applyFont="1" applyBorder="1" applyAlignment="1">
      <alignment vertical="center" wrapText="1"/>
    </xf>
    <xf numFmtId="0" fontId="0" fillId="0" borderId="0" xfId="0" applyAlignment="1">
      <alignment vertical="center" wrapText="1"/>
    </xf>
    <xf numFmtId="0" fontId="0" fillId="0" borderId="0" xfId="0" applyBorder="1" applyAlignment="1">
      <alignment vertical="center" wrapText="1"/>
    </xf>
  </cellXfs>
  <cellStyles count="12">
    <cellStyle name="桁区切り" xfId="1" builtinId="6"/>
    <cellStyle name="桁区切り 2" xfId="2" xr:uid="{00000000-0005-0000-0000-000001000000}"/>
    <cellStyle name="桁区切り 2 2" xfId="3" xr:uid="{00000000-0005-0000-0000-000002000000}"/>
    <cellStyle name="桁区切り 2 3" xfId="4" xr:uid="{00000000-0005-0000-0000-000003000000}"/>
    <cellStyle name="標準" xfId="0" builtinId="0"/>
    <cellStyle name="標準 2" xfId="5" xr:uid="{00000000-0005-0000-0000-000005000000}"/>
    <cellStyle name="標準 2 2" xfId="9" xr:uid="{C466D722-955C-476B-80C4-0E65C2C08B93}"/>
    <cellStyle name="標準 2 2 2" xfId="11" xr:uid="{6416B428-A839-457B-AC01-882DC1F7FA81}"/>
    <cellStyle name="標準 5" xfId="10" xr:uid="{D6F43927-D3BE-4F25-BC93-CA53BA1390C3}"/>
    <cellStyle name="標準_2007年までの検討用資料（キチジ太平洋北部）" xfId="8" xr:uid="{00000000-0005-0000-0000-000006000000}"/>
    <cellStyle name="標準_B" xfId="6" xr:uid="{00000000-0005-0000-0000-000007000000}"/>
    <cellStyle name="標準_トロール検討"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2005&#24180;&#36039;&#28304;&#35413;&#20385;&#38283;&#22987;&#24460;/&#65320;&#65297;&#65303;&#24180;&#24230;&#36039;&#28304;&#35413;&#20385;/&#65320;&#65297;&#65302;&#24180;&#24230;&#36039;&#28304;&#35413;&#20385;&#12289;&#32066;&#12431;&#12387;&#12383;&#12425;&#25448;&#12390;&#12427;/2004&#24180;&#12461;&#12481;&#12472;&#36039;&#28304;&#35413;&#20385;&#31080;/&#24179;&#25104;&#65297;&#65301;&#24180;&#24230;&#36039;&#28304;&#35413;&#20385;/2003&#24180;&#12461;&#12481;&#12472;&#36039;&#28304;&#35413;&#20385;&#31080;/&#24179;&#25104;&#65297;&#65301;&#24180;&#24230;&#36039;&#28304;&#35413;&#20385;/2003.2&#12480;&#12452;&#12472;&#12455;&#12473;&#12488;&#29256;/71&#65288;&#12461;&#12481;&#12472;&#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2003&#24180;&#26381;&#37096;&#12487;&#12540;&#12479;/&#24179;&#25104;&#65297;&#65301;&#24180;&#24230;&#36039;&#28304;&#35413;&#20385;/&#24179;&#25104;14&#24180;&#24230;&#36039;&#28304;&#35413;&#20385;&#20250;&#35696;/&#12461;&#12481;&#12472;&#35413;&#20385;&#31080;/&#20998;&#24067;&#23494;&#24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12修正"/>
      <sheetName val="②年齢と成長"/>
      <sheetName val="④漁獲量"/>
      <sheetName val="⑤資源量"/>
      <sheetName val="⑥ABC"/>
      <sheetName val="⑦トピックス"/>
    </sheetNames>
    <sheetDataSet>
      <sheetData sheetId="0" refreshError="1"/>
      <sheetData sheetId="1"/>
      <sheetData sheetId="2">
        <row r="16">
          <cell r="A16">
            <v>82</v>
          </cell>
        </row>
        <row r="17">
          <cell r="A17">
            <v>83</v>
          </cell>
        </row>
        <row r="18">
          <cell r="A18">
            <v>84</v>
          </cell>
        </row>
        <row r="19">
          <cell r="A19">
            <v>85</v>
          </cell>
        </row>
        <row r="20">
          <cell r="A20">
            <v>86</v>
          </cell>
        </row>
        <row r="21">
          <cell r="A21">
            <v>87</v>
          </cell>
        </row>
        <row r="22">
          <cell r="A22">
            <v>88</v>
          </cell>
        </row>
        <row r="23">
          <cell r="A23">
            <v>89</v>
          </cell>
        </row>
        <row r="24">
          <cell r="A24">
            <v>90</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魚種別各層別平均密度クエリ"/>
      <sheetName val="分析"/>
    </sheetNames>
    <sheetDataSet>
      <sheetData sheetId="0">
        <row r="2">
          <cell r="A2" t="str">
            <v>STATION</v>
          </cell>
          <cell r="B2" t="str">
            <v>水深</v>
          </cell>
          <cell r="C2" t="str">
            <v>網次</v>
          </cell>
          <cell r="D2" t="str">
            <v>スケトウダラ０＋</v>
          </cell>
          <cell r="E2" t="str">
            <v>スケトウダラ１＋</v>
          </cell>
          <cell r="F2" t="str">
            <v>マダラ０＋</v>
          </cell>
          <cell r="G2" t="str">
            <v>マダラ１＋</v>
          </cell>
          <cell r="H2" t="str">
            <v>マダラ２＋</v>
          </cell>
          <cell r="I2" t="str">
            <v>イトヒキダラ</v>
          </cell>
          <cell r="J2" t="str">
            <v>キチジ</v>
          </cell>
          <cell r="K2" t="str">
            <v>ズワイガニ雌</v>
          </cell>
          <cell r="L2" t="str">
            <v>ズワイガニ雄</v>
          </cell>
          <cell r="M2" t="str">
            <v>スルメイカ</v>
          </cell>
          <cell r="N2" t="str">
            <v>ベニズワイ雌</v>
          </cell>
          <cell r="O2" t="str">
            <v>ベニズワイ雄</v>
          </cell>
          <cell r="P2" t="str">
            <v>アカガレイ</v>
          </cell>
          <cell r="Q2" t="str">
            <v>アブラガレイ</v>
          </cell>
          <cell r="R2" t="str">
            <v>サメガレイ</v>
          </cell>
          <cell r="S2" t="str">
            <v>ババガレイ</v>
          </cell>
          <cell r="U2" t="str">
            <v>スケトウダラ０＋</v>
          </cell>
          <cell r="V2" t="str">
            <v>スケトウダラ１＋</v>
          </cell>
          <cell r="W2" t="str">
            <v>マダラ０＋</v>
          </cell>
          <cell r="X2" t="str">
            <v>マダラ１＋</v>
          </cell>
          <cell r="Y2" t="str">
            <v>マダラ２＋</v>
          </cell>
          <cell r="Z2" t="str">
            <v>イトヒキダラ</v>
          </cell>
          <cell r="AA2" t="str">
            <v>キチジ</v>
          </cell>
          <cell r="AB2" t="str">
            <v>ズワイガニ雌</v>
          </cell>
          <cell r="AC2" t="str">
            <v>ズワイガニ雄</v>
          </cell>
          <cell r="AD2" t="str">
            <v>スルメイカ</v>
          </cell>
          <cell r="AE2" t="str">
            <v>ベニズワイ雌</v>
          </cell>
          <cell r="AF2" t="str">
            <v>ベニズワイ雄</v>
          </cell>
          <cell r="AG2" t="str">
            <v>アカガレイ</v>
          </cell>
          <cell r="AH2" t="str">
            <v>アブラガレイ</v>
          </cell>
          <cell r="AI2" t="str">
            <v>サメガレイ</v>
          </cell>
          <cell r="AJ2" t="str">
            <v>ババガレイ</v>
          </cell>
        </row>
        <row r="3">
          <cell r="A3" t="str">
            <v>A</v>
          </cell>
          <cell r="B3">
            <v>150</v>
          </cell>
          <cell r="C3">
            <v>1</v>
          </cell>
          <cell r="D3">
            <v>1.9140760644206032</v>
          </cell>
          <cell r="E3">
            <v>0</v>
          </cell>
          <cell r="F3">
            <v>0</v>
          </cell>
          <cell r="G3">
            <v>0</v>
          </cell>
          <cell r="H3">
            <v>0</v>
          </cell>
          <cell r="I3">
            <v>0</v>
          </cell>
          <cell r="J3">
            <v>0</v>
          </cell>
          <cell r="K3">
            <v>0</v>
          </cell>
          <cell r="L3">
            <v>0</v>
          </cell>
          <cell r="M3">
            <v>488.47221164013791</v>
          </cell>
          <cell r="N3">
            <v>0</v>
          </cell>
          <cell r="O3">
            <v>0</v>
          </cell>
          <cell r="P3">
            <v>0</v>
          </cell>
          <cell r="Q3">
            <v>0</v>
          </cell>
          <cell r="R3">
            <v>0</v>
          </cell>
          <cell r="S3">
            <v>94.746765188819865</v>
          </cell>
          <cell r="U3">
            <v>210.54836708626635</v>
          </cell>
          <cell r="V3">
            <v>0</v>
          </cell>
          <cell r="W3">
            <v>0</v>
          </cell>
          <cell r="X3">
            <v>0</v>
          </cell>
          <cell r="Y3">
            <v>0</v>
          </cell>
          <cell r="Z3">
            <v>0</v>
          </cell>
          <cell r="AA3">
            <v>0</v>
          </cell>
          <cell r="AB3">
            <v>0</v>
          </cell>
          <cell r="AC3">
            <v>0</v>
          </cell>
          <cell r="AD3">
            <v>1971.4983463532212</v>
          </cell>
          <cell r="AE3">
            <v>0</v>
          </cell>
          <cell r="AF3">
            <v>0</v>
          </cell>
          <cell r="AG3">
            <v>0</v>
          </cell>
          <cell r="AH3">
            <v>0</v>
          </cell>
          <cell r="AI3">
            <v>0</v>
          </cell>
          <cell r="AJ3">
            <v>497.65977674935681</v>
          </cell>
        </row>
        <row r="4">
          <cell r="A4" t="str">
            <v>A</v>
          </cell>
          <cell r="B4">
            <v>250</v>
          </cell>
          <cell r="C4">
            <v>1</v>
          </cell>
          <cell r="D4">
            <v>106.04648299268825</v>
          </cell>
          <cell r="E4">
            <v>0</v>
          </cell>
          <cell r="F4">
            <v>21.53783991934116</v>
          </cell>
          <cell r="G4">
            <v>7.6660108187485481</v>
          </cell>
          <cell r="H4">
            <v>0</v>
          </cell>
          <cell r="I4">
            <v>0</v>
          </cell>
          <cell r="J4">
            <v>0</v>
          </cell>
          <cell r="K4">
            <v>0</v>
          </cell>
          <cell r="L4">
            <v>0.36504813422612137</v>
          </cell>
          <cell r="M4">
            <v>206.43471990487163</v>
          </cell>
          <cell r="N4">
            <v>0</v>
          </cell>
          <cell r="O4">
            <v>0</v>
          </cell>
          <cell r="P4">
            <v>0</v>
          </cell>
          <cell r="Q4">
            <v>3.2854332080350921</v>
          </cell>
          <cell r="R4">
            <v>0</v>
          </cell>
          <cell r="S4">
            <v>391.69664802462825</v>
          </cell>
          <cell r="U4">
            <v>8414.3594939120976</v>
          </cell>
          <cell r="V4">
            <v>0</v>
          </cell>
          <cell r="W4">
            <v>1168.1540295235884</v>
          </cell>
          <cell r="X4">
            <v>18.252406711306069</v>
          </cell>
          <cell r="Y4">
            <v>0</v>
          </cell>
          <cell r="Z4">
            <v>0</v>
          </cell>
          <cell r="AA4">
            <v>0</v>
          </cell>
          <cell r="AB4">
            <v>0</v>
          </cell>
          <cell r="AC4">
            <v>18.252406711306069</v>
          </cell>
          <cell r="AD4">
            <v>529.31979462787592</v>
          </cell>
          <cell r="AE4">
            <v>0</v>
          </cell>
          <cell r="AF4">
            <v>0</v>
          </cell>
          <cell r="AG4">
            <v>0</v>
          </cell>
          <cell r="AH4">
            <v>54.757220133918203</v>
          </cell>
          <cell r="AI4">
            <v>0</v>
          </cell>
          <cell r="AJ4">
            <v>602.3294214731003</v>
          </cell>
        </row>
        <row r="5">
          <cell r="A5" t="str">
            <v>A</v>
          </cell>
          <cell r="B5">
            <v>350</v>
          </cell>
          <cell r="C5">
            <v>1</v>
          </cell>
          <cell r="D5">
            <v>110.80222257928884</v>
          </cell>
          <cell r="E5">
            <v>3934.9595977012696</v>
          </cell>
          <cell r="F5">
            <v>20.575907351586093</v>
          </cell>
          <cell r="G5">
            <v>165.95334620952147</v>
          </cell>
          <cell r="H5">
            <v>1044.3715217426547</v>
          </cell>
          <cell r="I5">
            <v>0</v>
          </cell>
          <cell r="J5">
            <v>12.307084771042149</v>
          </cell>
          <cell r="K5">
            <v>0</v>
          </cell>
          <cell r="L5">
            <v>0.76919279819013431</v>
          </cell>
          <cell r="M5">
            <v>0</v>
          </cell>
          <cell r="N5">
            <v>0</v>
          </cell>
          <cell r="O5">
            <v>0</v>
          </cell>
          <cell r="P5">
            <v>26.9217479366547</v>
          </cell>
          <cell r="Q5">
            <v>12.499382970589682</v>
          </cell>
          <cell r="R5">
            <v>0</v>
          </cell>
          <cell r="S5">
            <v>0</v>
          </cell>
          <cell r="U5">
            <v>7711.1578018560958</v>
          </cell>
          <cell r="V5">
            <v>15749.222542943</v>
          </cell>
          <cell r="W5">
            <v>1076.8699174661879</v>
          </cell>
          <cell r="X5">
            <v>288.44729932130036</v>
          </cell>
          <cell r="Y5">
            <v>461.51567891408058</v>
          </cell>
          <cell r="Z5">
            <v>0</v>
          </cell>
          <cell r="AA5">
            <v>57.689459864260073</v>
          </cell>
          <cell r="AB5">
            <v>0</v>
          </cell>
          <cell r="AC5">
            <v>38.459639909506713</v>
          </cell>
          <cell r="AD5">
            <v>0</v>
          </cell>
          <cell r="AE5">
            <v>0</v>
          </cell>
          <cell r="AF5">
            <v>0</v>
          </cell>
          <cell r="AG5">
            <v>57.689459864260073</v>
          </cell>
          <cell r="AH5">
            <v>19.229819954753356</v>
          </cell>
          <cell r="AI5">
            <v>0</v>
          </cell>
          <cell r="AJ5">
            <v>0</v>
          </cell>
        </row>
        <row r="6">
          <cell r="A6" t="str">
            <v>A</v>
          </cell>
          <cell r="B6">
            <v>450</v>
          </cell>
          <cell r="C6">
            <v>1</v>
          </cell>
          <cell r="D6">
            <v>2.4257591647485111</v>
          </cell>
          <cell r="E6">
            <v>0</v>
          </cell>
          <cell r="F6">
            <v>0</v>
          </cell>
          <cell r="G6">
            <v>0</v>
          </cell>
          <cell r="H6">
            <v>0</v>
          </cell>
          <cell r="I6">
            <v>681.63832529433159</v>
          </cell>
          <cell r="J6">
            <v>312.1143458643084</v>
          </cell>
          <cell r="K6">
            <v>0</v>
          </cell>
          <cell r="L6">
            <v>0</v>
          </cell>
          <cell r="M6">
            <v>0</v>
          </cell>
          <cell r="N6">
            <v>0</v>
          </cell>
          <cell r="O6">
            <v>0.80858638824950368</v>
          </cell>
          <cell r="P6">
            <v>699.42722583582065</v>
          </cell>
          <cell r="Q6">
            <v>0</v>
          </cell>
          <cell r="R6">
            <v>0</v>
          </cell>
          <cell r="S6">
            <v>0</v>
          </cell>
          <cell r="U6">
            <v>242.57591647485108</v>
          </cell>
          <cell r="V6">
            <v>0</v>
          </cell>
          <cell r="W6">
            <v>0</v>
          </cell>
          <cell r="X6">
            <v>0</v>
          </cell>
          <cell r="Y6">
            <v>0</v>
          </cell>
          <cell r="Z6">
            <v>1455.4554988491066</v>
          </cell>
          <cell r="AA6">
            <v>7115.5602165956316</v>
          </cell>
          <cell r="AB6">
            <v>0</v>
          </cell>
          <cell r="AC6">
            <v>0</v>
          </cell>
          <cell r="AD6">
            <v>0</v>
          </cell>
          <cell r="AE6">
            <v>0</v>
          </cell>
          <cell r="AF6">
            <v>80.858638824950361</v>
          </cell>
          <cell r="AG6">
            <v>1617.1727764990073</v>
          </cell>
          <cell r="AH6">
            <v>0</v>
          </cell>
          <cell r="AI6">
            <v>0</v>
          </cell>
          <cell r="AJ6">
            <v>0</v>
          </cell>
        </row>
        <row r="7">
          <cell r="A7" t="str">
            <v>A</v>
          </cell>
          <cell r="B7">
            <v>550</v>
          </cell>
          <cell r="C7">
            <v>1</v>
          </cell>
          <cell r="D7">
            <v>0</v>
          </cell>
          <cell r="E7">
            <v>0</v>
          </cell>
          <cell r="F7">
            <v>0</v>
          </cell>
          <cell r="G7">
            <v>0</v>
          </cell>
          <cell r="H7">
            <v>0</v>
          </cell>
          <cell r="I7">
            <v>434.79061477126805</v>
          </cell>
          <cell r="J7">
            <v>66.208303976158561</v>
          </cell>
          <cell r="K7">
            <v>0</v>
          </cell>
          <cell r="L7">
            <v>0</v>
          </cell>
          <cell r="M7">
            <v>0</v>
          </cell>
          <cell r="N7">
            <v>0</v>
          </cell>
          <cell r="O7">
            <v>0</v>
          </cell>
          <cell r="P7">
            <v>0</v>
          </cell>
          <cell r="Q7">
            <v>0</v>
          </cell>
          <cell r="R7">
            <v>0</v>
          </cell>
          <cell r="S7">
            <v>0</v>
          </cell>
          <cell r="U7">
            <v>0</v>
          </cell>
          <cell r="V7">
            <v>0</v>
          </cell>
          <cell r="W7">
            <v>0</v>
          </cell>
          <cell r="X7">
            <v>0</v>
          </cell>
          <cell r="Y7">
            <v>0</v>
          </cell>
          <cell r="Z7">
            <v>716.68782654604627</v>
          </cell>
          <cell r="AA7">
            <v>2457.2154053007298</v>
          </cell>
          <cell r="AB7">
            <v>0</v>
          </cell>
          <cell r="AC7">
            <v>0</v>
          </cell>
          <cell r="AD7">
            <v>0</v>
          </cell>
          <cell r="AE7">
            <v>0</v>
          </cell>
          <cell r="AF7">
            <v>0</v>
          </cell>
          <cell r="AG7">
            <v>0</v>
          </cell>
          <cell r="AH7">
            <v>0</v>
          </cell>
          <cell r="AI7">
            <v>0</v>
          </cell>
          <cell r="AJ7">
            <v>0</v>
          </cell>
        </row>
        <row r="8">
          <cell r="A8" t="str">
            <v>A</v>
          </cell>
          <cell r="B8">
            <v>650</v>
          </cell>
          <cell r="C8">
            <v>1</v>
          </cell>
          <cell r="D8">
            <v>0</v>
          </cell>
          <cell r="E8">
            <v>0</v>
          </cell>
          <cell r="F8">
            <v>0</v>
          </cell>
          <cell r="G8">
            <v>0</v>
          </cell>
          <cell r="H8">
            <v>0</v>
          </cell>
          <cell r="I8">
            <v>1554.3967454078693</v>
          </cell>
          <cell r="J8">
            <v>127.10214674246652</v>
          </cell>
          <cell r="K8">
            <v>0</v>
          </cell>
          <cell r="L8">
            <v>0</v>
          </cell>
          <cell r="M8">
            <v>0</v>
          </cell>
          <cell r="N8">
            <v>0</v>
          </cell>
          <cell r="O8">
            <v>15.974586749053172</v>
          </cell>
          <cell r="P8">
            <v>0</v>
          </cell>
          <cell r="Q8">
            <v>0</v>
          </cell>
          <cell r="R8">
            <v>0</v>
          </cell>
          <cell r="S8">
            <v>0</v>
          </cell>
          <cell r="U8">
            <v>0</v>
          </cell>
          <cell r="V8">
            <v>0</v>
          </cell>
          <cell r="W8">
            <v>0</v>
          </cell>
          <cell r="X8">
            <v>0</v>
          </cell>
          <cell r="Y8">
            <v>0</v>
          </cell>
          <cell r="Z8">
            <v>2639.2795498435671</v>
          </cell>
          <cell r="AA8">
            <v>1180.7303249300169</v>
          </cell>
          <cell r="AB8">
            <v>0</v>
          </cell>
          <cell r="AC8">
            <v>0</v>
          </cell>
          <cell r="AD8">
            <v>0</v>
          </cell>
          <cell r="AE8">
            <v>0</v>
          </cell>
          <cell r="AF8">
            <v>69.454724995883353</v>
          </cell>
          <cell r="AG8">
            <v>0</v>
          </cell>
          <cell r="AH8">
            <v>0</v>
          </cell>
          <cell r="AI8">
            <v>0</v>
          </cell>
          <cell r="AJ8">
            <v>0</v>
          </cell>
        </row>
        <row r="9">
          <cell r="A9" t="str">
            <v>A</v>
          </cell>
          <cell r="B9">
            <v>750</v>
          </cell>
          <cell r="C9">
            <v>1</v>
          </cell>
          <cell r="D9">
            <v>0</v>
          </cell>
          <cell r="E9">
            <v>0</v>
          </cell>
          <cell r="F9">
            <v>0</v>
          </cell>
          <cell r="G9">
            <v>0</v>
          </cell>
          <cell r="H9">
            <v>0</v>
          </cell>
          <cell r="I9">
            <v>402.04193967590874</v>
          </cell>
          <cell r="J9">
            <v>220.11049215947773</v>
          </cell>
          <cell r="K9">
            <v>0</v>
          </cell>
          <cell r="L9">
            <v>0</v>
          </cell>
          <cell r="M9">
            <v>0</v>
          </cell>
          <cell r="N9">
            <v>9.295767391350493</v>
          </cell>
          <cell r="O9">
            <v>235.71410170924463</v>
          </cell>
          <cell r="P9">
            <v>0</v>
          </cell>
          <cell r="Q9">
            <v>0</v>
          </cell>
          <cell r="R9">
            <v>0</v>
          </cell>
          <cell r="S9">
            <v>0</v>
          </cell>
          <cell r="U9">
            <v>0</v>
          </cell>
          <cell r="V9">
            <v>0</v>
          </cell>
          <cell r="W9">
            <v>0</v>
          </cell>
          <cell r="X9">
            <v>0</v>
          </cell>
          <cell r="Y9">
            <v>0</v>
          </cell>
          <cell r="Z9">
            <v>597.58504658681727</v>
          </cell>
          <cell r="AA9">
            <v>1493.9626164670433</v>
          </cell>
          <cell r="AB9">
            <v>0</v>
          </cell>
          <cell r="AC9">
            <v>0</v>
          </cell>
          <cell r="AD9">
            <v>0</v>
          </cell>
          <cell r="AE9">
            <v>99.597507764469555</v>
          </cell>
          <cell r="AF9">
            <v>464.78836956752457</v>
          </cell>
          <cell r="AG9">
            <v>0</v>
          </cell>
          <cell r="AH9">
            <v>0</v>
          </cell>
          <cell r="AI9">
            <v>0</v>
          </cell>
          <cell r="AJ9">
            <v>0</v>
          </cell>
        </row>
        <row r="10">
          <cell r="A10" t="str">
            <v>A</v>
          </cell>
          <cell r="B10">
            <v>900</v>
          </cell>
          <cell r="C10">
            <v>1</v>
          </cell>
          <cell r="D10">
            <v>0</v>
          </cell>
          <cell r="E10">
            <v>0</v>
          </cell>
          <cell r="F10">
            <v>0</v>
          </cell>
          <cell r="G10">
            <v>0</v>
          </cell>
          <cell r="H10">
            <v>0</v>
          </cell>
          <cell r="I10">
            <v>101.11274511296753</v>
          </cell>
          <cell r="J10">
            <v>325.59575784804639</v>
          </cell>
          <cell r="K10">
            <v>0</v>
          </cell>
          <cell r="L10">
            <v>0</v>
          </cell>
          <cell r="M10">
            <v>0</v>
          </cell>
          <cell r="N10">
            <v>0</v>
          </cell>
          <cell r="O10">
            <v>70.588142814713194</v>
          </cell>
          <cell r="P10">
            <v>0</v>
          </cell>
          <cell r="Q10">
            <v>0</v>
          </cell>
          <cell r="R10">
            <v>0</v>
          </cell>
          <cell r="S10">
            <v>0</v>
          </cell>
          <cell r="U10">
            <v>0</v>
          </cell>
          <cell r="V10">
            <v>0</v>
          </cell>
          <cell r="W10">
            <v>0</v>
          </cell>
          <cell r="X10">
            <v>0</v>
          </cell>
          <cell r="Y10">
            <v>0</v>
          </cell>
          <cell r="Z10">
            <v>254.37168581878623</v>
          </cell>
          <cell r="AA10">
            <v>2098.5664080049864</v>
          </cell>
          <cell r="AB10">
            <v>0</v>
          </cell>
          <cell r="AC10">
            <v>0</v>
          </cell>
          <cell r="AD10">
            <v>0</v>
          </cell>
          <cell r="AE10">
            <v>0</v>
          </cell>
          <cell r="AF10">
            <v>127.18584290939312</v>
          </cell>
          <cell r="AG10">
            <v>0</v>
          </cell>
          <cell r="AH10">
            <v>0</v>
          </cell>
          <cell r="AI10">
            <v>0</v>
          </cell>
          <cell r="AJ10">
            <v>0</v>
          </cell>
        </row>
        <row r="11">
          <cell r="A11" t="str">
            <v>B</v>
          </cell>
          <cell r="B11">
            <v>150</v>
          </cell>
          <cell r="C11">
            <v>1</v>
          </cell>
          <cell r="D11">
            <v>0</v>
          </cell>
          <cell r="E11">
            <v>0</v>
          </cell>
          <cell r="F11">
            <v>0</v>
          </cell>
          <cell r="G11">
            <v>0</v>
          </cell>
          <cell r="H11">
            <v>0</v>
          </cell>
          <cell r="I11">
            <v>0</v>
          </cell>
          <cell r="J11">
            <v>0.56342626510332183</v>
          </cell>
          <cell r="K11">
            <v>0</v>
          </cell>
          <cell r="L11">
            <v>0</v>
          </cell>
          <cell r="M11">
            <v>76.25035454398288</v>
          </cell>
          <cell r="N11">
            <v>0</v>
          </cell>
          <cell r="O11">
            <v>0</v>
          </cell>
          <cell r="P11">
            <v>0</v>
          </cell>
          <cell r="Q11">
            <v>0</v>
          </cell>
          <cell r="R11">
            <v>0</v>
          </cell>
          <cell r="S11">
            <v>86.392027315842682</v>
          </cell>
          <cell r="U11">
            <v>0</v>
          </cell>
          <cell r="V11">
            <v>0</v>
          </cell>
          <cell r="W11">
            <v>0</v>
          </cell>
          <cell r="X11">
            <v>0</v>
          </cell>
          <cell r="Y11">
            <v>0</v>
          </cell>
          <cell r="Z11">
            <v>0</v>
          </cell>
          <cell r="AA11">
            <v>18.780875503444062</v>
          </cell>
          <cell r="AB11">
            <v>0</v>
          </cell>
          <cell r="AC11">
            <v>0</v>
          </cell>
          <cell r="AD11">
            <v>544.64538959987772</v>
          </cell>
          <cell r="AE11">
            <v>0</v>
          </cell>
          <cell r="AF11">
            <v>0</v>
          </cell>
          <cell r="AG11">
            <v>0</v>
          </cell>
          <cell r="AH11">
            <v>0</v>
          </cell>
          <cell r="AI11">
            <v>0</v>
          </cell>
          <cell r="AJ11">
            <v>450.74101208265745</v>
          </cell>
        </row>
        <row r="12">
          <cell r="A12" t="str">
            <v>B</v>
          </cell>
          <cell r="B12">
            <v>250</v>
          </cell>
          <cell r="C12">
            <v>1</v>
          </cell>
          <cell r="D12">
            <v>7.9335500268736361</v>
          </cell>
          <cell r="E12">
            <v>0</v>
          </cell>
          <cell r="F12">
            <v>64.206404868651759</v>
          </cell>
          <cell r="G12">
            <v>0</v>
          </cell>
          <cell r="H12">
            <v>0</v>
          </cell>
          <cell r="I12">
            <v>0</v>
          </cell>
          <cell r="J12">
            <v>0.18450116341566597</v>
          </cell>
          <cell r="K12">
            <v>0</v>
          </cell>
          <cell r="L12">
            <v>0</v>
          </cell>
          <cell r="M12">
            <v>1563.647359947769</v>
          </cell>
          <cell r="N12">
            <v>0</v>
          </cell>
          <cell r="O12">
            <v>0</v>
          </cell>
          <cell r="P12">
            <v>12.546079112265286</v>
          </cell>
          <cell r="Q12">
            <v>0</v>
          </cell>
          <cell r="R12">
            <v>0</v>
          </cell>
          <cell r="S12">
            <v>39.298747807536849</v>
          </cell>
          <cell r="U12">
            <v>1070.1067478108625</v>
          </cell>
          <cell r="V12">
            <v>0</v>
          </cell>
          <cell r="W12">
            <v>3247.2204761157209</v>
          </cell>
          <cell r="X12">
            <v>0</v>
          </cell>
          <cell r="Y12">
            <v>0</v>
          </cell>
          <cell r="Z12">
            <v>0</v>
          </cell>
          <cell r="AA12">
            <v>18.450116341566595</v>
          </cell>
          <cell r="AB12">
            <v>0</v>
          </cell>
          <cell r="AC12">
            <v>0</v>
          </cell>
          <cell r="AD12">
            <v>5498.1346697868457</v>
          </cell>
          <cell r="AE12">
            <v>0</v>
          </cell>
          <cell r="AF12">
            <v>0</v>
          </cell>
          <cell r="AG12">
            <v>129.15081439096616</v>
          </cell>
          <cell r="AH12">
            <v>0</v>
          </cell>
          <cell r="AI12">
            <v>0</v>
          </cell>
          <cell r="AJ12">
            <v>73.80046536626638</v>
          </cell>
        </row>
        <row r="13">
          <cell r="A13" t="str">
            <v>B</v>
          </cell>
          <cell r="B13">
            <v>250</v>
          </cell>
          <cell r="C13">
            <v>2</v>
          </cell>
          <cell r="D13">
            <v>444.83807535823428</v>
          </cell>
          <cell r="E13">
            <v>0</v>
          </cell>
          <cell r="F13">
            <v>372.62587602167758</v>
          </cell>
          <cell r="G13">
            <v>0</v>
          </cell>
          <cell r="H13">
            <v>0</v>
          </cell>
          <cell r="I13">
            <v>0</v>
          </cell>
          <cell r="J13">
            <v>0.54637225223119867</v>
          </cell>
          <cell r="K13">
            <v>0</v>
          </cell>
          <cell r="L13">
            <v>0</v>
          </cell>
          <cell r="M13">
            <v>2115.9176088073559</v>
          </cell>
          <cell r="N13">
            <v>0</v>
          </cell>
          <cell r="O13">
            <v>0</v>
          </cell>
          <cell r="P13">
            <v>0</v>
          </cell>
          <cell r="Q13">
            <v>0</v>
          </cell>
          <cell r="R13">
            <v>0</v>
          </cell>
          <cell r="S13">
            <v>64.289801679204388</v>
          </cell>
          <cell r="U13">
            <v>64471.925763281455</v>
          </cell>
          <cell r="V13">
            <v>0</v>
          </cell>
          <cell r="W13">
            <v>14715.625993426953</v>
          </cell>
          <cell r="X13">
            <v>0</v>
          </cell>
          <cell r="Y13">
            <v>0</v>
          </cell>
          <cell r="Z13">
            <v>0</v>
          </cell>
          <cell r="AA13">
            <v>54.637225223119877</v>
          </cell>
          <cell r="AB13">
            <v>0</v>
          </cell>
          <cell r="AC13">
            <v>0</v>
          </cell>
          <cell r="AD13">
            <v>6137.5816333971325</v>
          </cell>
          <cell r="AE13">
            <v>0</v>
          </cell>
          <cell r="AF13">
            <v>0</v>
          </cell>
          <cell r="AG13">
            <v>0</v>
          </cell>
          <cell r="AH13">
            <v>0</v>
          </cell>
          <cell r="AI13">
            <v>0</v>
          </cell>
          <cell r="AJ13">
            <v>109.27445044623975</v>
          </cell>
        </row>
        <row r="14">
          <cell r="A14" t="str">
            <v>B</v>
          </cell>
          <cell r="B14">
            <v>350</v>
          </cell>
          <cell r="C14">
            <v>1</v>
          </cell>
          <cell r="D14">
            <v>0.58170736393052858</v>
          </cell>
          <cell r="E14">
            <v>3.4902441835831715</v>
          </cell>
          <cell r="F14">
            <v>1.1634147278610572</v>
          </cell>
          <cell r="G14">
            <v>7.4167688901142395</v>
          </cell>
          <cell r="H14">
            <v>132.48385213517787</v>
          </cell>
          <cell r="I14">
            <v>0</v>
          </cell>
          <cell r="J14">
            <v>6.9804883671663429</v>
          </cell>
          <cell r="K14">
            <v>0</v>
          </cell>
          <cell r="L14">
            <v>8.4347567769926659</v>
          </cell>
          <cell r="M14">
            <v>4.3628052294789645</v>
          </cell>
          <cell r="N14">
            <v>0</v>
          </cell>
          <cell r="O14">
            <v>0</v>
          </cell>
          <cell r="P14">
            <v>0</v>
          </cell>
          <cell r="Q14">
            <v>0</v>
          </cell>
          <cell r="R14">
            <v>0</v>
          </cell>
          <cell r="S14">
            <v>0</v>
          </cell>
          <cell r="U14">
            <v>58.170736393052856</v>
          </cell>
          <cell r="V14">
            <v>14.542684098263214</v>
          </cell>
          <cell r="W14">
            <v>58.170736393052856</v>
          </cell>
          <cell r="X14">
            <v>14.542684098263214</v>
          </cell>
          <cell r="Y14">
            <v>43.62805229478964</v>
          </cell>
          <cell r="Z14">
            <v>0</v>
          </cell>
          <cell r="AA14">
            <v>159.96952508089535</v>
          </cell>
          <cell r="AB14">
            <v>0</v>
          </cell>
          <cell r="AC14">
            <v>58.170736393052856</v>
          </cell>
          <cell r="AD14">
            <v>14.542684098263214</v>
          </cell>
          <cell r="AE14">
            <v>0</v>
          </cell>
          <cell r="AF14">
            <v>0</v>
          </cell>
          <cell r="AG14">
            <v>0</v>
          </cell>
          <cell r="AH14">
            <v>0</v>
          </cell>
          <cell r="AI14">
            <v>0</v>
          </cell>
          <cell r="AJ14">
            <v>0</v>
          </cell>
        </row>
        <row r="15">
          <cell r="A15" t="str">
            <v>B</v>
          </cell>
          <cell r="B15">
            <v>350</v>
          </cell>
          <cell r="C15">
            <v>2</v>
          </cell>
          <cell r="D15">
            <v>1.0428487599534892</v>
          </cell>
          <cell r="E15">
            <v>20.683167072410868</v>
          </cell>
          <cell r="F15">
            <v>0.34761625331782975</v>
          </cell>
          <cell r="G15">
            <v>57.530489924100827</v>
          </cell>
          <cell r="H15">
            <v>0</v>
          </cell>
          <cell r="I15">
            <v>27.635492138767468</v>
          </cell>
          <cell r="J15">
            <v>23.985521478930252</v>
          </cell>
          <cell r="K15">
            <v>4.3452031664728716</v>
          </cell>
          <cell r="L15">
            <v>30.937846545286849</v>
          </cell>
          <cell r="M15">
            <v>0</v>
          </cell>
          <cell r="N15">
            <v>0</v>
          </cell>
          <cell r="O15">
            <v>0</v>
          </cell>
          <cell r="P15">
            <v>9.2118307129224881</v>
          </cell>
          <cell r="Q15">
            <v>0</v>
          </cell>
          <cell r="R15">
            <v>0</v>
          </cell>
          <cell r="S15">
            <v>0</v>
          </cell>
          <cell r="U15">
            <v>69.523250663565946</v>
          </cell>
          <cell r="V15">
            <v>17.380812665891487</v>
          </cell>
          <cell r="W15">
            <v>17.380812665891487</v>
          </cell>
          <cell r="X15">
            <v>86.904063329457443</v>
          </cell>
          <cell r="Y15">
            <v>0</v>
          </cell>
          <cell r="Z15">
            <v>52.142437997674463</v>
          </cell>
          <cell r="AA15">
            <v>330.23544065193823</v>
          </cell>
          <cell r="AB15">
            <v>17.380812665891487</v>
          </cell>
          <cell r="AC15">
            <v>173.80812665891489</v>
          </cell>
          <cell r="AD15">
            <v>0</v>
          </cell>
          <cell r="AE15">
            <v>0</v>
          </cell>
          <cell r="AF15">
            <v>0</v>
          </cell>
          <cell r="AG15">
            <v>52.142437997674463</v>
          </cell>
          <cell r="AH15">
            <v>0</v>
          </cell>
          <cell r="AI15">
            <v>0</v>
          </cell>
          <cell r="AJ15">
            <v>0</v>
          </cell>
        </row>
        <row r="16">
          <cell r="A16" t="str">
            <v>B</v>
          </cell>
          <cell r="B16">
            <v>450</v>
          </cell>
          <cell r="C16">
            <v>1</v>
          </cell>
          <cell r="D16">
            <v>0</v>
          </cell>
          <cell r="E16">
            <v>0</v>
          </cell>
          <cell r="F16">
            <v>0</v>
          </cell>
          <cell r="G16">
            <v>7.686031712105061</v>
          </cell>
          <cell r="H16">
            <v>0</v>
          </cell>
          <cell r="I16">
            <v>312.2119088572332</v>
          </cell>
          <cell r="J16">
            <v>84.016277680596716</v>
          </cell>
          <cell r="K16">
            <v>18.685008127703682</v>
          </cell>
          <cell r="L16">
            <v>37.104980679127884</v>
          </cell>
          <cell r="M16">
            <v>0</v>
          </cell>
          <cell r="N16">
            <v>0</v>
          </cell>
          <cell r="O16">
            <v>0</v>
          </cell>
          <cell r="P16">
            <v>34.587142704472775</v>
          </cell>
          <cell r="Q16">
            <v>1.4576956695371668</v>
          </cell>
          <cell r="R16">
            <v>0</v>
          </cell>
          <cell r="S16">
            <v>0</v>
          </cell>
          <cell r="U16">
            <v>0</v>
          </cell>
          <cell r="V16">
            <v>0</v>
          </cell>
          <cell r="W16">
            <v>0</v>
          </cell>
          <cell r="X16">
            <v>13.251778813974244</v>
          </cell>
          <cell r="Y16">
            <v>0</v>
          </cell>
          <cell r="Z16">
            <v>768.60317121050616</v>
          </cell>
          <cell r="AA16">
            <v>1709.4794670026772</v>
          </cell>
          <cell r="AB16">
            <v>198.77668220961365</v>
          </cell>
          <cell r="AC16">
            <v>212.02846102358791</v>
          </cell>
          <cell r="AD16">
            <v>0</v>
          </cell>
          <cell r="AE16">
            <v>0</v>
          </cell>
          <cell r="AF16">
            <v>0</v>
          </cell>
          <cell r="AG16">
            <v>66.258894069871218</v>
          </cell>
          <cell r="AH16">
            <v>13.251778813974244</v>
          </cell>
          <cell r="AI16">
            <v>0</v>
          </cell>
          <cell r="AJ16">
            <v>0</v>
          </cell>
        </row>
        <row r="17">
          <cell r="A17" t="str">
            <v>B</v>
          </cell>
          <cell r="B17">
            <v>450</v>
          </cell>
          <cell r="C17">
            <v>2</v>
          </cell>
          <cell r="D17">
            <v>0.17745122564041516</v>
          </cell>
          <cell r="E17">
            <v>0</v>
          </cell>
          <cell r="F17">
            <v>0</v>
          </cell>
          <cell r="G17">
            <v>0</v>
          </cell>
          <cell r="H17">
            <v>0</v>
          </cell>
          <cell r="I17">
            <v>95.912387458644403</v>
          </cell>
          <cell r="J17">
            <v>26.44023262042186</v>
          </cell>
          <cell r="K17">
            <v>12.421585794829062</v>
          </cell>
          <cell r="L17">
            <v>54.300075045967041</v>
          </cell>
          <cell r="M17">
            <v>0</v>
          </cell>
          <cell r="N17">
            <v>0</v>
          </cell>
          <cell r="O17">
            <v>0</v>
          </cell>
          <cell r="P17">
            <v>0</v>
          </cell>
          <cell r="Q17">
            <v>0</v>
          </cell>
          <cell r="R17">
            <v>0</v>
          </cell>
          <cell r="S17">
            <v>0</v>
          </cell>
          <cell r="U17">
            <v>17.745122564041516</v>
          </cell>
          <cell r="V17">
            <v>0</v>
          </cell>
          <cell r="W17">
            <v>0</v>
          </cell>
          <cell r="X17">
            <v>0</v>
          </cell>
          <cell r="Y17">
            <v>0</v>
          </cell>
          <cell r="Z17">
            <v>283.92196102466426</v>
          </cell>
          <cell r="AA17">
            <v>1064.7073538424911</v>
          </cell>
          <cell r="AB17">
            <v>124.2158579482906</v>
          </cell>
          <cell r="AC17">
            <v>283.92196102466426</v>
          </cell>
          <cell r="AD17">
            <v>0</v>
          </cell>
          <cell r="AE17">
            <v>0</v>
          </cell>
          <cell r="AF17">
            <v>0</v>
          </cell>
          <cell r="AG17">
            <v>0</v>
          </cell>
          <cell r="AH17">
            <v>0</v>
          </cell>
          <cell r="AI17">
            <v>0</v>
          </cell>
          <cell r="AJ17">
            <v>0</v>
          </cell>
        </row>
        <row r="18">
          <cell r="A18" t="str">
            <v>B</v>
          </cell>
          <cell r="B18">
            <v>550</v>
          </cell>
          <cell r="C18">
            <v>1</v>
          </cell>
          <cell r="D18">
            <v>0</v>
          </cell>
          <cell r="E18">
            <v>0</v>
          </cell>
          <cell r="F18">
            <v>0</v>
          </cell>
          <cell r="G18">
            <v>0</v>
          </cell>
          <cell r="H18">
            <v>49.835961566715753</v>
          </cell>
          <cell r="I18">
            <v>177.40648519443312</v>
          </cell>
          <cell r="J18">
            <v>235.5881819517472</v>
          </cell>
          <cell r="K18">
            <v>9.2995334980952844</v>
          </cell>
          <cell r="L18">
            <v>0</v>
          </cell>
          <cell r="M18">
            <v>0</v>
          </cell>
          <cell r="N18">
            <v>0</v>
          </cell>
          <cell r="O18">
            <v>0</v>
          </cell>
          <cell r="P18">
            <v>98.956574402808812</v>
          </cell>
          <cell r="Q18">
            <v>0</v>
          </cell>
          <cell r="R18">
            <v>24.083407264298046</v>
          </cell>
          <cell r="S18">
            <v>0</v>
          </cell>
          <cell r="U18">
            <v>0</v>
          </cell>
          <cell r="V18">
            <v>0</v>
          </cell>
          <cell r="W18">
            <v>0</v>
          </cell>
          <cell r="X18">
            <v>0</v>
          </cell>
          <cell r="Y18">
            <v>23.844957687423808</v>
          </cell>
          <cell r="Z18">
            <v>453.05419606105232</v>
          </cell>
          <cell r="AA18">
            <v>9227.998625033013</v>
          </cell>
          <cell r="AB18">
            <v>47.689915374847615</v>
          </cell>
          <cell r="AC18">
            <v>0</v>
          </cell>
          <cell r="AD18">
            <v>0</v>
          </cell>
          <cell r="AE18">
            <v>0</v>
          </cell>
          <cell r="AF18">
            <v>0</v>
          </cell>
          <cell r="AG18">
            <v>453.05419606105232</v>
          </cell>
          <cell r="AH18">
            <v>0</v>
          </cell>
          <cell r="AI18">
            <v>23.844957687423808</v>
          </cell>
          <cell r="AJ18">
            <v>0</v>
          </cell>
        </row>
        <row r="19">
          <cell r="A19" t="str">
            <v>B</v>
          </cell>
          <cell r="B19">
            <v>650</v>
          </cell>
          <cell r="C19">
            <v>1</v>
          </cell>
          <cell r="D19">
            <v>0</v>
          </cell>
          <cell r="E19">
            <v>0</v>
          </cell>
          <cell r="F19">
            <v>0</v>
          </cell>
          <cell r="G19">
            <v>0</v>
          </cell>
          <cell r="H19">
            <v>0</v>
          </cell>
          <cell r="I19">
            <v>544.04016854275949</v>
          </cell>
          <cell r="J19">
            <v>135.74028798627359</v>
          </cell>
          <cell r="K19">
            <v>0</v>
          </cell>
          <cell r="L19">
            <v>0</v>
          </cell>
          <cell r="M19">
            <v>0</v>
          </cell>
          <cell r="N19">
            <v>0</v>
          </cell>
          <cell r="O19">
            <v>0</v>
          </cell>
          <cell r="P19">
            <v>0</v>
          </cell>
          <cell r="Q19">
            <v>0</v>
          </cell>
          <cell r="R19">
            <v>0</v>
          </cell>
          <cell r="S19">
            <v>0</v>
          </cell>
          <cell r="U19">
            <v>0</v>
          </cell>
          <cell r="V19">
            <v>0</v>
          </cell>
          <cell r="W19">
            <v>0</v>
          </cell>
          <cell r="X19">
            <v>0</v>
          </cell>
          <cell r="Y19">
            <v>0</v>
          </cell>
          <cell r="Z19">
            <v>971.11493789861868</v>
          </cell>
          <cell r="AA19">
            <v>1122.1772615717371</v>
          </cell>
          <cell r="AB19">
            <v>0</v>
          </cell>
          <cell r="AC19">
            <v>0</v>
          </cell>
          <cell r="AD19">
            <v>0</v>
          </cell>
          <cell r="AE19">
            <v>0</v>
          </cell>
          <cell r="AF19">
            <v>0</v>
          </cell>
          <cell r="AG19">
            <v>0</v>
          </cell>
          <cell r="AH19">
            <v>0</v>
          </cell>
          <cell r="AI19">
            <v>0</v>
          </cell>
          <cell r="AJ19">
            <v>0</v>
          </cell>
        </row>
        <row r="20">
          <cell r="A20" t="str">
            <v>B</v>
          </cell>
          <cell r="B20">
            <v>750</v>
          </cell>
          <cell r="C20">
            <v>1</v>
          </cell>
          <cell r="D20">
            <v>0</v>
          </cell>
          <cell r="E20">
            <v>0</v>
          </cell>
          <cell r="F20">
            <v>0</v>
          </cell>
          <cell r="G20">
            <v>0</v>
          </cell>
          <cell r="H20">
            <v>0</v>
          </cell>
          <cell r="I20">
            <v>1349.4368277807212</v>
          </cell>
          <cell r="J20">
            <v>124.39892974860088</v>
          </cell>
          <cell r="K20">
            <v>0</v>
          </cell>
          <cell r="L20">
            <v>0</v>
          </cell>
          <cell r="M20">
            <v>0</v>
          </cell>
          <cell r="N20">
            <v>19.923266092549358</v>
          </cell>
          <cell r="O20">
            <v>167.1610618496824</v>
          </cell>
          <cell r="P20">
            <v>0</v>
          </cell>
          <cell r="Q20">
            <v>0</v>
          </cell>
          <cell r="R20">
            <v>0</v>
          </cell>
          <cell r="S20">
            <v>0</v>
          </cell>
          <cell r="U20">
            <v>0</v>
          </cell>
          <cell r="V20">
            <v>0</v>
          </cell>
          <cell r="W20">
            <v>0</v>
          </cell>
          <cell r="X20">
            <v>0</v>
          </cell>
          <cell r="Y20">
            <v>0</v>
          </cell>
          <cell r="Z20">
            <v>2186.6999369871246</v>
          </cell>
          <cell r="AA20">
            <v>728.89997899570824</v>
          </cell>
          <cell r="AB20">
            <v>0</v>
          </cell>
          <cell r="AC20">
            <v>0</v>
          </cell>
          <cell r="AD20">
            <v>0</v>
          </cell>
          <cell r="AE20">
            <v>145.77999579914163</v>
          </cell>
          <cell r="AF20">
            <v>340.1533235313305</v>
          </cell>
          <cell r="AG20">
            <v>0</v>
          </cell>
          <cell r="AH20">
            <v>0</v>
          </cell>
          <cell r="AI20">
            <v>0</v>
          </cell>
          <cell r="AJ20">
            <v>0</v>
          </cell>
        </row>
        <row r="21">
          <cell r="A21" t="str">
            <v>B</v>
          </cell>
          <cell r="B21">
            <v>900</v>
          </cell>
          <cell r="C21">
            <v>1</v>
          </cell>
          <cell r="D21">
            <v>0</v>
          </cell>
          <cell r="E21">
            <v>0</v>
          </cell>
          <cell r="F21">
            <v>0</v>
          </cell>
          <cell r="G21">
            <v>0</v>
          </cell>
          <cell r="H21">
            <v>0</v>
          </cell>
          <cell r="I21">
            <v>694.9425392428949</v>
          </cell>
          <cell r="J21">
            <v>246.15846207806413</v>
          </cell>
          <cell r="K21">
            <v>0</v>
          </cell>
          <cell r="L21">
            <v>0</v>
          </cell>
          <cell r="M21">
            <v>0</v>
          </cell>
          <cell r="N21">
            <v>9.4980757071921857</v>
          </cell>
          <cell r="O21">
            <v>0</v>
          </cell>
          <cell r="P21">
            <v>0</v>
          </cell>
          <cell r="Q21">
            <v>0</v>
          </cell>
          <cell r="R21">
            <v>0</v>
          </cell>
          <cell r="S21">
            <v>0</v>
          </cell>
          <cell r="U21">
            <v>0</v>
          </cell>
          <cell r="V21">
            <v>0</v>
          </cell>
          <cell r="W21">
            <v>0</v>
          </cell>
          <cell r="X21">
            <v>0</v>
          </cell>
          <cell r="Y21">
            <v>0</v>
          </cell>
          <cell r="Z21">
            <v>870.6569398259503</v>
          </cell>
          <cell r="AA21">
            <v>1266.4100942922914</v>
          </cell>
          <cell r="AB21">
            <v>0</v>
          </cell>
          <cell r="AC21">
            <v>0</v>
          </cell>
          <cell r="AD21">
            <v>0</v>
          </cell>
          <cell r="AE21">
            <v>158.30126178653643</v>
          </cell>
          <cell r="AF21">
            <v>0</v>
          </cell>
          <cell r="AG21">
            <v>0</v>
          </cell>
          <cell r="AH21">
            <v>0</v>
          </cell>
          <cell r="AI21">
            <v>0</v>
          </cell>
          <cell r="AJ21">
            <v>0</v>
          </cell>
        </row>
        <row r="22">
          <cell r="B22">
            <v>150</v>
          </cell>
        </row>
        <row r="23">
          <cell r="A23" t="str">
            <v>C</v>
          </cell>
          <cell r="B23">
            <v>250</v>
          </cell>
          <cell r="C23">
            <v>1</v>
          </cell>
          <cell r="D23">
            <v>1302.0617288046446</v>
          </cell>
          <cell r="E23">
            <v>0</v>
          </cell>
          <cell r="F23">
            <v>334.16902538368953</v>
          </cell>
          <cell r="G23">
            <v>91.119997403055322</v>
          </cell>
          <cell r="H23">
            <v>0</v>
          </cell>
          <cell r="I23">
            <v>0</v>
          </cell>
          <cell r="J23">
            <v>0.37420943492014508</v>
          </cell>
          <cell r="K23">
            <v>0.18710471746007254</v>
          </cell>
          <cell r="L23">
            <v>0</v>
          </cell>
          <cell r="M23">
            <v>19.645995333307617</v>
          </cell>
          <cell r="N23">
            <v>0</v>
          </cell>
          <cell r="O23">
            <v>0</v>
          </cell>
          <cell r="P23">
            <v>0.18710471746007254</v>
          </cell>
          <cell r="Q23">
            <v>107.77231725700177</v>
          </cell>
          <cell r="R23">
            <v>0</v>
          </cell>
          <cell r="S23">
            <v>0</v>
          </cell>
          <cell r="U23">
            <v>91381.944007499435</v>
          </cell>
          <cell r="V23">
            <v>0</v>
          </cell>
          <cell r="W23">
            <v>16521.346551724408</v>
          </cell>
          <cell r="X23">
            <v>187.10471746007255</v>
          </cell>
          <cell r="Y23">
            <v>0</v>
          </cell>
          <cell r="Z23">
            <v>0</v>
          </cell>
          <cell r="AA23">
            <v>37.420943492014509</v>
          </cell>
          <cell r="AB23">
            <v>18.710471746007254</v>
          </cell>
          <cell r="AC23">
            <v>0</v>
          </cell>
          <cell r="AD23">
            <v>93.552358730036275</v>
          </cell>
          <cell r="AE23">
            <v>0</v>
          </cell>
          <cell r="AF23">
            <v>0</v>
          </cell>
          <cell r="AG23">
            <v>18.710471746007254</v>
          </cell>
          <cell r="AH23">
            <v>898.10264380834815</v>
          </cell>
          <cell r="AI23">
            <v>0</v>
          </cell>
          <cell r="AJ23">
            <v>0</v>
          </cell>
        </row>
        <row r="24">
          <cell r="A24" t="str">
            <v>C</v>
          </cell>
          <cell r="B24">
            <v>250</v>
          </cell>
          <cell r="C24">
            <v>2</v>
          </cell>
          <cell r="D24">
            <v>61.312240281422781</v>
          </cell>
          <cell r="E24">
            <v>0</v>
          </cell>
          <cell r="F24">
            <v>20.532471164011348</v>
          </cell>
          <cell r="G24">
            <v>10.076120108264828</v>
          </cell>
          <cell r="H24">
            <v>0</v>
          </cell>
          <cell r="I24">
            <v>0</v>
          </cell>
          <cell r="J24">
            <v>0</v>
          </cell>
          <cell r="K24">
            <v>0</v>
          </cell>
          <cell r="L24">
            <v>0</v>
          </cell>
          <cell r="M24">
            <v>1520.5435589792849</v>
          </cell>
          <cell r="N24">
            <v>0</v>
          </cell>
          <cell r="O24">
            <v>0</v>
          </cell>
          <cell r="P24">
            <v>0</v>
          </cell>
          <cell r="Q24">
            <v>16.730161689194432</v>
          </cell>
          <cell r="R24">
            <v>0</v>
          </cell>
          <cell r="S24">
            <v>38.973672116873388</v>
          </cell>
          <cell r="U24">
            <v>10779.547361105957</v>
          </cell>
          <cell r="V24">
            <v>0</v>
          </cell>
          <cell r="W24">
            <v>1045.6351055746518</v>
          </cell>
          <cell r="X24">
            <v>19.011547374084582</v>
          </cell>
          <cell r="Y24">
            <v>0</v>
          </cell>
          <cell r="Z24">
            <v>0</v>
          </cell>
          <cell r="AA24">
            <v>0</v>
          </cell>
          <cell r="AB24">
            <v>0</v>
          </cell>
          <cell r="AC24">
            <v>0</v>
          </cell>
          <cell r="AD24">
            <v>4182.5404222986081</v>
          </cell>
          <cell r="AE24">
            <v>0</v>
          </cell>
          <cell r="AF24">
            <v>0</v>
          </cell>
          <cell r="AG24">
            <v>0</v>
          </cell>
          <cell r="AH24">
            <v>152.09237899267666</v>
          </cell>
          <cell r="AI24">
            <v>0</v>
          </cell>
          <cell r="AJ24">
            <v>76.046189496338329</v>
          </cell>
        </row>
        <row r="25">
          <cell r="A25" t="str">
            <v>C</v>
          </cell>
          <cell r="B25">
            <v>350</v>
          </cell>
          <cell r="C25">
            <v>1</v>
          </cell>
          <cell r="D25">
            <v>1.7728535421264373</v>
          </cell>
          <cell r="E25">
            <v>35.260087115625808</v>
          </cell>
          <cell r="F25">
            <v>0</v>
          </cell>
          <cell r="G25">
            <v>36.048022023237557</v>
          </cell>
          <cell r="H25">
            <v>67.76240205461049</v>
          </cell>
          <cell r="I25">
            <v>0</v>
          </cell>
          <cell r="J25">
            <v>6.6974467146998737</v>
          </cell>
          <cell r="K25">
            <v>7.682365349214562</v>
          </cell>
          <cell r="L25">
            <v>12.212991067982124</v>
          </cell>
          <cell r="M25">
            <v>0</v>
          </cell>
          <cell r="N25">
            <v>0</v>
          </cell>
          <cell r="O25">
            <v>0</v>
          </cell>
          <cell r="P25">
            <v>0</v>
          </cell>
          <cell r="Q25">
            <v>0</v>
          </cell>
          <cell r="R25">
            <v>0</v>
          </cell>
          <cell r="S25">
            <v>0</v>
          </cell>
          <cell r="U25">
            <v>157.58698152234999</v>
          </cell>
          <cell r="V25">
            <v>98.491863451468731</v>
          </cell>
          <cell r="W25">
            <v>0</v>
          </cell>
          <cell r="X25">
            <v>59.095118070881242</v>
          </cell>
          <cell r="Y25">
            <v>19.698372690293748</v>
          </cell>
          <cell r="Z25">
            <v>0</v>
          </cell>
          <cell r="AA25">
            <v>847.03002568263105</v>
          </cell>
          <cell r="AB25">
            <v>59.095118070881242</v>
          </cell>
          <cell r="AC25">
            <v>98.491863451468731</v>
          </cell>
          <cell r="AD25">
            <v>0</v>
          </cell>
          <cell r="AE25">
            <v>0</v>
          </cell>
          <cell r="AF25">
            <v>0</v>
          </cell>
          <cell r="AG25">
            <v>0</v>
          </cell>
          <cell r="AH25">
            <v>0</v>
          </cell>
          <cell r="AI25">
            <v>0</v>
          </cell>
          <cell r="AJ25">
            <v>0</v>
          </cell>
        </row>
        <row r="26">
          <cell r="A26" t="str">
            <v>C</v>
          </cell>
          <cell r="B26">
            <v>350</v>
          </cell>
          <cell r="C26">
            <v>2</v>
          </cell>
          <cell r="D26">
            <v>1275.023555471683</v>
          </cell>
          <cell r="E26">
            <v>624.98852611672135</v>
          </cell>
          <cell r="F26">
            <v>36.004348404970798</v>
          </cell>
          <cell r="G26">
            <v>30.721101628154429</v>
          </cell>
          <cell r="H26">
            <v>0</v>
          </cell>
          <cell r="I26">
            <v>0</v>
          </cell>
          <cell r="J26">
            <v>3.9135161309750863</v>
          </cell>
          <cell r="K26">
            <v>0</v>
          </cell>
          <cell r="L26">
            <v>9.7837903274377158</v>
          </cell>
          <cell r="M26">
            <v>20.35028388107045</v>
          </cell>
          <cell r="N26">
            <v>0</v>
          </cell>
          <cell r="O26">
            <v>0</v>
          </cell>
          <cell r="P26">
            <v>0</v>
          </cell>
          <cell r="Q26">
            <v>0</v>
          </cell>
          <cell r="R26">
            <v>0</v>
          </cell>
          <cell r="S26">
            <v>0</v>
          </cell>
          <cell r="U26">
            <v>68877.883905161521</v>
          </cell>
          <cell r="V26">
            <v>2759.0288723374356</v>
          </cell>
          <cell r="W26">
            <v>1037.0817747083979</v>
          </cell>
          <cell r="X26">
            <v>58.702741964626291</v>
          </cell>
          <cell r="Y26">
            <v>0</v>
          </cell>
          <cell r="Z26">
            <v>0</v>
          </cell>
          <cell r="AA26">
            <v>684.8653229206401</v>
          </cell>
          <cell r="AB26">
            <v>0</v>
          </cell>
          <cell r="AC26">
            <v>78.270322619501727</v>
          </cell>
          <cell r="AD26">
            <v>39.135161309750863</v>
          </cell>
          <cell r="AE26">
            <v>0</v>
          </cell>
          <cell r="AF26">
            <v>0</v>
          </cell>
          <cell r="AG26">
            <v>0</v>
          </cell>
          <cell r="AH26">
            <v>0</v>
          </cell>
          <cell r="AI26">
            <v>0</v>
          </cell>
          <cell r="AJ26">
            <v>0</v>
          </cell>
        </row>
        <row r="27">
          <cell r="A27" t="str">
            <v>C</v>
          </cell>
          <cell r="B27">
            <v>450</v>
          </cell>
          <cell r="C27">
            <v>1</v>
          </cell>
          <cell r="D27">
            <v>1.124012289182291</v>
          </cell>
          <cell r="E27">
            <v>0</v>
          </cell>
          <cell r="F27">
            <v>0.18733538153038184</v>
          </cell>
          <cell r="G27">
            <v>28.474977992618037</v>
          </cell>
          <cell r="H27">
            <v>76.994841808986934</v>
          </cell>
          <cell r="I27">
            <v>196.32747984384017</v>
          </cell>
          <cell r="J27">
            <v>20.981562731402764</v>
          </cell>
          <cell r="K27">
            <v>153.42767747338272</v>
          </cell>
          <cell r="L27">
            <v>127.38805944065965</v>
          </cell>
          <cell r="M27">
            <v>0</v>
          </cell>
          <cell r="N27">
            <v>0</v>
          </cell>
          <cell r="O27">
            <v>0</v>
          </cell>
          <cell r="P27">
            <v>0</v>
          </cell>
          <cell r="Q27">
            <v>0</v>
          </cell>
          <cell r="R27">
            <v>0</v>
          </cell>
          <cell r="S27">
            <v>0</v>
          </cell>
          <cell r="U27">
            <v>112.40122891822909</v>
          </cell>
          <cell r="V27">
            <v>0</v>
          </cell>
          <cell r="W27">
            <v>18.733538153038182</v>
          </cell>
          <cell r="X27">
            <v>37.467076306076365</v>
          </cell>
          <cell r="Y27">
            <v>37.467076306076365</v>
          </cell>
          <cell r="Z27">
            <v>393.40430121380183</v>
          </cell>
          <cell r="AA27">
            <v>374.67076306076365</v>
          </cell>
          <cell r="AB27">
            <v>1011.6110602640618</v>
          </cell>
          <cell r="AC27">
            <v>505.80553013203092</v>
          </cell>
          <cell r="AD27">
            <v>0</v>
          </cell>
          <cell r="AE27">
            <v>0</v>
          </cell>
          <cell r="AF27">
            <v>0</v>
          </cell>
          <cell r="AG27">
            <v>0</v>
          </cell>
          <cell r="AH27">
            <v>0</v>
          </cell>
          <cell r="AI27">
            <v>0</v>
          </cell>
          <cell r="AJ27">
            <v>0</v>
          </cell>
        </row>
        <row r="28">
          <cell r="A28" t="str">
            <v>C</v>
          </cell>
          <cell r="B28">
            <v>450</v>
          </cell>
          <cell r="C28">
            <v>2</v>
          </cell>
          <cell r="D28">
            <v>0</v>
          </cell>
          <cell r="E28">
            <v>0</v>
          </cell>
          <cell r="F28">
            <v>0</v>
          </cell>
          <cell r="G28">
            <v>37.627034036711109</v>
          </cell>
          <cell r="H28">
            <v>0</v>
          </cell>
          <cell r="I28">
            <v>276.61883469910907</v>
          </cell>
          <cell r="J28">
            <v>24.053811712966006</v>
          </cell>
          <cell r="K28">
            <v>289.50480525962661</v>
          </cell>
          <cell r="L28">
            <v>267.68456177715024</v>
          </cell>
          <cell r="M28">
            <v>0</v>
          </cell>
          <cell r="N28">
            <v>0</v>
          </cell>
          <cell r="O28">
            <v>0</v>
          </cell>
          <cell r="P28">
            <v>0</v>
          </cell>
          <cell r="Q28">
            <v>0</v>
          </cell>
          <cell r="R28">
            <v>0</v>
          </cell>
          <cell r="S28">
            <v>0</v>
          </cell>
          <cell r="U28">
            <v>0</v>
          </cell>
          <cell r="V28">
            <v>0</v>
          </cell>
          <cell r="W28">
            <v>0</v>
          </cell>
          <cell r="X28">
            <v>51.543882242070012</v>
          </cell>
          <cell r="Y28">
            <v>0</v>
          </cell>
          <cell r="Z28">
            <v>635.7078809855301</v>
          </cell>
          <cell r="AA28">
            <v>481.07623425932013</v>
          </cell>
          <cell r="AB28">
            <v>1752.4919962303804</v>
          </cell>
          <cell r="AC28">
            <v>1048.0589389220902</v>
          </cell>
          <cell r="AD28">
            <v>0</v>
          </cell>
          <cell r="AE28">
            <v>0</v>
          </cell>
          <cell r="AF28">
            <v>0</v>
          </cell>
          <cell r="AG28">
            <v>0</v>
          </cell>
          <cell r="AH28">
            <v>0</v>
          </cell>
          <cell r="AI28">
            <v>0</v>
          </cell>
          <cell r="AJ28">
            <v>0</v>
          </cell>
        </row>
        <row r="29">
          <cell r="A29" t="str">
            <v>C</v>
          </cell>
          <cell r="B29">
            <v>550</v>
          </cell>
          <cell r="C29">
            <v>1</v>
          </cell>
          <cell r="D29">
            <v>0</v>
          </cell>
          <cell r="E29">
            <v>0</v>
          </cell>
          <cell r="F29">
            <v>0</v>
          </cell>
          <cell r="G29">
            <v>0</v>
          </cell>
          <cell r="H29">
            <v>0</v>
          </cell>
          <cell r="I29">
            <v>236.0394498719125</v>
          </cell>
          <cell r="J29">
            <v>164.56787731752905</v>
          </cell>
          <cell r="K29">
            <v>2.7489066367070554</v>
          </cell>
          <cell r="L29">
            <v>0</v>
          </cell>
          <cell r="M29">
            <v>0</v>
          </cell>
          <cell r="N29">
            <v>0</v>
          </cell>
          <cell r="O29">
            <v>0</v>
          </cell>
          <cell r="P29">
            <v>0</v>
          </cell>
          <cell r="Q29">
            <v>0</v>
          </cell>
          <cell r="R29">
            <v>0</v>
          </cell>
          <cell r="S29">
            <v>0</v>
          </cell>
          <cell r="U29">
            <v>0</v>
          </cell>
          <cell r="V29">
            <v>0</v>
          </cell>
          <cell r="W29">
            <v>0</v>
          </cell>
          <cell r="X29">
            <v>0</v>
          </cell>
          <cell r="Y29">
            <v>0</v>
          </cell>
          <cell r="Z29">
            <v>513.1292388519837</v>
          </cell>
          <cell r="AA29">
            <v>8393.3282640788748</v>
          </cell>
          <cell r="AB29">
            <v>18.326044244713703</v>
          </cell>
          <cell r="AC29">
            <v>0</v>
          </cell>
          <cell r="AD29">
            <v>0</v>
          </cell>
          <cell r="AE29">
            <v>0</v>
          </cell>
          <cell r="AF29">
            <v>0</v>
          </cell>
          <cell r="AG29">
            <v>0</v>
          </cell>
          <cell r="AH29">
            <v>0</v>
          </cell>
          <cell r="AI29">
            <v>0</v>
          </cell>
          <cell r="AJ29">
            <v>0</v>
          </cell>
        </row>
        <row r="30">
          <cell r="A30" t="str">
            <v>C</v>
          </cell>
          <cell r="B30">
            <v>650</v>
          </cell>
          <cell r="C30">
            <v>1</v>
          </cell>
          <cell r="D30">
            <v>0</v>
          </cell>
          <cell r="E30">
            <v>0</v>
          </cell>
          <cell r="F30">
            <v>0</v>
          </cell>
          <cell r="G30">
            <v>0</v>
          </cell>
          <cell r="H30">
            <v>0</v>
          </cell>
          <cell r="I30">
            <v>399.9778627544207</v>
          </cell>
          <cell r="J30">
            <v>141.54836180473447</v>
          </cell>
          <cell r="K30">
            <v>0</v>
          </cell>
          <cell r="L30">
            <v>0</v>
          </cell>
          <cell r="M30">
            <v>0</v>
          </cell>
          <cell r="N30">
            <v>0</v>
          </cell>
          <cell r="O30">
            <v>0</v>
          </cell>
          <cell r="P30">
            <v>0</v>
          </cell>
          <cell r="Q30">
            <v>64.319206748405406</v>
          </cell>
          <cell r="R30">
            <v>63.397067583553714</v>
          </cell>
          <cell r="S30">
            <v>0</v>
          </cell>
          <cell r="U30">
            <v>0</v>
          </cell>
          <cell r="V30">
            <v>0</v>
          </cell>
          <cell r="W30">
            <v>0</v>
          </cell>
          <cell r="X30">
            <v>0</v>
          </cell>
          <cell r="Y30">
            <v>0</v>
          </cell>
          <cell r="Z30">
            <v>691.60437363876781</v>
          </cell>
          <cell r="AA30">
            <v>1452.3691846414122</v>
          </cell>
          <cell r="AB30">
            <v>0</v>
          </cell>
          <cell r="AC30">
            <v>0</v>
          </cell>
          <cell r="AD30">
            <v>0</v>
          </cell>
          <cell r="AE30">
            <v>0</v>
          </cell>
          <cell r="AF30">
            <v>0</v>
          </cell>
          <cell r="AG30">
            <v>0</v>
          </cell>
          <cell r="AH30">
            <v>46.106958242584518</v>
          </cell>
          <cell r="AI30">
            <v>23.053479121292259</v>
          </cell>
          <cell r="AJ30">
            <v>0</v>
          </cell>
        </row>
        <row r="31">
          <cell r="A31" t="str">
            <v>C</v>
          </cell>
          <cell r="B31">
            <v>750</v>
          </cell>
          <cell r="C31">
            <v>1</v>
          </cell>
          <cell r="D31">
            <v>0</v>
          </cell>
          <cell r="E31">
            <v>0</v>
          </cell>
          <cell r="F31">
            <v>0</v>
          </cell>
          <cell r="G31">
            <v>0</v>
          </cell>
          <cell r="H31">
            <v>0</v>
          </cell>
          <cell r="I31">
            <v>735.0294962952089</v>
          </cell>
          <cell r="J31">
            <v>129.25634390046162</v>
          </cell>
          <cell r="K31">
            <v>0</v>
          </cell>
          <cell r="L31">
            <v>0</v>
          </cell>
          <cell r="M31">
            <v>0</v>
          </cell>
          <cell r="N31">
            <v>0</v>
          </cell>
          <cell r="O31">
            <v>12.678253827557244</v>
          </cell>
          <cell r="P31">
            <v>0</v>
          </cell>
          <cell r="Q31">
            <v>0</v>
          </cell>
          <cell r="R31">
            <v>0</v>
          </cell>
          <cell r="S31">
            <v>0</v>
          </cell>
          <cell r="U31">
            <v>0</v>
          </cell>
          <cell r="V31">
            <v>0</v>
          </cell>
          <cell r="W31">
            <v>0</v>
          </cell>
          <cell r="X31">
            <v>0</v>
          </cell>
          <cell r="Y31">
            <v>0</v>
          </cell>
          <cell r="Z31">
            <v>1329.6705233779546</v>
          </cell>
          <cell r="AA31">
            <v>556.60626560007404</v>
          </cell>
          <cell r="AB31">
            <v>0</v>
          </cell>
          <cell r="AC31">
            <v>0</v>
          </cell>
          <cell r="AD31">
            <v>0</v>
          </cell>
          <cell r="AE31">
            <v>0</v>
          </cell>
          <cell r="AF31">
            <v>30.922570311115226</v>
          </cell>
          <cell r="AG31">
            <v>0</v>
          </cell>
          <cell r="AH31">
            <v>0</v>
          </cell>
          <cell r="AI31">
            <v>0</v>
          </cell>
          <cell r="AJ31">
            <v>0</v>
          </cell>
        </row>
        <row r="32">
          <cell r="A32" t="str">
            <v>C</v>
          </cell>
          <cell r="B32">
            <v>900</v>
          </cell>
          <cell r="C32">
            <v>1</v>
          </cell>
          <cell r="D32">
            <v>0</v>
          </cell>
          <cell r="E32">
            <v>0</v>
          </cell>
          <cell r="F32">
            <v>0</v>
          </cell>
          <cell r="G32">
            <v>0</v>
          </cell>
          <cell r="H32">
            <v>0</v>
          </cell>
          <cell r="I32">
            <v>452.15327801996364</v>
          </cell>
          <cell r="J32">
            <v>83.792544903819973</v>
          </cell>
          <cell r="K32">
            <v>0</v>
          </cell>
          <cell r="L32">
            <v>0</v>
          </cell>
          <cell r="M32">
            <v>0</v>
          </cell>
          <cell r="N32">
            <v>0</v>
          </cell>
          <cell r="O32">
            <v>0</v>
          </cell>
          <cell r="P32">
            <v>0</v>
          </cell>
          <cell r="Q32">
            <v>0</v>
          </cell>
          <cell r="R32">
            <v>0</v>
          </cell>
          <cell r="S32">
            <v>0</v>
          </cell>
          <cell r="U32">
            <v>0</v>
          </cell>
          <cell r="V32">
            <v>0</v>
          </cell>
          <cell r="W32">
            <v>0</v>
          </cell>
          <cell r="X32">
            <v>0</v>
          </cell>
          <cell r="Y32">
            <v>0</v>
          </cell>
          <cell r="Z32">
            <v>489.69669099635047</v>
          </cell>
          <cell r="AA32">
            <v>816.1611516605841</v>
          </cell>
          <cell r="AB32">
            <v>0</v>
          </cell>
          <cell r="AC32">
            <v>0</v>
          </cell>
          <cell r="AD32">
            <v>0</v>
          </cell>
          <cell r="AE32">
            <v>0</v>
          </cell>
          <cell r="AF32">
            <v>0</v>
          </cell>
          <cell r="AG32">
            <v>0</v>
          </cell>
          <cell r="AH32">
            <v>0</v>
          </cell>
          <cell r="AI32">
            <v>0</v>
          </cell>
          <cell r="AJ32">
            <v>0</v>
          </cell>
        </row>
        <row r="33">
          <cell r="B33">
            <v>150</v>
          </cell>
        </row>
        <row r="34">
          <cell r="A34" t="str">
            <v>D</v>
          </cell>
          <cell r="B34">
            <v>250</v>
          </cell>
          <cell r="C34">
            <v>1</v>
          </cell>
          <cell r="D34">
            <v>15.764336056562012</v>
          </cell>
          <cell r="E34">
            <v>10.109737253664768</v>
          </cell>
          <cell r="F34">
            <v>4.2837869718918506</v>
          </cell>
          <cell r="G34">
            <v>145.8201085231986</v>
          </cell>
          <cell r="H34">
            <v>0</v>
          </cell>
          <cell r="I34">
            <v>0</v>
          </cell>
          <cell r="J34">
            <v>0</v>
          </cell>
          <cell r="K34">
            <v>0</v>
          </cell>
          <cell r="L34">
            <v>0.68540591550269614</v>
          </cell>
          <cell r="M34">
            <v>1893.6051930550739</v>
          </cell>
          <cell r="N34">
            <v>0</v>
          </cell>
          <cell r="O34">
            <v>0</v>
          </cell>
          <cell r="P34">
            <v>3.9410840141405026</v>
          </cell>
          <cell r="Q34">
            <v>4.4551384507675253</v>
          </cell>
          <cell r="R34">
            <v>0</v>
          </cell>
          <cell r="S34">
            <v>100.24061514226932</v>
          </cell>
          <cell r="U34">
            <v>1250.8657957924204</v>
          </cell>
          <cell r="V34">
            <v>34.270295775134805</v>
          </cell>
          <cell r="W34">
            <v>222.75692253837624</v>
          </cell>
          <cell r="X34">
            <v>205.62177465080885</v>
          </cell>
          <cell r="Y34">
            <v>0</v>
          </cell>
          <cell r="Z34">
            <v>0</v>
          </cell>
          <cell r="AA34">
            <v>0</v>
          </cell>
          <cell r="AB34">
            <v>0</v>
          </cell>
          <cell r="AC34">
            <v>17.135147887567403</v>
          </cell>
          <cell r="AD34">
            <v>7539.4650705296572</v>
          </cell>
          <cell r="AE34">
            <v>0</v>
          </cell>
          <cell r="AF34">
            <v>0</v>
          </cell>
          <cell r="AG34">
            <v>102.81088732540442</v>
          </cell>
          <cell r="AH34">
            <v>51.405443662702211</v>
          </cell>
          <cell r="AI34">
            <v>0</v>
          </cell>
          <cell r="AJ34">
            <v>154.21633098810662</v>
          </cell>
        </row>
        <row r="35">
          <cell r="A35" t="str">
            <v>D</v>
          </cell>
          <cell r="B35">
            <v>250</v>
          </cell>
          <cell r="C35">
            <v>2</v>
          </cell>
          <cell r="D35">
            <v>29.797705232230989</v>
          </cell>
          <cell r="E35">
            <v>15.494806720760115</v>
          </cell>
          <cell r="F35">
            <v>40.127576379404402</v>
          </cell>
          <cell r="G35">
            <v>237.78568775320332</v>
          </cell>
          <cell r="H35">
            <v>0</v>
          </cell>
          <cell r="I35">
            <v>0</v>
          </cell>
          <cell r="J35">
            <v>0.19865136821487325</v>
          </cell>
          <cell r="K35">
            <v>0</v>
          </cell>
          <cell r="L35">
            <v>0</v>
          </cell>
          <cell r="M35">
            <v>3815.0995265666411</v>
          </cell>
          <cell r="N35">
            <v>0</v>
          </cell>
          <cell r="O35">
            <v>0</v>
          </cell>
          <cell r="P35">
            <v>0</v>
          </cell>
          <cell r="Q35">
            <v>0</v>
          </cell>
          <cell r="R35">
            <v>0</v>
          </cell>
          <cell r="S35">
            <v>120.97868324285781</v>
          </cell>
          <cell r="U35">
            <v>2145.4347767206314</v>
          </cell>
          <cell r="V35">
            <v>59.595410464461978</v>
          </cell>
          <cell r="W35">
            <v>1728.2669034693974</v>
          </cell>
          <cell r="X35">
            <v>377.43759960825918</v>
          </cell>
          <cell r="Y35">
            <v>0</v>
          </cell>
          <cell r="Z35">
            <v>0</v>
          </cell>
          <cell r="AA35">
            <v>19.865136821487326</v>
          </cell>
          <cell r="AB35">
            <v>0</v>
          </cell>
          <cell r="AC35">
            <v>0</v>
          </cell>
          <cell r="AD35">
            <v>12018.407776999833</v>
          </cell>
          <cell r="AE35">
            <v>0</v>
          </cell>
          <cell r="AF35">
            <v>0</v>
          </cell>
          <cell r="AG35">
            <v>0</v>
          </cell>
          <cell r="AH35">
            <v>0</v>
          </cell>
          <cell r="AI35">
            <v>0</v>
          </cell>
          <cell r="AJ35">
            <v>218.5165050363606</v>
          </cell>
        </row>
        <row r="36">
          <cell r="A36" t="str">
            <v>D</v>
          </cell>
          <cell r="B36">
            <v>350</v>
          </cell>
          <cell r="C36">
            <v>1</v>
          </cell>
          <cell r="D36">
            <v>1.7273603624683393</v>
          </cell>
          <cell r="E36">
            <v>18.260666688951019</v>
          </cell>
          <cell r="F36">
            <v>2.9611891928028675</v>
          </cell>
          <cell r="G36">
            <v>403.8733037961689</v>
          </cell>
          <cell r="H36">
            <v>561.96790458969986</v>
          </cell>
          <cell r="I36">
            <v>0</v>
          </cell>
          <cell r="J36">
            <v>20.070282306774995</v>
          </cell>
          <cell r="K36">
            <v>16.122030049704502</v>
          </cell>
          <cell r="L36">
            <v>11.84475677121147</v>
          </cell>
          <cell r="M36">
            <v>0</v>
          </cell>
          <cell r="N36">
            <v>0</v>
          </cell>
          <cell r="O36">
            <v>0</v>
          </cell>
          <cell r="P36">
            <v>181.12607229310873</v>
          </cell>
          <cell r="Q36">
            <v>0</v>
          </cell>
          <cell r="R36">
            <v>0</v>
          </cell>
          <cell r="S36">
            <v>0</v>
          </cell>
          <cell r="U36">
            <v>197.41261285352451</v>
          </cell>
          <cell r="V36">
            <v>16.451051071127043</v>
          </cell>
          <cell r="W36">
            <v>115.15735749788931</v>
          </cell>
          <cell r="X36">
            <v>822.55255355635211</v>
          </cell>
          <cell r="Y36">
            <v>246.76576606690566</v>
          </cell>
          <cell r="Z36">
            <v>0</v>
          </cell>
          <cell r="AA36">
            <v>263.2168171380327</v>
          </cell>
          <cell r="AB36">
            <v>246.76576606690566</v>
          </cell>
          <cell r="AC36">
            <v>213.86366392465155</v>
          </cell>
          <cell r="AD36">
            <v>0</v>
          </cell>
          <cell r="AE36">
            <v>0</v>
          </cell>
          <cell r="AF36">
            <v>0</v>
          </cell>
          <cell r="AG36">
            <v>411.27627677817605</v>
          </cell>
          <cell r="AH36">
            <v>0</v>
          </cell>
          <cell r="AI36">
            <v>0</v>
          </cell>
          <cell r="AJ36">
            <v>0</v>
          </cell>
        </row>
        <row r="37">
          <cell r="A37" t="str">
            <v>D</v>
          </cell>
          <cell r="B37">
            <v>350</v>
          </cell>
          <cell r="C37">
            <v>2</v>
          </cell>
          <cell r="D37">
            <v>7.4321407207516366</v>
          </cell>
          <cell r="E37">
            <v>66.00448782953238</v>
          </cell>
          <cell r="F37">
            <v>1.0617343886788051</v>
          </cell>
          <cell r="G37">
            <v>928.66367863106166</v>
          </cell>
          <cell r="H37">
            <v>218.18641687349447</v>
          </cell>
          <cell r="I37">
            <v>44.238932861616881</v>
          </cell>
          <cell r="J37">
            <v>18.226440338986155</v>
          </cell>
          <cell r="K37">
            <v>30.79029727168535</v>
          </cell>
          <cell r="L37">
            <v>46.36240163897449</v>
          </cell>
          <cell r="M37">
            <v>0</v>
          </cell>
          <cell r="N37">
            <v>0</v>
          </cell>
          <cell r="O37">
            <v>0</v>
          </cell>
          <cell r="P37">
            <v>173.4166168175382</v>
          </cell>
          <cell r="Q37">
            <v>1.5926015830182076</v>
          </cell>
          <cell r="R37">
            <v>0</v>
          </cell>
          <cell r="S37">
            <v>0</v>
          </cell>
          <cell r="U37">
            <v>389.30260918222854</v>
          </cell>
          <cell r="V37">
            <v>159.26015830182078</v>
          </cell>
          <cell r="W37">
            <v>35.391146289293502</v>
          </cell>
          <cell r="X37">
            <v>1327.1679858485065</v>
          </cell>
          <cell r="Y37">
            <v>70.782292578587004</v>
          </cell>
          <cell r="Z37">
            <v>88.477865723233762</v>
          </cell>
          <cell r="AA37">
            <v>53.08671943394026</v>
          </cell>
          <cell r="AB37">
            <v>513.17162119475586</v>
          </cell>
          <cell r="AC37">
            <v>654.73620635192992</v>
          </cell>
          <cell r="AD37">
            <v>0</v>
          </cell>
          <cell r="AE37">
            <v>0</v>
          </cell>
          <cell r="AF37">
            <v>0</v>
          </cell>
          <cell r="AG37">
            <v>353.91146289293505</v>
          </cell>
          <cell r="AH37">
            <v>17.695573144646751</v>
          </cell>
          <cell r="AI37">
            <v>0</v>
          </cell>
          <cell r="AJ37">
            <v>0</v>
          </cell>
        </row>
        <row r="38">
          <cell r="A38" t="str">
            <v>D</v>
          </cell>
          <cell r="B38">
            <v>450</v>
          </cell>
          <cell r="C38">
            <v>1</v>
          </cell>
          <cell r="D38">
            <v>0</v>
          </cell>
          <cell r="E38">
            <v>0</v>
          </cell>
          <cell r="F38">
            <v>0</v>
          </cell>
          <cell r="G38">
            <v>0</v>
          </cell>
          <cell r="H38">
            <v>0</v>
          </cell>
          <cell r="I38">
            <v>170.94870340684696</v>
          </cell>
          <cell r="J38">
            <v>54.444457041487247</v>
          </cell>
          <cell r="K38">
            <v>3.2735591259122074</v>
          </cell>
          <cell r="L38">
            <v>46.174412933919562</v>
          </cell>
          <cell r="M38">
            <v>0</v>
          </cell>
          <cell r="N38">
            <v>0</v>
          </cell>
          <cell r="O38">
            <v>0</v>
          </cell>
          <cell r="P38">
            <v>172.1202929887524</v>
          </cell>
          <cell r="Q38">
            <v>0</v>
          </cell>
          <cell r="R38">
            <v>0</v>
          </cell>
          <cell r="S38">
            <v>0</v>
          </cell>
          <cell r="U38">
            <v>0</v>
          </cell>
          <cell r="V38">
            <v>0</v>
          </cell>
          <cell r="W38">
            <v>0</v>
          </cell>
          <cell r="X38">
            <v>0</v>
          </cell>
          <cell r="Y38">
            <v>0</v>
          </cell>
          <cell r="Z38">
            <v>430.73146393581675</v>
          </cell>
          <cell r="AA38">
            <v>913.15070354393151</v>
          </cell>
          <cell r="AB38">
            <v>68.917034229730675</v>
          </cell>
          <cell r="AC38">
            <v>344.58517114865339</v>
          </cell>
          <cell r="AD38">
            <v>0</v>
          </cell>
          <cell r="AE38">
            <v>0</v>
          </cell>
          <cell r="AF38">
            <v>0</v>
          </cell>
          <cell r="AG38">
            <v>482.41923960811476</v>
          </cell>
          <cell r="AH38">
            <v>0</v>
          </cell>
          <cell r="AI38">
            <v>0</v>
          </cell>
          <cell r="AJ38">
            <v>0</v>
          </cell>
        </row>
        <row r="39">
          <cell r="A39" t="str">
            <v>D</v>
          </cell>
          <cell r="B39">
            <v>450</v>
          </cell>
          <cell r="C39">
            <v>2</v>
          </cell>
          <cell r="D39">
            <v>9.4757886338320246E-2</v>
          </cell>
          <cell r="E39">
            <v>0</v>
          </cell>
          <cell r="F39">
            <v>0</v>
          </cell>
          <cell r="G39">
            <v>25.584629311346468</v>
          </cell>
          <cell r="H39">
            <v>253.19307229599167</v>
          </cell>
          <cell r="I39">
            <v>536.424394561231</v>
          </cell>
          <cell r="J39">
            <v>183.83029949634127</v>
          </cell>
          <cell r="K39">
            <v>25.774145084023107</v>
          </cell>
          <cell r="L39">
            <v>44.536206579010518</v>
          </cell>
          <cell r="M39">
            <v>0</v>
          </cell>
          <cell r="N39">
            <v>0</v>
          </cell>
          <cell r="O39">
            <v>0</v>
          </cell>
          <cell r="P39">
            <v>33.165260218412087</v>
          </cell>
          <cell r="Q39">
            <v>27.290271265436228</v>
          </cell>
          <cell r="R39">
            <v>158.62470173034811</v>
          </cell>
          <cell r="S39">
            <v>0</v>
          </cell>
          <cell r="U39">
            <v>18.951577267664049</v>
          </cell>
          <cell r="V39">
            <v>0</v>
          </cell>
          <cell r="W39">
            <v>0</v>
          </cell>
          <cell r="X39">
            <v>37.903154535328099</v>
          </cell>
          <cell r="Y39">
            <v>94.757886338320247</v>
          </cell>
          <cell r="Z39">
            <v>1250.8040996658274</v>
          </cell>
          <cell r="AA39">
            <v>1193.9493678628351</v>
          </cell>
          <cell r="AB39">
            <v>227.41892721196859</v>
          </cell>
          <cell r="AC39">
            <v>303.22523628262479</v>
          </cell>
          <cell r="AD39">
            <v>0</v>
          </cell>
          <cell r="AE39">
            <v>0</v>
          </cell>
          <cell r="AF39">
            <v>0</v>
          </cell>
          <cell r="AG39">
            <v>113.7094636059843</v>
          </cell>
          <cell r="AH39">
            <v>18.951577267664049</v>
          </cell>
          <cell r="AI39">
            <v>75.806309070656198</v>
          </cell>
          <cell r="AJ39">
            <v>0</v>
          </cell>
        </row>
        <row r="40">
          <cell r="A40" t="str">
            <v>D</v>
          </cell>
          <cell r="B40">
            <v>550</v>
          </cell>
          <cell r="C40">
            <v>1</v>
          </cell>
          <cell r="D40">
            <v>0</v>
          </cell>
          <cell r="E40">
            <v>0</v>
          </cell>
          <cell r="F40">
            <v>0</v>
          </cell>
          <cell r="G40">
            <v>0</v>
          </cell>
          <cell r="H40">
            <v>0</v>
          </cell>
          <cell r="I40">
            <v>87.787815306601431</v>
          </cell>
          <cell r="J40">
            <v>254.11408275441377</v>
          </cell>
          <cell r="K40">
            <v>0</v>
          </cell>
          <cell r="L40">
            <v>0</v>
          </cell>
          <cell r="M40">
            <v>0</v>
          </cell>
          <cell r="N40">
            <v>0</v>
          </cell>
          <cell r="O40">
            <v>0</v>
          </cell>
          <cell r="P40">
            <v>388.63552247562001</v>
          </cell>
          <cell r="Q40">
            <v>0</v>
          </cell>
          <cell r="R40">
            <v>0</v>
          </cell>
          <cell r="S40">
            <v>0</v>
          </cell>
          <cell r="U40">
            <v>0</v>
          </cell>
          <cell r="V40">
            <v>0</v>
          </cell>
          <cell r="W40">
            <v>0</v>
          </cell>
          <cell r="X40">
            <v>0</v>
          </cell>
          <cell r="Y40">
            <v>0</v>
          </cell>
          <cell r="Z40">
            <v>227.17734090432904</v>
          </cell>
          <cell r="AA40">
            <v>4105.4190891996604</v>
          </cell>
          <cell r="AB40">
            <v>0</v>
          </cell>
          <cell r="AC40">
            <v>0</v>
          </cell>
          <cell r="AD40">
            <v>0</v>
          </cell>
          <cell r="AE40">
            <v>0</v>
          </cell>
          <cell r="AF40">
            <v>0</v>
          </cell>
          <cell r="AG40">
            <v>1070.9788928346941</v>
          </cell>
          <cell r="AH40">
            <v>0</v>
          </cell>
          <cell r="AI40">
            <v>0</v>
          </cell>
          <cell r="AJ40">
            <v>0</v>
          </cell>
        </row>
        <row r="41">
          <cell r="A41" t="str">
            <v>D</v>
          </cell>
          <cell r="B41">
            <v>650</v>
          </cell>
          <cell r="C41">
            <v>1</v>
          </cell>
          <cell r="D41">
            <v>0</v>
          </cell>
          <cell r="E41">
            <v>0</v>
          </cell>
          <cell r="F41">
            <v>0</v>
          </cell>
          <cell r="G41">
            <v>0</v>
          </cell>
          <cell r="H41">
            <v>0</v>
          </cell>
          <cell r="I41">
            <v>336.59283877122363</v>
          </cell>
          <cell r="J41">
            <v>42.29978969998519</v>
          </cell>
          <cell r="K41">
            <v>0</v>
          </cell>
          <cell r="L41">
            <v>0</v>
          </cell>
          <cell r="M41">
            <v>0</v>
          </cell>
          <cell r="N41">
            <v>0</v>
          </cell>
          <cell r="O41">
            <v>0</v>
          </cell>
          <cell r="P41">
            <v>0</v>
          </cell>
          <cell r="Q41">
            <v>0</v>
          </cell>
          <cell r="R41">
            <v>0</v>
          </cell>
          <cell r="S41">
            <v>0</v>
          </cell>
          <cell r="U41">
            <v>0</v>
          </cell>
          <cell r="V41">
            <v>0</v>
          </cell>
          <cell r="W41">
            <v>0</v>
          </cell>
          <cell r="X41">
            <v>0</v>
          </cell>
          <cell r="Y41">
            <v>0</v>
          </cell>
          <cell r="Z41">
            <v>696.3989767680489</v>
          </cell>
          <cell r="AA41">
            <v>747.98408615827475</v>
          </cell>
          <cell r="AB41">
            <v>0</v>
          </cell>
          <cell r="AC41">
            <v>0</v>
          </cell>
          <cell r="AD41">
            <v>0</v>
          </cell>
          <cell r="AE41">
            <v>0</v>
          </cell>
          <cell r="AF41">
            <v>0</v>
          </cell>
          <cell r="AG41">
            <v>0</v>
          </cell>
          <cell r="AH41">
            <v>0</v>
          </cell>
          <cell r="AI41">
            <v>0</v>
          </cell>
          <cell r="AJ41">
            <v>0</v>
          </cell>
        </row>
        <row r="42">
          <cell r="A42" t="str">
            <v>D</v>
          </cell>
          <cell r="B42">
            <v>750</v>
          </cell>
          <cell r="C42">
            <v>1</v>
          </cell>
          <cell r="D42">
            <v>0</v>
          </cell>
          <cell r="E42">
            <v>0</v>
          </cell>
          <cell r="F42">
            <v>0</v>
          </cell>
          <cell r="G42">
            <v>0</v>
          </cell>
          <cell r="H42">
            <v>0</v>
          </cell>
          <cell r="I42">
            <v>1023.7743766956426</v>
          </cell>
          <cell r="J42">
            <v>114.1007281719357</v>
          </cell>
          <cell r="K42">
            <v>0</v>
          </cell>
          <cell r="L42">
            <v>0</v>
          </cell>
          <cell r="M42">
            <v>0</v>
          </cell>
          <cell r="N42">
            <v>0</v>
          </cell>
          <cell r="O42">
            <v>29.084499337944393</v>
          </cell>
          <cell r="P42">
            <v>0</v>
          </cell>
          <cell r="Q42">
            <v>0</v>
          </cell>
          <cell r="R42">
            <v>0</v>
          </cell>
          <cell r="S42">
            <v>0</v>
          </cell>
          <cell r="U42">
            <v>0</v>
          </cell>
          <cell r="V42">
            <v>0</v>
          </cell>
          <cell r="W42">
            <v>0</v>
          </cell>
          <cell r="X42">
            <v>0</v>
          </cell>
          <cell r="Y42">
            <v>0</v>
          </cell>
          <cell r="Z42">
            <v>2326.7599470355512</v>
          </cell>
          <cell r="AA42">
            <v>447.4538359683753</v>
          </cell>
          <cell r="AB42">
            <v>0</v>
          </cell>
          <cell r="AC42">
            <v>0</v>
          </cell>
          <cell r="AD42">
            <v>0</v>
          </cell>
          <cell r="AE42">
            <v>0</v>
          </cell>
          <cell r="AF42">
            <v>89.490767193675055</v>
          </cell>
          <cell r="AG42">
            <v>0</v>
          </cell>
          <cell r="AH42">
            <v>0</v>
          </cell>
          <cell r="AI42">
            <v>0</v>
          </cell>
          <cell r="AJ42">
            <v>0</v>
          </cell>
        </row>
        <row r="43">
          <cell r="A43" t="str">
            <v>D</v>
          </cell>
          <cell r="B43">
            <v>900</v>
          </cell>
          <cell r="C43">
            <v>1</v>
          </cell>
          <cell r="D43">
            <v>0</v>
          </cell>
          <cell r="E43">
            <v>0</v>
          </cell>
          <cell r="F43">
            <v>0</v>
          </cell>
          <cell r="G43">
            <v>0</v>
          </cell>
          <cell r="H43">
            <v>0</v>
          </cell>
          <cell r="I43">
            <v>1550.4218782157629</v>
          </cell>
          <cell r="J43">
            <v>48.560648931860023</v>
          </cell>
          <cell r="K43">
            <v>0</v>
          </cell>
          <cell r="L43">
            <v>0</v>
          </cell>
          <cell r="M43">
            <v>0</v>
          </cell>
          <cell r="N43">
            <v>0</v>
          </cell>
          <cell r="O43">
            <v>87.972190093949322</v>
          </cell>
          <cell r="P43">
            <v>0</v>
          </cell>
          <cell r="Q43">
            <v>0</v>
          </cell>
          <cell r="R43">
            <v>0</v>
          </cell>
          <cell r="S43">
            <v>0</v>
          </cell>
          <cell r="U43">
            <v>0</v>
          </cell>
          <cell r="V43">
            <v>0</v>
          </cell>
          <cell r="W43">
            <v>0</v>
          </cell>
          <cell r="X43">
            <v>0</v>
          </cell>
          <cell r="Y43">
            <v>0</v>
          </cell>
          <cell r="Z43">
            <v>2603.9768267809</v>
          </cell>
          <cell r="AA43">
            <v>492.64426452611616</v>
          </cell>
          <cell r="AB43">
            <v>0</v>
          </cell>
          <cell r="AC43">
            <v>0</v>
          </cell>
          <cell r="AD43">
            <v>0</v>
          </cell>
          <cell r="AE43">
            <v>0</v>
          </cell>
          <cell r="AF43">
            <v>140.7555041503189</v>
          </cell>
          <cell r="AG43">
            <v>0</v>
          </cell>
          <cell r="AH43">
            <v>0</v>
          </cell>
          <cell r="AI43">
            <v>0</v>
          </cell>
          <cell r="AJ43">
            <v>0</v>
          </cell>
        </row>
        <row r="44">
          <cell r="A44" t="str">
            <v>E</v>
          </cell>
          <cell r="B44">
            <v>150</v>
          </cell>
          <cell r="C44">
            <v>1</v>
          </cell>
          <cell r="D44">
            <v>0.41923684705623393</v>
          </cell>
          <cell r="E44">
            <v>0</v>
          </cell>
          <cell r="F44">
            <v>0</v>
          </cell>
          <cell r="G44">
            <v>0</v>
          </cell>
          <cell r="H44">
            <v>0</v>
          </cell>
          <cell r="I44">
            <v>0</v>
          </cell>
          <cell r="J44">
            <v>0</v>
          </cell>
          <cell r="K44">
            <v>0</v>
          </cell>
          <cell r="L44">
            <v>0</v>
          </cell>
          <cell r="M44">
            <v>14.67328964696819</v>
          </cell>
          <cell r="N44">
            <v>0</v>
          </cell>
          <cell r="O44">
            <v>0</v>
          </cell>
          <cell r="P44">
            <v>0</v>
          </cell>
          <cell r="Q44">
            <v>0</v>
          </cell>
          <cell r="R44">
            <v>0</v>
          </cell>
          <cell r="S44">
            <v>19.284894964586762</v>
          </cell>
          <cell r="U44">
            <v>20.961842352811697</v>
          </cell>
          <cell r="V44">
            <v>0</v>
          </cell>
          <cell r="W44">
            <v>0</v>
          </cell>
          <cell r="X44">
            <v>0</v>
          </cell>
          <cell r="Y44">
            <v>0</v>
          </cell>
          <cell r="Z44">
            <v>0</v>
          </cell>
          <cell r="AA44">
            <v>0</v>
          </cell>
          <cell r="AB44">
            <v>0</v>
          </cell>
          <cell r="AC44">
            <v>0</v>
          </cell>
          <cell r="AD44">
            <v>41.923684705623394</v>
          </cell>
          <cell r="AE44">
            <v>0</v>
          </cell>
          <cell r="AF44">
            <v>0</v>
          </cell>
          <cell r="AG44">
            <v>0</v>
          </cell>
          <cell r="AH44">
            <v>0</v>
          </cell>
          <cell r="AI44">
            <v>0</v>
          </cell>
          <cell r="AJ44">
            <v>41.923684705623394</v>
          </cell>
        </row>
        <row r="45">
          <cell r="A45" t="str">
            <v>E</v>
          </cell>
          <cell r="B45">
            <v>250</v>
          </cell>
          <cell r="C45">
            <v>1</v>
          </cell>
          <cell r="D45">
            <v>302.52120211275781</v>
          </cell>
          <cell r="E45">
            <v>42.14388236776</v>
          </cell>
          <cell r="F45">
            <v>509.48360118233893</v>
          </cell>
          <cell r="G45">
            <v>33.486418160429452</v>
          </cell>
          <cell r="H45">
            <v>0</v>
          </cell>
          <cell r="I45">
            <v>0</v>
          </cell>
          <cell r="J45">
            <v>2.4502257190558137</v>
          </cell>
          <cell r="K45">
            <v>6.4522610601803096</v>
          </cell>
          <cell r="L45">
            <v>5.2271482006524028</v>
          </cell>
          <cell r="M45">
            <v>0</v>
          </cell>
          <cell r="N45">
            <v>0</v>
          </cell>
          <cell r="O45">
            <v>0</v>
          </cell>
          <cell r="P45">
            <v>16.498186508309146</v>
          </cell>
          <cell r="Q45">
            <v>0</v>
          </cell>
          <cell r="R45">
            <v>0</v>
          </cell>
          <cell r="S45">
            <v>0</v>
          </cell>
          <cell r="U45">
            <v>17363.932929042199</v>
          </cell>
          <cell r="V45">
            <v>212.35289565150387</v>
          </cell>
          <cell r="W45">
            <v>17510.946472185551</v>
          </cell>
          <cell r="X45">
            <v>65.339352508155031</v>
          </cell>
          <cell r="Y45">
            <v>0</v>
          </cell>
          <cell r="Z45">
            <v>0</v>
          </cell>
          <cell r="AA45">
            <v>163.34838127038759</v>
          </cell>
          <cell r="AB45">
            <v>359.36643879485268</v>
          </cell>
          <cell r="AC45">
            <v>261.35741003262012</v>
          </cell>
          <cell r="AD45">
            <v>0</v>
          </cell>
          <cell r="AE45">
            <v>0</v>
          </cell>
          <cell r="AF45">
            <v>0</v>
          </cell>
          <cell r="AG45">
            <v>163.34838127038759</v>
          </cell>
          <cell r="AH45">
            <v>0</v>
          </cell>
          <cell r="AI45">
            <v>0</v>
          </cell>
          <cell r="AJ45">
            <v>0</v>
          </cell>
        </row>
        <row r="46">
          <cell r="A46" t="str">
            <v>E</v>
          </cell>
          <cell r="B46">
            <v>350</v>
          </cell>
          <cell r="C46">
            <v>1</v>
          </cell>
          <cell r="D46">
            <v>0</v>
          </cell>
          <cell r="E46">
            <v>18.920766656710022</v>
          </cell>
          <cell r="F46">
            <v>0</v>
          </cell>
          <cell r="G46">
            <v>121.02150748348485</v>
          </cell>
          <cell r="H46">
            <v>49.622388024201754</v>
          </cell>
          <cell r="I46">
            <v>72.113110653875935</v>
          </cell>
          <cell r="J46">
            <v>33.914581743159474</v>
          </cell>
          <cell r="K46">
            <v>6.604418549983686</v>
          </cell>
          <cell r="L46">
            <v>19.81325564995106</v>
          </cell>
          <cell r="M46">
            <v>0</v>
          </cell>
          <cell r="N46">
            <v>0</v>
          </cell>
          <cell r="O46">
            <v>0</v>
          </cell>
          <cell r="P46">
            <v>3.5699559729641552</v>
          </cell>
          <cell r="Q46">
            <v>0</v>
          </cell>
          <cell r="R46">
            <v>0</v>
          </cell>
          <cell r="S46">
            <v>0</v>
          </cell>
          <cell r="U46">
            <v>0</v>
          </cell>
          <cell r="V46">
            <v>53.549339594462324</v>
          </cell>
          <cell r="W46">
            <v>0</v>
          </cell>
          <cell r="X46">
            <v>178.49779864820775</v>
          </cell>
          <cell r="Y46">
            <v>17.849779864820775</v>
          </cell>
          <cell r="Z46">
            <v>124.94845905374542</v>
          </cell>
          <cell r="AA46">
            <v>571.19295567426479</v>
          </cell>
          <cell r="AB46">
            <v>71.399119459283099</v>
          </cell>
          <cell r="AC46">
            <v>107.09867918892465</v>
          </cell>
          <cell r="AD46">
            <v>0</v>
          </cell>
          <cell r="AE46">
            <v>0</v>
          </cell>
          <cell r="AF46">
            <v>0</v>
          </cell>
          <cell r="AG46">
            <v>17.849779864820775</v>
          </cell>
          <cell r="AH46">
            <v>0</v>
          </cell>
          <cell r="AI46">
            <v>0</v>
          </cell>
          <cell r="AJ46">
            <v>0</v>
          </cell>
        </row>
        <row r="47">
          <cell r="A47" t="str">
            <v>E</v>
          </cell>
          <cell r="B47">
            <v>450</v>
          </cell>
          <cell r="C47">
            <v>1</v>
          </cell>
          <cell r="D47">
            <v>0</v>
          </cell>
          <cell r="E47">
            <v>14.021859155006078</v>
          </cell>
          <cell r="F47">
            <v>0</v>
          </cell>
          <cell r="G47">
            <v>7.8973689493712396</v>
          </cell>
          <cell r="H47">
            <v>0</v>
          </cell>
          <cell r="I47">
            <v>306.30509567918455</v>
          </cell>
          <cell r="J47">
            <v>43.999627003639766</v>
          </cell>
          <cell r="K47">
            <v>83.325300955610828</v>
          </cell>
          <cell r="L47">
            <v>32.556500566795727</v>
          </cell>
          <cell r="M47">
            <v>0</v>
          </cell>
          <cell r="N47">
            <v>8.0585397442563669E-2</v>
          </cell>
          <cell r="O47">
            <v>0</v>
          </cell>
          <cell r="P47">
            <v>29.816597053748559</v>
          </cell>
          <cell r="Q47">
            <v>0</v>
          </cell>
          <cell r="R47">
            <v>0</v>
          </cell>
          <cell r="S47">
            <v>0</v>
          </cell>
          <cell r="U47">
            <v>0</v>
          </cell>
          <cell r="V47">
            <v>16.117079488512733</v>
          </cell>
          <cell r="W47">
            <v>0</v>
          </cell>
          <cell r="X47">
            <v>16.117079488512733</v>
          </cell>
          <cell r="Y47">
            <v>0</v>
          </cell>
          <cell r="Z47">
            <v>660.80025902902219</v>
          </cell>
          <cell r="AA47">
            <v>854.20521289117494</v>
          </cell>
          <cell r="AB47">
            <v>547.98070260943302</v>
          </cell>
          <cell r="AC47">
            <v>128.93663590810186</v>
          </cell>
          <cell r="AD47">
            <v>0</v>
          </cell>
          <cell r="AE47">
            <v>16.117079488512733</v>
          </cell>
          <cell r="AF47">
            <v>0</v>
          </cell>
          <cell r="AG47">
            <v>96.702476931076404</v>
          </cell>
          <cell r="AH47">
            <v>0</v>
          </cell>
          <cell r="AI47">
            <v>0</v>
          </cell>
          <cell r="AJ47">
            <v>0</v>
          </cell>
        </row>
        <row r="48">
          <cell r="A48" t="str">
            <v>E</v>
          </cell>
          <cell r="B48">
            <v>550</v>
          </cell>
          <cell r="C48">
            <v>1</v>
          </cell>
          <cell r="D48">
            <v>0</v>
          </cell>
          <cell r="E48">
            <v>0</v>
          </cell>
          <cell r="F48">
            <v>0</v>
          </cell>
          <cell r="G48">
            <v>0</v>
          </cell>
          <cell r="H48">
            <v>0</v>
          </cell>
          <cell r="I48">
            <v>80.084764937451212</v>
          </cell>
          <cell r="J48">
            <v>105.74633477762376</v>
          </cell>
          <cell r="K48">
            <v>2.4111542131705743</v>
          </cell>
          <cell r="L48">
            <v>6.3723361348079459</v>
          </cell>
          <cell r="M48">
            <v>0</v>
          </cell>
          <cell r="N48">
            <v>9.8168421536230532</v>
          </cell>
          <cell r="O48">
            <v>8.7834903479785211</v>
          </cell>
          <cell r="P48">
            <v>294.16081400681009</v>
          </cell>
          <cell r="Q48">
            <v>0</v>
          </cell>
          <cell r="R48">
            <v>152.07494073068693</v>
          </cell>
          <cell r="S48">
            <v>0</v>
          </cell>
          <cell r="U48">
            <v>0</v>
          </cell>
          <cell r="V48">
            <v>0</v>
          </cell>
          <cell r="W48">
            <v>0</v>
          </cell>
          <cell r="X48">
            <v>0</v>
          </cell>
          <cell r="Y48">
            <v>0</v>
          </cell>
          <cell r="Z48">
            <v>172.22530094075529</v>
          </cell>
          <cell r="AA48">
            <v>2979.4977062750668</v>
          </cell>
          <cell r="AB48">
            <v>17.22253009407553</v>
          </cell>
          <cell r="AC48">
            <v>17.22253009407553</v>
          </cell>
          <cell r="AD48">
            <v>0</v>
          </cell>
          <cell r="AE48">
            <v>120.55771065852872</v>
          </cell>
          <cell r="AF48">
            <v>120.55771065852872</v>
          </cell>
          <cell r="AG48">
            <v>1085.0193959267585</v>
          </cell>
          <cell r="AH48">
            <v>0</v>
          </cell>
          <cell r="AI48">
            <v>86.112650470377659</v>
          </cell>
          <cell r="AJ48">
            <v>0</v>
          </cell>
        </row>
        <row r="49">
          <cell r="A49" t="str">
            <v>E</v>
          </cell>
          <cell r="B49">
            <v>650</v>
          </cell>
          <cell r="C49">
            <v>1</v>
          </cell>
          <cell r="D49">
            <v>0</v>
          </cell>
          <cell r="E49">
            <v>0</v>
          </cell>
          <cell r="F49">
            <v>0</v>
          </cell>
          <cell r="G49">
            <v>0</v>
          </cell>
          <cell r="H49">
            <v>0</v>
          </cell>
          <cell r="I49">
            <v>313.90309933070944</v>
          </cell>
          <cell r="J49">
            <v>44.159249566862513</v>
          </cell>
          <cell r="K49">
            <v>0</v>
          </cell>
          <cell r="L49">
            <v>0</v>
          </cell>
          <cell r="M49">
            <v>0</v>
          </cell>
          <cell r="N49">
            <v>1.0640783028159644</v>
          </cell>
          <cell r="O49">
            <v>14.631076663719512</v>
          </cell>
          <cell r="P49">
            <v>23.675742237655207</v>
          </cell>
          <cell r="Q49">
            <v>0</v>
          </cell>
          <cell r="R49">
            <v>0</v>
          </cell>
          <cell r="S49">
            <v>0</v>
          </cell>
          <cell r="U49">
            <v>0</v>
          </cell>
          <cell r="V49">
            <v>0</v>
          </cell>
          <cell r="W49">
            <v>0</v>
          </cell>
          <cell r="X49">
            <v>0</v>
          </cell>
          <cell r="Y49">
            <v>0</v>
          </cell>
          <cell r="Z49">
            <v>718.25285440077596</v>
          </cell>
          <cell r="AA49">
            <v>1037.4763452455652</v>
          </cell>
          <cell r="AB49">
            <v>0</v>
          </cell>
          <cell r="AC49">
            <v>0</v>
          </cell>
          <cell r="AD49">
            <v>0</v>
          </cell>
          <cell r="AE49">
            <v>53.203915140798216</v>
          </cell>
          <cell r="AF49">
            <v>106.40783028159643</v>
          </cell>
          <cell r="AG49">
            <v>79.805872711197324</v>
          </cell>
          <cell r="AH49">
            <v>0</v>
          </cell>
          <cell r="AI49">
            <v>0</v>
          </cell>
          <cell r="AJ49">
            <v>0</v>
          </cell>
        </row>
        <row r="50">
          <cell r="A50" t="str">
            <v>E</v>
          </cell>
          <cell r="B50">
            <v>750</v>
          </cell>
          <cell r="C50">
            <v>1</v>
          </cell>
          <cell r="D50">
            <v>0</v>
          </cell>
          <cell r="E50">
            <v>0</v>
          </cell>
          <cell r="F50">
            <v>0</v>
          </cell>
          <cell r="G50">
            <v>0</v>
          </cell>
          <cell r="H50">
            <v>0</v>
          </cell>
          <cell r="I50">
            <v>917.89725280479774</v>
          </cell>
          <cell r="J50">
            <v>83.58399100384645</v>
          </cell>
          <cell r="K50">
            <v>0</v>
          </cell>
          <cell r="L50">
            <v>0</v>
          </cell>
          <cell r="M50">
            <v>0</v>
          </cell>
          <cell r="N50">
            <v>7.2515791281875916</v>
          </cell>
          <cell r="O50">
            <v>78.240722172550321</v>
          </cell>
          <cell r="P50">
            <v>0</v>
          </cell>
          <cell r="Q50">
            <v>0</v>
          </cell>
          <cell r="R50">
            <v>0</v>
          </cell>
          <cell r="S50">
            <v>0</v>
          </cell>
          <cell r="U50">
            <v>0</v>
          </cell>
          <cell r="V50">
            <v>0</v>
          </cell>
          <cell r="W50">
            <v>0</v>
          </cell>
          <cell r="X50">
            <v>0</v>
          </cell>
          <cell r="Y50">
            <v>0</v>
          </cell>
          <cell r="Z50">
            <v>2328.138562207595</v>
          </cell>
          <cell r="AA50">
            <v>305.32964750263545</v>
          </cell>
          <cell r="AB50">
            <v>0</v>
          </cell>
          <cell r="AC50">
            <v>0</v>
          </cell>
          <cell r="AD50">
            <v>0</v>
          </cell>
          <cell r="AE50">
            <v>38.166205937829432</v>
          </cell>
          <cell r="AF50">
            <v>152.66482375131773</v>
          </cell>
          <cell r="AG50">
            <v>0</v>
          </cell>
          <cell r="AH50">
            <v>0</v>
          </cell>
          <cell r="AI50">
            <v>0</v>
          </cell>
          <cell r="AJ50">
            <v>0</v>
          </cell>
        </row>
        <row r="51">
          <cell r="A51" t="str">
            <v>E</v>
          </cell>
          <cell r="B51">
            <v>900</v>
          </cell>
          <cell r="C51">
            <v>1</v>
          </cell>
          <cell r="D51">
            <v>0</v>
          </cell>
          <cell r="E51">
            <v>0</v>
          </cell>
          <cell r="F51">
            <v>0</v>
          </cell>
          <cell r="G51">
            <v>0</v>
          </cell>
          <cell r="H51">
            <v>0</v>
          </cell>
          <cell r="I51">
            <v>990.56528693374275</v>
          </cell>
          <cell r="J51">
            <v>75.048089083720939</v>
          </cell>
          <cell r="K51">
            <v>0</v>
          </cell>
          <cell r="L51">
            <v>0</v>
          </cell>
          <cell r="M51">
            <v>0</v>
          </cell>
          <cell r="N51">
            <v>0</v>
          </cell>
          <cell r="O51">
            <v>0</v>
          </cell>
          <cell r="P51">
            <v>0</v>
          </cell>
          <cell r="Q51">
            <v>0</v>
          </cell>
          <cell r="R51">
            <v>0</v>
          </cell>
          <cell r="S51">
            <v>0</v>
          </cell>
          <cell r="U51">
            <v>0</v>
          </cell>
          <cell r="V51">
            <v>0</v>
          </cell>
          <cell r="W51">
            <v>0</v>
          </cell>
          <cell r="X51">
            <v>0</v>
          </cell>
          <cell r="Y51">
            <v>0</v>
          </cell>
          <cell r="Z51">
            <v>1737.2242843453923</v>
          </cell>
          <cell r="AA51">
            <v>521.16728530361775</v>
          </cell>
          <cell r="AB51">
            <v>0</v>
          </cell>
          <cell r="AC51">
            <v>0</v>
          </cell>
          <cell r="AD51">
            <v>0</v>
          </cell>
          <cell r="AE51">
            <v>0</v>
          </cell>
          <cell r="AF51">
            <v>0</v>
          </cell>
          <cell r="AG51">
            <v>0</v>
          </cell>
          <cell r="AH51">
            <v>0</v>
          </cell>
          <cell r="AI51">
            <v>0</v>
          </cell>
          <cell r="AJ51">
            <v>0</v>
          </cell>
        </row>
        <row r="52">
          <cell r="A52" t="str">
            <v>F</v>
          </cell>
          <cell r="B52">
            <v>150</v>
          </cell>
          <cell r="C52">
            <v>1</v>
          </cell>
          <cell r="D52">
            <v>0</v>
          </cell>
          <cell r="E52">
            <v>0</v>
          </cell>
          <cell r="F52">
            <v>0</v>
          </cell>
          <cell r="G52">
            <v>0</v>
          </cell>
          <cell r="H52">
            <v>0</v>
          </cell>
          <cell r="I52">
            <v>0</v>
          </cell>
          <cell r="J52">
            <v>0</v>
          </cell>
          <cell r="K52">
            <v>0</v>
          </cell>
          <cell r="L52">
            <v>0</v>
          </cell>
          <cell r="M52">
            <v>90.157609298308387</v>
          </cell>
          <cell r="N52">
            <v>0</v>
          </cell>
          <cell r="O52">
            <v>0</v>
          </cell>
          <cell r="P52">
            <v>0</v>
          </cell>
          <cell r="Q52">
            <v>0</v>
          </cell>
          <cell r="R52">
            <v>0</v>
          </cell>
          <cell r="S52">
            <v>1.3779547272667223</v>
          </cell>
          <cell r="U52">
            <v>0</v>
          </cell>
          <cell r="V52">
            <v>0</v>
          </cell>
          <cell r="W52">
            <v>0</v>
          </cell>
          <cell r="X52">
            <v>0</v>
          </cell>
          <cell r="Y52">
            <v>0</v>
          </cell>
          <cell r="Z52">
            <v>0</v>
          </cell>
          <cell r="AA52">
            <v>0</v>
          </cell>
          <cell r="AB52">
            <v>0</v>
          </cell>
          <cell r="AC52">
            <v>0</v>
          </cell>
          <cell r="AD52">
            <v>708.66243116574276</v>
          </cell>
          <cell r="AE52">
            <v>0</v>
          </cell>
          <cell r="AF52">
            <v>0</v>
          </cell>
          <cell r="AG52">
            <v>0</v>
          </cell>
          <cell r="AH52">
            <v>0</v>
          </cell>
          <cell r="AI52">
            <v>0</v>
          </cell>
          <cell r="AJ52">
            <v>39.370135064763488</v>
          </cell>
        </row>
        <row r="53">
          <cell r="A53" t="str">
            <v>F</v>
          </cell>
          <cell r="B53">
            <v>250</v>
          </cell>
          <cell r="C53">
            <v>1</v>
          </cell>
          <cell r="D53">
            <v>364.45877489578476</v>
          </cell>
          <cell r="E53">
            <v>64.103657171127068</v>
          </cell>
          <cell r="F53">
            <v>1578.6238898017314</v>
          </cell>
          <cell r="G53">
            <v>237.39277195717088</v>
          </cell>
          <cell r="H53">
            <v>0</v>
          </cell>
          <cell r="I53">
            <v>0</v>
          </cell>
          <cell r="J53">
            <v>15.027266814596555</v>
          </cell>
          <cell r="K53">
            <v>4.3750270472876043</v>
          </cell>
          <cell r="L53">
            <v>5.1359013163811005</v>
          </cell>
          <cell r="M53">
            <v>4.5652456145609781</v>
          </cell>
          <cell r="N53">
            <v>0</v>
          </cell>
          <cell r="O53">
            <v>0</v>
          </cell>
          <cell r="P53">
            <v>103.09846346216875</v>
          </cell>
          <cell r="Q53">
            <v>1.1413114036402445</v>
          </cell>
          <cell r="R53">
            <v>0</v>
          </cell>
          <cell r="S53">
            <v>0</v>
          </cell>
          <cell r="U53">
            <v>17043.583627694319</v>
          </cell>
          <cell r="V53">
            <v>247.28413745538631</v>
          </cell>
          <cell r="W53">
            <v>39983.942840863238</v>
          </cell>
          <cell r="X53">
            <v>513.59013163811005</v>
          </cell>
          <cell r="Y53">
            <v>0</v>
          </cell>
          <cell r="Z53">
            <v>0</v>
          </cell>
          <cell r="AA53">
            <v>722.83055563882158</v>
          </cell>
          <cell r="AB53">
            <v>190.21856727337411</v>
          </cell>
          <cell r="AC53">
            <v>228.26228072804892</v>
          </cell>
          <cell r="AD53">
            <v>19.021856727337408</v>
          </cell>
          <cell r="AE53">
            <v>0</v>
          </cell>
          <cell r="AF53">
            <v>0</v>
          </cell>
          <cell r="AG53">
            <v>2016.3168130977654</v>
          </cell>
          <cell r="AH53">
            <v>19.021856727337408</v>
          </cell>
          <cell r="AI53">
            <v>0</v>
          </cell>
          <cell r="AJ53">
            <v>0</v>
          </cell>
        </row>
        <row r="54">
          <cell r="A54" t="str">
            <v>F</v>
          </cell>
          <cell r="B54">
            <v>350</v>
          </cell>
          <cell r="C54">
            <v>1</v>
          </cell>
          <cell r="D54">
            <v>0</v>
          </cell>
          <cell r="E54">
            <v>18.121672347809028</v>
          </cell>
          <cell r="F54">
            <v>0</v>
          </cell>
          <cell r="G54">
            <v>284.71575936145319</v>
          </cell>
          <cell r="H54">
            <v>162.53458703705007</v>
          </cell>
          <cell r="I54">
            <v>0</v>
          </cell>
          <cell r="J54">
            <v>3.7364272882080471</v>
          </cell>
          <cell r="K54">
            <v>3.9232486526184491</v>
          </cell>
          <cell r="L54">
            <v>70.431654382721689</v>
          </cell>
          <cell r="M54">
            <v>0</v>
          </cell>
          <cell r="N54">
            <v>0</v>
          </cell>
          <cell r="O54">
            <v>0</v>
          </cell>
          <cell r="P54">
            <v>15.506173246063396</v>
          </cell>
          <cell r="Q54">
            <v>0</v>
          </cell>
          <cell r="R54">
            <v>0</v>
          </cell>
          <cell r="S54">
            <v>0</v>
          </cell>
          <cell r="U54">
            <v>0</v>
          </cell>
          <cell r="V54">
            <v>18.682136441040235</v>
          </cell>
          <cell r="W54">
            <v>0</v>
          </cell>
          <cell r="X54">
            <v>523.09982034912662</v>
          </cell>
          <cell r="Y54">
            <v>56.046409323120706</v>
          </cell>
          <cell r="Z54">
            <v>0</v>
          </cell>
          <cell r="AA54">
            <v>186.82136441040234</v>
          </cell>
          <cell r="AB54">
            <v>37.364272882080471</v>
          </cell>
          <cell r="AC54">
            <v>298.91418305664376</v>
          </cell>
          <cell r="AD54">
            <v>0</v>
          </cell>
          <cell r="AE54">
            <v>0</v>
          </cell>
          <cell r="AF54">
            <v>0</v>
          </cell>
          <cell r="AG54">
            <v>168.13922796936211</v>
          </cell>
          <cell r="AH54">
            <v>0</v>
          </cell>
          <cell r="AI54">
            <v>0</v>
          </cell>
          <cell r="AJ54">
            <v>0</v>
          </cell>
        </row>
        <row r="55">
          <cell r="A55" t="str">
            <v>F</v>
          </cell>
          <cell r="B55">
            <v>450</v>
          </cell>
          <cell r="C55">
            <v>1</v>
          </cell>
          <cell r="D55">
            <v>0</v>
          </cell>
          <cell r="E55">
            <v>0</v>
          </cell>
          <cell r="F55">
            <v>0</v>
          </cell>
          <cell r="G55">
            <v>12.340766404643681</v>
          </cell>
          <cell r="H55">
            <v>0</v>
          </cell>
          <cell r="I55">
            <v>6.731327129805643</v>
          </cell>
          <cell r="J55">
            <v>49.924009546058521</v>
          </cell>
          <cell r="K55">
            <v>2.4307570190964825</v>
          </cell>
          <cell r="L55">
            <v>87.507252687473354</v>
          </cell>
          <cell r="M55">
            <v>0</v>
          </cell>
          <cell r="N55">
            <v>0</v>
          </cell>
          <cell r="O55">
            <v>0.18698130916126787</v>
          </cell>
          <cell r="P55">
            <v>471.94082432304015</v>
          </cell>
          <cell r="Q55">
            <v>0</v>
          </cell>
          <cell r="R55">
            <v>0</v>
          </cell>
          <cell r="S55">
            <v>0</v>
          </cell>
          <cell r="U55">
            <v>0</v>
          </cell>
          <cell r="V55">
            <v>0</v>
          </cell>
          <cell r="W55">
            <v>0</v>
          </cell>
          <cell r="X55">
            <v>18.698130916126786</v>
          </cell>
          <cell r="Y55">
            <v>0</v>
          </cell>
          <cell r="Z55">
            <v>18.698130916126786</v>
          </cell>
          <cell r="AA55">
            <v>1720.2280442836645</v>
          </cell>
          <cell r="AB55">
            <v>18.698130916126786</v>
          </cell>
          <cell r="AC55">
            <v>280.47196374190179</v>
          </cell>
          <cell r="AD55">
            <v>0</v>
          </cell>
          <cell r="AE55">
            <v>0</v>
          </cell>
          <cell r="AF55">
            <v>18.698130916126786</v>
          </cell>
          <cell r="AG55">
            <v>3590.0411358963433</v>
          </cell>
          <cell r="AH55">
            <v>0</v>
          </cell>
          <cell r="AI55">
            <v>0</v>
          </cell>
          <cell r="AJ55">
            <v>0</v>
          </cell>
        </row>
        <row r="56">
          <cell r="A56" t="str">
            <v>F</v>
          </cell>
          <cell r="B56">
            <v>550</v>
          </cell>
          <cell r="C56">
            <v>1</v>
          </cell>
          <cell r="D56">
            <v>0</v>
          </cell>
          <cell r="E56">
            <v>0</v>
          </cell>
          <cell r="F56">
            <v>0</v>
          </cell>
          <cell r="G56">
            <v>0</v>
          </cell>
          <cell r="H56">
            <v>0</v>
          </cell>
          <cell r="I56">
            <v>42.938041479731474</v>
          </cell>
          <cell r="J56">
            <v>36.828970537493262</v>
          </cell>
          <cell r="K56">
            <v>0</v>
          </cell>
          <cell r="L56">
            <v>0</v>
          </cell>
          <cell r="M56">
            <v>0</v>
          </cell>
          <cell r="N56">
            <v>33.861707508406127</v>
          </cell>
          <cell r="O56">
            <v>414.3695547678152</v>
          </cell>
          <cell r="P56">
            <v>59.519805465806648</v>
          </cell>
          <cell r="Q56">
            <v>0</v>
          </cell>
          <cell r="R56">
            <v>0</v>
          </cell>
          <cell r="S56">
            <v>0</v>
          </cell>
          <cell r="U56">
            <v>0</v>
          </cell>
          <cell r="V56">
            <v>0</v>
          </cell>
          <cell r="W56">
            <v>0</v>
          </cell>
          <cell r="X56">
            <v>0</v>
          </cell>
          <cell r="Y56">
            <v>0</v>
          </cell>
          <cell r="Z56">
            <v>122.18141884476438</v>
          </cell>
          <cell r="AA56">
            <v>1012.3603275709048</v>
          </cell>
          <cell r="AB56">
            <v>0</v>
          </cell>
          <cell r="AC56">
            <v>0</v>
          </cell>
          <cell r="AD56">
            <v>0</v>
          </cell>
          <cell r="AE56">
            <v>296.72630290871348</v>
          </cell>
          <cell r="AF56">
            <v>645.81607103661167</v>
          </cell>
          <cell r="AG56">
            <v>157.09039565755418</v>
          </cell>
          <cell r="AH56">
            <v>0</v>
          </cell>
          <cell r="AI56">
            <v>0</v>
          </cell>
          <cell r="AJ56">
            <v>0</v>
          </cell>
        </row>
        <row r="57">
          <cell r="A57" t="str">
            <v>F</v>
          </cell>
          <cell r="B57">
            <v>650</v>
          </cell>
          <cell r="C57">
            <v>1</v>
          </cell>
          <cell r="D57">
            <v>0</v>
          </cell>
          <cell r="E57">
            <v>0</v>
          </cell>
          <cell r="F57">
            <v>0</v>
          </cell>
          <cell r="G57">
            <v>0</v>
          </cell>
          <cell r="H57">
            <v>0</v>
          </cell>
          <cell r="I57">
            <v>175.69830667848112</v>
          </cell>
          <cell r="J57">
            <v>56.701479579307225</v>
          </cell>
          <cell r="K57">
            <v>0</v>
          </cell>
          <cell r="L57">
            <v>0</v>
          </cell>
          <cell r="M57">
            <v>0</v>
          </cell>
          <cell r="N57">
            <v>0</v>
          </cell>
          <cell r="O57">
            <v>0.76280017371265318</v>
          </cell>
          <cell r="P57">
            <v>15.001736749682179</v>
          </cell>
          <cell r="Q57">
            <v>0</v>
          </cell>
          <cell r="R57">
            <v>0</v>
          </cell>
          <cell r="S57">
            <v>0</v>
          </cell>
          <cell r="U57">
            <v>0</v>
          </cell>
          <cell r="V57">
            <v>0</v>
          </cell>
          <cell r="W57">
            <v>0</v>
          </cell>
          <cell r="X57">
            <v>0</v>
          </cell>
          <cell r="Y57">
            <v>0</v>
          </cell>
          <cell r="Z57">
            <v>381.4000868563266</v>
          </cell>
          <cell r="AA57">
            <v>279.69339702797282</v>
          </cell>
          <cell r="AB57">
            <v>0</v>
          </cell>
          <cell r="AC57">
            <v>0</v>
          </cell>
          <cell r="AD57">
            <v>0</v>
          </cell>
          <cell r="AE57">
            <v>0</v>
          </cell>
          <cell r="AF57">
            <v>25.42667245708844</v>
          </cell>
          <cell r="AG57">
            <v>25.42667245708844</v>
          </cell>
          <cell r="AH57">
            <v>0</v>
          </cell>
          <cell r="AI57">
            <v>0</v>
          </cell>
          <cell r="AJ57">
            <v>0</v>
          </cell>
        </row>
        <row r="58">
          <cell r="A58" t="str">
            <v>F</v>
          </cell>
          <cell r="B58">
            <v>750</v>
          </cell>
          <cell r="C58">
            <v>1</v>
          </cell>
          <cell r="D58">
            <v>0</v>
          </cell>
          <cell r="E58">
            <v>0</v>
          </cell>
          <cell r="F58">
            <v>0</v>
          </cell>
          <cell r="G58">
            <v>0</v>
          </cell>
          <cell r="H58">
            <v>0</v>
          </cell>
          <cell r="I58">
            <v>883.79646586334775</v>
          </cell>
          <cell r="J58">
            <v>26.73791433928362</v>
          </cell>
          <cell r="K58">
            <v>0</v>
          </cell>
          <cell r="L58">
            <v>0</v>
          </cell>
          <cell r="M58">
            <v>0</v>
          </cell>
          <cell r="N58">
            <v>1.0839695002412277</v>
          </cell>
          <cell r="O58">
            <v>0</v>
          </cell>
          <cell r="P58">
            <v>0</v>
          </cell>
          <cell r="Q58">
            <v>0</v>
          </cell>
          <cell r="R58">
            <v>0</v>
          </cell>
          <cell r="S58">
            <v>0</v>
          </cell>
          <cell r="U58">
            <v>0</v>
          </cell>
          <cell r="V58">
            <v>0</v>
          </cell>
          <cell r="W58">
            <v>0</v>
          </cell>
          <cell r="X58">
            <v>0</v>
          </cell>
          <cell r="Y58">
            <v>0</v>
          </cell>
          <cell r="Z58">
            <v>1373.0280336388885</v>
          </cell>
          <cell r="AA58">
            <v>144.52926669883038</v>
          </cell>
          <cell r="AB58">
            <v>0</v>
          </cell>
          <cell r="AC58">
            <v>0</v>
          </cell>
          <cell r="AD58">
            <v>0</v>
          </cell>
          <cell r="AE58">
            <v>36.132316674707596</v>
          </cell>
          <cell r="AF58">
            <v>0</v>
          </cell>
          <cell r="AG58">
            <v>0</v>
          </cell>
          <cell r="AH58">
            <v>0</v>
          </cell>
          <cell r="AI58">
            <v>0</v>
          </cell>
          <cell r="AJ58">
            <v>0</v>
          </cell>
        </row>
        <row r="59">
          <cell r="A59" t="str">
            <v>F</v>
          </cell>
          <cell r="B59">
            <v>900</v>
          </cell>
          <cell r="C59">
            <v>1</v>
          </cell>
          <cell r="D59">
            <v>0</v>
          </cell>
          <cell r="E59">
            <v>0</v>
          </cell>
          <cell r="F59">
            <v>0</v>
          </cell>
          <cell r="G59">
            <v>0</v>
          </cell>
          <cell r="H59">
            <v>0</v>
          </cell>
          <cell r="I59">
            <v>230.76082130782481</v>
          </cell>
          <cell r="J59">
            <v>113.48892851204499</v>
          </cell>
          <cell r="K59">
            <v>0</v>
          </cell>
          <cell r="L59">
            <v>0</v>
          </cell>
          <cell r="M59">
            <v>0</v>
          </cell>
          <cell r="N59">
            <v>1.6212704073149282</v>
          </cell>
          <cell r="O59">
            <v>12.970163258519426</v>
          </cell>
          <cell r="P59">
            <v>0</v>
          </cell>
          <cell r="Q59">
            <v>0</v>
          </cell>
          <cell r="R59">
            <v>537.18092829034617</v>
          </cell>
          <cell r="S59">
            <v>0</v>
          </cell>
          <cell r="U59">
            <v>0</v>
          </cell>
          <cell r="V59">
            <v>0</v>
          </cell>
          <cell r="W59">
            <v>0</v>
          </cell>
          <cell r="X59">
            <v>0</v>
          </cell>
          <cell r="Y59">
            <v>0</v>
          </cell>
          <cell r="Z59">
            <v>270.21173455248805</v>
          </cell>
          <cell r="AA59">
            <v>378.29642837348325</v>
          </cell>
          <cell r="AB59">
            <v>0</v>
          </cell>
          <cell r="AC59">
            <v>0</v>
          </cell>
          <cell r="AD59">
            <v>0</v>
          </cell>
          <cell r="AE59">
            <v>54.042346910497614</v>
          </cell>
          <cell r="AF59">
            <v>54.042346910497614</v>
          </cell>
          <cell r="AG59">
            <v>0</v>
          </cell>
          <cell r="AH59">
            <v>0</v>
          </cell>
          <cell r="AI59">
            <v>378.29642837348325</v>
          </cell>
          <cell r="AJ59">
            <v>0</v>
          </cell>
        </row>
        <row r="60">
          <cell r="A60" t="str">
            <v>G</v>
          </cell>
          <cell r="B60">
            <v>150</v>
          </cell>
          <cell r="C60">
            <v>1</v>
          </cell>
          <cell r="D60">
            <v>0</v>
          </cell>
          <cell r="E60">
            <v>0</v>
          </cell>
          <cell r="F60">
            <v>0</v>
          </cell>
          <cell r="G60">
            <v>0</v>
          </cell>
          <cell r="H60">
            <v>0</v>
          </cell>
          <cell r="I60">
            <v>0</v>
          </cell>
          <cell r="J60">
            <v>0</v>
          </cell>
          <cell r="K60">
            <v>0</v>
          </cell>
          <cell r="L60">
            <v>0</v>
          </cell>
          <cell r="M60">
            <v>846.09887330415245</v>
          </cell>
          <cell r="N60">
            <v>0</v>
          </cell>
          <cell r="O60">
            <v>0</v>
          </cell>
          <cell r="P60">
            <v>0.10564351021402828</v>
          </cell>
          <cell r="Q60">
            <v>0</v>
          </cell>
          <cell r="R60">
            <v>0</v>
          </cell>
          <cell r="S60">
            <v>9.7192029396906019</v>
          </cell>
          <cell r="U60">
            <v>0</v>
          </cell>
          <cell r="V60">
            <v>0</v>
          </cell>
          <cell r="W60">
            <v>0</v>
          </cell>
          <cell r="X60">
            <v>0</v>
          </cell>
          <cell r="Y60">
            <v>0</v>
          </cell>
          <cell r="Z60">
            <v>0</v>
          </cell>
          <cell r="AA60">
            <v>0</v>
          </cell>
          <cell r="AB60">
            <v>0</v>
          </cell>
          <cell r="AC60">
            <v>0</v>
          </cell>
          <cell r="AD60">
            <v>3782.037665662212</v>
          </cell>
          <cell r="AE60">
            <v>0</v>
          </cell>
          <cell r="AF60">
            <v>0</v>
          </cell>
          <cell r="AG60">
            <v>21.128702042805653</v>
          </cell>
          <cell r="AH60">
            <v>0</v>
          </cell>
          <cell r="AI60">
            <v>0</v>
          </cell>
          <cell r="AJ60">
            <v>63.386106128416955</v>
          </cell>
        </row>
        <row r="61">
          <cell r="A61" t="str">
            <v>G</v>
          </cell>
          <cell r="B61">
            <v>250</v>
          </cell>
          <cell r="C61">
            <v>1</v>
          </cell>
          <cell r="D61">
            <v>0.66959233218177527</v>
          </cell>
          <cell r="E61">
            <v>4.2407514371512436</v>
          </cell>
          <cell r="F61">
            <v>59.147322676056817</v>
          </cell>
          <cell r="G61">
            <v>170.74604470635271</v>
          </cell>
          <cell r="H61">
            <v>0</v>
          </cell>
          <cell r="I61">
            <v>0</v>
          </cell>
          <cell r="J61">
            <v>0.11159872203029589</v>
          </cell>
          <cell r="K61">
            <v>0</v>
          </cell>
          <cell r="L61">
            <v>1.3391846643635505</v>
          </cell>
          <cell r="M61">
            <v>328.99303254531225</v>
          </cell>
          <cell r="N61">
            <v>0</v>
          </cell>
          <cell r="O61">
            <v>0</v>
          </cell>
          <cell r="P61">
            <v>0</v>
          </cell>
          <cell r="Q61">
            <v>0</v>
          </cell>
          <cell r="R61">
            <v>0</v>
          </cell>
          <cell r="S61">
            <v>320.51152967100978</v>
          </cell>
          <cell r="U61">
            <v>22.319744406059176</v>
          </cell>
          <cell r="V61">
            <v>22.319744406059176</v>
          </cell>
          <cell r="W61">
            <v>1138.3069647090178</v>
          </cell>
          <cell r="X61">
            <v>290.15667727876928</v>
          </cell>
          <cell r="Y61">
            <v>0</v>
          </cell>
          <cell r="Z61">
            <v>0</v>
          </cell>
          <cell r="AA61">
            <v>22.319744406059176</v>
          </cell>
          <cell r="AB61">
            <v>0</v>
          </cell>
          <cell r="AC61">
            <v>66.95923321817753</v>
          </cell>
          <cell r="AD61">
            <v>669.5923321817753</v>
          </cell>
          <cell r="AE61">
            <v>0</v>
          </cell>
          <cell r="AF61">
            <v>0</v>
          </cell>
          <cell r="AG61">
            <v>0</v>
          </cell>
          <cell r="AH61">
            <v>0</v>
          </cell>
          <cell r="AI61">
            <v>0</v>
          </cell>
          <cell r="AJ61">
            <v>758.87130980601205</v>
          </cell>
        </row>
        <row r="62">
          <cell r="A62" t="str">
            <v>G</v>
          </cell>
          <cell r="B62">
            <v>350</v>
          </cell>
          <cell r="C62">
            <v>1</v>
          </cell>
          <cell r="D62">
            <v>0</v>
          </cell>
          <cell r="E62">
            <v>0</v>
          </cell>
          <cell r="F62">
            <v>0</v>
          </cell>
          <cell r="G62">
            <v>83.645954134178851</v>
          </cell>
          <cell r="H62">
            <v>132.36972241733804</v>
          </cell>
          <cell r="I62">
            <v>0</v>
          </cell>
          <cell r="J62">
            <v>4.8096423627152838</v>
          </cell>
          <cell r="K62">
            <v>0</v>
          </cell>
          <cell r="L62">
            <v>4.3914125920443903</v>
          </cell>
          <cell r="M62">
            <v>9.6192847254305693</v>
          </cell>
          <cell r="N62">
            <v>0</v>
          </cell>
          <cell r="O62">
            <v>0</v>
          </cell>
          <cell r="P62">
            <v>8.3645954134178861</v>
          </cell>
          <cell r="Q62">
            <v>0</v>
          </cell>
          <cell r="R62">
            <v>0</v>
          </cell>
          <cell r="S62">
            <v>0</v>
          </cell>
          <cell r="U62">
            <v>0</v>
          </cell>
          <cell r="V62">
            <v>0</v>
          </cell>
          <cell r="W62">
            <v>0</v>
          </cell>
          <cell r="X62">
            <v>167.2919082683577</v>
          </cell>
          <cell r="Y62">
            <v>20.911488533544713</v>
          </cell>
          <cell r="Z62">
            <v>0</v>
          </cell>
          <cell r="AA62">
            <v>167.2919082683577</v>
          </cell>
          <cell r="AB62">
            <v>0</v>
          </cell>
          <cell r="AC62">
            <v>62.734465600634145</v>
          </cell>
          <cell r="AD62">
            <v>20.911488533544713</v>
          </cell>
          <cell r="AE62">
            <v>0</v>
          </cell>
          <cell r="AF62">
            <v>0</v>
          </cell>
          <cell r="AG62">
            <v>20.911488533544713</v>
          </cell>
          <cell r="AH62">
            <v>0</v>
          </cell>
          <cell r="AI62">
            <v>0</v>
          </cell>
          <cell r="AJ62">
            <v>0</v>
          </cell>
        </row>
        <row r="63">
          <cell r="A63" t="str">
            <v>G</v>
          </cell>
          <cell r="B63">
            <v>450</v>
          </cell>
          <cell r="C63">
            <v>1</v>
          </cell>
          <cell r="D63">
            <v>0</v>
          </cell>
          <cell r="E63">
            <v>0</v>
          </cell>
          <cell r="F63">
            <v>0</v>
          </cell>
          <cell r="G63">
            <v>0</v>
          </cell>
          <cell r="H63">
            <v>0</v>
          </cell>
          <cell r="I63">
            <v>0</v>
          </cell>
          <cell r="J63">
            <v>308.71050650937343</v>
          </cell>
          <cell r="K63">
            <v>0</v>
          </cell>
          <cell r="L63">
            <v>24.610343914523103</v>
          </cell>
          <cell r="M63">
            <v>16.887432644275268</v>
          </cell>
          <cell r="N63">
            <v>0.10297215026997113</v>
          </cell>
          <cell r="O63">
            <v>17.608237696165062</v>
          </cell>
          <cell r="P63">
            <v>36.45214119556978</v>
          </cell>
          <cell r="Q63">
            <v>0</v>
          </cell>
          <cell r="R63">
            <v>16.475544043195381</v>
          </cell>
          <cell r="S63">
            <v>0</v>
          </cell>
          <cell r="U63">
            <v>0</v>
          </cell>
          <cell r="V63">
            <v>0</v>
          </cell>
          <cell r="W63">
            <v>0</v>
          </cell>
          <cell r="X63">
            <v>0</v>
          </cell>
          <cell r="Y63">
            <v>0</v>
          </cell>
          <cell r="Z63">
            <v>0</v>
          </cell>
          <cell r="AA63">
            <v>7187.4560888439846</v>
          </cell>
          <cell r="AB63">
            <v>0</v>
          </cell>
          <cell r="AC63">
            <v>144.16101037795957</v>
          </cell>
          <cell r="AD63">
            <v>20.594430053994227</v>
          </cell>
          <cell r="AE63">
            <v>20.594430053994227</v>
          </cell>
          <cell r="AF63">
            <v>226.53873059393649</v>
          </cell>
          <cell r="AG63">
            <v>123.56658032396535</v>
          </cell>
          <cell r="AH63">
            <v>0</v>
          </cell>
          <cell r="AI63">
            <v>20.594430053994227</v>
          </cell>
          <cell r="AJ63">
            <v>0</v>
          </cell>
        </row>
        <row r="64">
          <cell r="A64" t="str">
            <v>G</v>
          </cell>
          <cell r="B64">
            <v>550</v>
          </cell>
          <cell r="C64">
            <v>1</v>
          </cell>
          <cell r="D64">
            <v>0</v>
          </cell>
          <cell r="E64">
            <v>0</v>
          </cell>
          <cell r="F64">
            <v>0</v>
          </cell>
          <cell r="G64">
            <v>0</v>
          </cell>
          <cell r="H64">
            <v>0</v>
          </cell>
          <cell r="I64">
            <v>2182.3574495051726</v>
          </cell>
          <cell r="J64">
            <v>93.118432678653591</v>
          </cell>
          <cell r="K64">
            <v>8.1831349929725885</v>
          </cell>
          <cell r="L64">
            <v>0</v>
          </cell>
          <cell r="M64">
            <v>0</v>
          </cell>
          <cell r="N64">
            <v>895.06566198996734</v>
          </cell>
          <cell r="O64">
            <v>1353.8855757338788</v>
          </cell>
          <cell r="P64">
            <v>41.197852033586138</v>
          </cell>
          <cell r="Q64">
            <v>0</v>
          </cell>
          <cell r="R64">
            <v>0</v>
          </cell>
          <cell r="S64">
            <v>0</v>
          </cell>
          <cell r="U64">
            <v>0</v>
          </cell>
          <cell r="V64">
            <v>0</v>
          </cell>
          <cell r="W64">
            <v>0</v>
          </cell>
          <cell r="X64">
            <v>0</v>
          </cell>
          <cell r="Y64">
            <v>0</v>
          </cell>
          <cell r="Z64">
            <v>19470.217741900298</v>
          </cell>
          <cell r="AA64">
            <v>4176.2206171032522</v>
          </cell>
          <cell r="AB64">
            <v>56.435413744638545</v>
          </cell>
          <cell r="AC64">
            <v>0</v>
          </cell>
          <cell r="AD64">
            <v>0</v>
          </cell>
          <cell r="AE64">
            <v>8803.9245441636122</v>
          </cell>
          <cell r="AF64">
            <v>2737.1175666149693</v>
          </cell>
          <cell r="AG64">
            <v>169.30624123391561</v>
          </cell>
          <cell r="AH64">
            <v>0</v>
          </cell>
          <cell r="AI64">
            <v>0</v>
          </cell>
          <cell r="AJ64">
            <v>0</v>
          </cell>
        </row>
        <row r="65">
          <cell r="A65" t="str">
            <v>G</v>
          </cell>
          <cell r="B65">
            <v>650</v>
          </cell>
          <cell r="C65">
            <v>1</v>
          </cell>
          <cell r="D65">
            <v>0</v>
          </cell>
          <cell r="E65">
            <v>0</v>
          </cell>
          <cell r="F65">
            <v>0</v>
          </cell>
          <cell r="G65">
            <v>0</v>
          </cell>
          <cell r="H65">
            <v>0</v>
          </cell>
          <cell r="I65">
            <v>176.27794599315953</v>
          </cell>
          <cell r="J65">
            <v>15.910380787250245</v>
          </cell>
          <cell r="K65">
            <v>0</v>
          </cell>
          <cell r="L65">
            <v>0</v>
          </cell>
          <cell r="M65">
            <v>0</v>
          </cell>
          <cell r="N65">
            <v>15.262300103451865</v>
          </cell>
          <cell r="O65">
            <v>247.56682121098143</v>
          </cell>
          <cell r="P65">
            <v>26.247267693834416</v>
          </cell>
          <cell r="Q65">
            <v>0</v>
          </cell>
          <cell r="R65">
            <v>0</v>
          </cell>
          <cell r="S65">
            <v>0</v>
          </cell>
          <cell r="U65">
            <v>0</v>
          </cell>
          <cell r="V65">
            <v>0</v>
          </cell>
          <cell r="W65">
            <v>0</v>
          </cell>
          <cell r="X65">
            <v>0</v>
          </cell>
          <cell r="Y65">
            <v>0</v>
          </cell>
          <cell r="Z65">
            <v>291.63630770927131</v>
          </cell>
          <cell r="AA65">
            <v>97.212102569757093</v>
          </cell>
          <cell r="AB65">
            <v>0</v>
          </cell>
          <cell r="AC65">
            <v>0</v>
          </cell>
          <cell r="AD65">
            <v>0</v>
          </cell>
          <cell r="AE65">
            <v>226.82823932943322</v>
          </cell>
          <cell r="AF65">
            <v>453.65647865886643</v>
          </cell>
          <cell r="AG65">
            <v>64.808068379838062</v>
          </cell>
          <cell r="AH65">
            <v>0</v>
          </cell>
          <cell r="AI65">
            <v>0</v>
          </cell>
          <cell r="AJ65">
            <v>0</v>
          </cell>
        </row>
        <row r="66">
          <cell r="A66" t="str">
            <v>G</v>
          </cell>
          <cell r="B66">
            <v>750</v>
          </cell>
          <cell r="C66">
            <v>1</v>
          </cell>
          <cell r="D66">
            <v>0</v>
          </cell>
          <cell r="E66">
            <v>0</v>
          </cell>
          <cell r="F66">
            <v>0</v>
          </cell>
          <cell r="G66">
            <v>0</v>
          </cell>
          <cell r="H66">
            <v>0</v>
          </cell>
          <cell r="I66">
            <v>81.797057163049587</v>
          </cell>
          <cell r="J66">
            <v>196.49744183153643</v>
          </cell>
          <cell r="K66">
            <v>0</v>
          </cell>
          <cell r="L66">
            <v>0</v>
          </cell>
          <cell r="M66">
            <v>0</v>
          </cell>
          <cell r="N66">
            <v>0</v>
          </cell>
          <cell r="O66">
            <v>0</v>
          </cell>
          <cell r="P66">
            <v>0</v>
          </cell>
          <cell r="Q66">
            <v>0</v>
          </cell>
          <cell r="R66">
            <v>0</v>
          </cell>
          <cell r="S66">
            <v>0</v>
          </cell>
          <cell r="U66">
            <v>0</v>
          </cell>
          <cell r="V66">
            <v>0</v>
          </cell>
          <cell r="W66">
            <v>0</v>
          </cell>
          <cell r="X66">
            <v>0</v>
          </cell>
          <cell r="Y66">
            <v>0</v>
          </cell>
          <cell r="Z66">
            <v>92.252320108702548</v>
          </cell>
          <cell r="AA66">
            <v>584.26469402178282</v>
          </cell>
          <cell r="AB66">
            <v>0</v>
          </cell>
          <cell r="AC66">
            <v>0</v>
          </cell>
          <cell r="AD66">
            <v>0</v>
          </cell>
          <cell r="AE66">
            <v>0</v>
          </cell>
          <cell r="AF66">
            <v>0</v>
          </cell>
          <cell r="AG66">
            <v>0</v>
          </cell>
          <cell r="AH66">
            <v>0</v>
          </cell>
          <cell r="AI66">
            <v>0</v>
          </cell>
          <cell r="AJ66">
            <v>0</v>
          </cell>
        </row>
        <row r="67">
          <cell r="A67" t="str">
            <v>G</v>
          </cell>
          <cell r="B67">
            <v>900</v>
          </cell>
          <cell r="C67">
            <v>1</v>
          </cell>
          <cell r="D67">
            <v>0</v>
          </cell>
          <cell r="E67">
            <v>0</v>
          </cell>
          <cell r="F67">
            <v>0</v>
          </cell>
          <cell r="G67">
            <v>0</v>
          </cell>
          <cell r="H67">
            <v>0</v>
          </cell>
          <cell r="I67">
            <v>71.906938938982961</v>
          </cell>
          <cell r="J67">
            <v>255.07287295271067</v>
          </cell>
          <cell r="K67">
            <v>0</v>
          </cell>
          <cell r="L67">
            <v>0</v>
          </cell>
          <cell r="M67">
            <v>0</v>
          </cell>
          <cell r="N67">
            <v>253.50075831008698</v>
          </cell>
          <cell r="O67">
            <v>493.68746391856871</v>
          </cell>
          <cell r="P67">
            <v>0</v>
          </cell>
          <cell r="Q67">
            <v>0</v>
          </cell>
          <cell r="R67">
            <v>0</v>
          </cell>
          <cell r="S67">
            <v>0</v>
          </cell>
          <cell r="U67">
            <v>0</v>
          </cell>
          <cell r="V67">
            <v>0</v>
          </cell>
          <cell r="W67">
            <v>0</v>
          </cell>
          <cell r="X67">
            <v>0</v>
          </cell>
          <cell r="Y67">
            <v>0</v>
          </cell>
          <cell r="Z67">
            <v>107.32378946116859</v>
          </cell>
          <cell r="AA67">
            <v>715.49192974112395</v>
          </cell>
          <cell r="AB67">
            <v>0</v>
          </cell>
          <cell r="AC67">
            <v>0</v>
          </cell>
          <cell r="AD67">
            <v>0</v>
          </cell>
          <cell r="AE67">
            <v>105463.51044384166</v>
          </cell>
          <cell r="AF67">
            <v>120882.36152976289</v>
          </cell>
          <cell r="AG67">
            <v>0</v>
          </cell>
          <cell r="AH67">
            <v>0</v>
          </cell>
          <cell r="AI67">
            <v>0</v>
          </cell>
          <cell r="AJ67">
            <v>0</v>
          </cell>
        </row>
        <row r="68">
          <cell r="A68" t="str">
            <v>H</v>
          </cell>
          <cell r="B68">
            <v>150</v>
          </cell>
          <cell r="C68">
            <v>1</v>
          </cell>
          <cell r="D68">
            <v>0</v>
          </cell>
          <cell r="E68">
            <v>0</v>
          </cell>
          <cell r="F68">
            <v>0</v>
          </cell>
          <cell r="G68">
            <v>0</v>
          </cell>
          <cell r="H68">
            <v>0</v>
          </cell>
          <cell r="I68">
            <v>0</v>
          </cell>
          <cell r="J68">
            <v>0</v>
          </cell>
          <cell r="K68">
            <v>0</v>
          </cell>
          <cell r="L68">
            <v>0</v>
          </cell>
          <cell r="M68">
            <v>93.19678193767129</v>
          </cell>
          <cell r="N68">
            <v>0</v>
          </cell>
          <cell r="O68">
            <v>0</v>
          </cell>
          <cell r="P68">
            <v>0</v>
          </cell>
          <cell r="Q68">
            <v>0</v>
          </cell>
          <cell r="R68">
            <v>0</v>
          </cell>
          <cell r="S68">
            <v>16.827196738746203</v>
          </cell>
          <cell r="U68">
            <v>0</v>
          </cell>
          <cell r="V68">
            <v>0</v>
          </cell>
          <cell r="W68">
            <v>0</v>
          </cell>
          <cell r="X68">
            <v>0</v>
          </cell>
          <cell r="Y68">
            <v>0</v>
          </cell>
          <cell r="Z68">
            <v>0</v>
          </cell>
          <cell r="AA68">
            <v>0</v>
          </cell>
          <cell r="AB68">
            <v>0</v>
          </cell>
          <cell r="AC68">
            <v>0</v>
          </cell>
          <cell r="AD68">
            <v>698.97586453253462</v>
          </cell>
          <cell r="AE68">
            <v>0</v>
          </cell>
          <cell r="AF68">
            <v>0</v>
          </cell>
          <cell r="AG68">
            <v>0</v>
          </cell>
          <cell r="AH68">
            <v>0</v>
          </cell>
          <cell r="AI68">
            <v>0</v>
          </cell>
          <cell r="AJ68">
            <v>77.663984948059408</v>
          </cell>
        </row>
        <row r="69">
          <cell r="A69" t="str">
            <v>H</v>
          </cell>
          <cell r="B69">
            <v>250</v>
          </cell>
          <cell r="C69">
            <v>1</v>
          </cell>
          <cell r="D69">
            <v>0.61603588178730873</v>
          </cell>
          <cell r="E69">
            <v>0</v>
          </cell>
          <cell r="F69">
            <v>128.95684458747664</v>
          </cell>
          <cell r="G69">
            <v>57.907372888007018</v>
          </cell>
          <cell r="H69">
            <v>0</v>
          </cell>
          <cell r="I69">
            <v>0</v>
          </cell>
          <cell r="J69">
            <v>11.91002704788797</v>
          </cell>
          <cell r="K69">
            <v>1.0267264696455145</v>
          </cell>
          <cell r="L69">
            <v>0.41069058785820584</v>
          </cell>
          <cell r="M69">
            <v>45.175964664402642</v>
          </cell>
          <cell r="N69">
            <v>0</v>
          </cell>
          <cell r="O69">
            <v>0</v>
          </cell>
          <cell r="P69">
            <v>9.959246755561491</v>
          </cell>
          <cell r="Q69">
            <v>0</v>
          </cell>
          <cell r="R69">
            <v>0</v>
          </cell>
          <cell r="S69">
            <v>0</v>
          </cell>
          <cell r="U69">
            <v>20.53452939291029</v>
          </cell>
          <cell r="V69">
            <v>0</v>
          </cell>
          <cell r="W69">
            <v>2340.9363507917733</v>
          </cell>
          <cell r="X69">
            <v>102.67264696455146</v>
          </cell>
          <cell r="Y69">
            <v>0</v>
          </cell>
          <cell r="Z69">
            <v>0</v>
          </cell>
          <cell r="AA69">
            <v>862.45023450223221</v>
          </cell>
          <cell r="AB69">
            <v>20.53452939291029</v>
          </cell>
          <cell r="AC69">
            <v>20.53452939291029</v>
          </cell>
          <cell r="AD69">
            <v>102.67264696455146</v>
          </cell>
          <cell r="AE69">
            <v>0</v>
          </cell>
          <cell r="AF69">
            <v>0</v>
          </cell>
          <cell r="AG69">
            <v>554.43229360857777</v>
          </cell>
          <cell r="AH69">
            <v>0</v>
          </cell>
          <cell r="AI69">
            <v>0</v>
          </cell>
          <cell r="AJ69">
            <v>0</v>
          </cell>
        </row>
        <row r="70">
          <cell r="A70" t="str">
            <v>H</v>
          </cell>
          <cell r="B70">
            <v>350</v>
          </cell>
          <cell r="C70">
            <v>1</v>
          </cell>
          <cell r="D70">
            <v>0</v>
          </cell>
          <cell r="E70">
            <v>30.603547395339085</v>
          </cell>
          <cell r="F70">
            <v>0</v>
          </cell>
          <cell r="G70">
            <v>0</v>
          </cell>
          <cell r="H70">
            <v>80.997388772997454</v>
          </cell>
          <cell r="I70">
            <v>0</v>
          </cell>
          <cell r="J70">
            <v>220.9576121943482</v>
          </cell>
          <cell r="K70">
            <v>19.382246683714754</v>
          </cell>
          <cell r="L70">
            <v>47.537510287426713</v>
          </cell>
          <cell r="M70">
            <v>6.1207094790678171</v>
          </cell>
          <cell r="N70">
            <v>0</v>
          </cell>
          <cell r="O70">
            <v>0</v>
          </cell>
          <cell r="P70">
            <v>45.293250145101844</v>
          </cell>
          <cell r="Q70">
            <v>0</v>
          </cell>
          <cell r="R70">
            <v>0</v>
          </cell>
          <cell r="S70">
            <v>0</v>
          </cell>
          <cell r="U70">
            <v>0</v>
          </cell>
          <cell r="V70">
            <v>61.20709479067817</v>
          </cell>
          <cell r="W70">
            <v>0</v>
          </cell>
          <cell r="X70">
            <v>0</v>
          </cell>
          <cell r="Y70">
            <v>20.402364930226057</v>
          </cell>
          <cell r="Z70">
            <v>0</v>
          </cell>
          <cell r="AA70">
            <v>9140.2594887412743</v>
          </cell>
          <cell r="AB70">
            <v>897.70405692994655</v>
          </cell>
          <cell r="AC70">
            <v>1366.9584503251458</v>
          </cell>
          <cell r="AD70">
            <v>20.402364930226057</v>
          </cell>
          <cell r="AE70">
            <v>0</v>
          </cell>
          <cell r="AF70">
            <v>0</v>
          </cell>
          <cell r="AG70">
            <v>816.09459720904226</v>
          </cell>
          <cell r="AH70">
            <v>0</v>
          </cell>
          <cell r="AI70">
            <v>0</v>
          </cell>
          <cell r="AJ70">
            <v>0</v>
          </cell>
        </row>
        <row r="71">
          <cell r="A71" t="str">
            <v>H</v>
          </cell>
          <cell r="B71">
            <v>450</v>
          </cell>
          <cell r="C71">
            <v>1</v>
          </cell>
          <cell r="D71">
            <v>0</v>
          </cell>
          <cell r="E71">
            <v>0</v>
          </cell>
          <cell r="F71">
            <v>0</v>
          </cell>
          <cell r="G71">
            <v>0</v>
          </cell>
          <cell r="H71">
            <v>0</v>
          </cell>
          <cell r="I71">
            <v>0</v>
          </cell>
          <cell r="J71">
            <v>231.34574294345754</v>
          </cell>
          <cell r="K71">
            <v>0</v>
          </cell>
          <cell r="L71">
            <v>1.264184387669167</v>
          </cell>
          <cell r="M71">
            <v>16.750443136616465</v>
          </cell>
          <cell r="N71">
            <v>0.31604609691729174</v>
          </cell>
          <cell r="O71">
            <v>0.31604609691729174</v>
          </cell>
          <cell r="P71">
            <v>471.54077660059926</v>
          </cell>
          <cell r="Q71">
            <v>0</v>
          </cell>
          <cell r="R71">
            <v>0</v>
          </cell>
          <cell r="S71">
            <v>0</v>
          </cell>
          <cell r="U71">
            <v>0</v>
          </cell>
          <cell r="V71">
            <v>0</v>
          </cell>
          <cell r="W71">
            <v>0</v>
          </cell>
          <cell r="X71">
            <v>0</v>
          </cell>
          <cell r="Y71">
            <v>0</v>
          </cell>
          <cell r="Z71">
            <v>0</v>
          </cell>
          <cell r="AA71">
            <v>3508.1116757819382</v>
          </cell>
          <cell r="AB71">
            <v>0</v>
          </cell>
          <cell r="AC71">
            <v>31.604609691729173</v>
          </cell>
          <cell r="AD71">
            <v>31.604609691729173</v>
          </cell>
          <cell r="AE71">
            <v>31.604609691729173</v>
          </cell>
          <cell r="AF71">
            <v>31.604609691729173</v>
          </cell>
          <cell r="AG71">
            <v>1991.090410578938</v>
          </cell>
          <cell r="AH71">
            <v>0</v>
          </cell>
          <cell r="AI71">
            <v>0</v>
          </cell>
          <cell r="AJ71">
            <v>0</v>
          </cell>
        </row>
        <row r="72">
          <cell r="A72" t="str">
            <v>H</v>
          </cell>
          <cell r="B72">
            <v>550</v>
          </cell>
          <cell r="C72">
            <v>1</v>
          </cell>
          <cell r="D72">
            <v>0</v>
          </cell>
          <cell r="E72">
            <v>0</v>
          </cell>
          <cell r="F72">
            <v>0</v>
          </cell>
          <cell r="G72">
            <v>0</v>
          </cell>
          <cell r="H72">
            <v>0</v>
          </cell>
          <cell r="I72">
            <v>604.89950282846257</v>
          </cell>
          <cell r="J72">
            <v>12.497923612158317</v>
          </cell>
          <cell r="K72">
            <v>0</v>
          </cell>
          <cell r="L72">
            <v>0</v>
          </cell>
          <cell r="M72">
            <v>0</v>
          </cell>
          <cell r="N72">
            <v>17.497093057021644</v>
          </cell>
          <cell r="O72">
            <v>399.43363864457984</v>
          </cell>
          <cell r="P72">
            <v>52.991196115551269</v>
          </cell>
          <cell r="Q72">
            <v>0</v>
          </cell>
          <cell r="R72">
            <v>0</v>
          </cell>
          <cell r="S72">
            <v>0</v>
          </cell>
          <cell r="U72">
            <v>0</v>
          </cell>
          <cell r="V72">
            <v>0</v>
          </cell>
          <cell r="W72">
            <v>0</v>
          </cell>
          <cell r="X72">
            <v>0</v>
          </cell>
          <cell r="Y72">
            <v>0</v>
          </cell>
          <cell r="Z72">
            <v>5174.1403754335433</v>
          </cell>
          <cell r="AA72">
            <v>449.92525003769947</v>
          </cell>
          <cell r="AB72">
            <v>0</v>
          </cell>
          <cell r="AC72">
            <v>0</v>
          </cell>
          <cell r="AD72">
            <v>0</v>
          </cell>
          <cell r="AE72">
            <v>149.9750833458998</v>
          </cell>
          <cell r="AF72">
            <v>724.87956950518242</v>
          </cell>
          <cell r="AG72">
            <v>174.97093057021644</v>
          </cell>
          <cell r="AH72">
            <v>0</v>
          </cell>
          <cell r="AI72">
            <v>0</v>
          </cell>
          <cell r="AJ72">
            <v>0</v>
          </cell>
        </row>
        <row r="73">
          <cell r="A73" t="str">
            <v>H</v>
          </cell>
          <cell r="B73">
            <v>650</v>
          </cell>
          <cell r="C73">
            <v>1</v>
          </cell>
          <cell r="D73">
            <v>0</v>
          </cell>
          <cell r="E73">
            <v>0</v>
          </cell>
          <cell r="F73">
            <v>0</v>
          </cell>
          <cell r="G73">
            <v>0</v>
          </cell>
          <cell r="H73">
            <v>0</v>
          </cell>
          <cell r="I73">
            <v>134.30199037141048</v>
          </cell>
          <cell r="J73">
            <v>0.24597434133957966</v>
          </cell>
          <cell r="K73">
            <v>0</v>
          </cell>
          <cell r="L73">
            <v>0</v>
          </cell>
          <cell r="M73">
            <v>0</v>
          </cell>
          <cell r="N73">
            <v>0</v>
          </cell>
          <cell r="O73">
            <v>0</v>
          </cell>
          <cell r="P73">
            <v>0</v>
          </cell>
          <cell r="Q73">
            <v>0</v>
          </cell>
          <cell r="R73">
            <v>0</v>
          </cell>
          <cell r="S73">
            <v>0</v>
          </cell>
          <cell r="U73">
            <v>0</v>
          </cell>
          <cell r="V73">
            <v>0</v>
          </cell>
          <cell r="W73">
            <v>0</v>
          </cell>
          <cell r="X73">
            <v>0</v>
          </cell>
          <cell r="Y73">
            <v>0</v>
          </cell>
          <cell r="Z73">
            <v>959.29993122436053</v>
          </cell>
          <cell r="AA73">
            <v>24.597434133957965</v>
          </cell>
          <cell r="AB73">
            <v>0</v>
          </cell>
          <cell r="AC73">
            <v>0</v>
          </cell>
          <cell r="AD73">
            <v>0</v>
          </cell>
          <cell r="AE73">
            <v>0</v>
          </cell>
          <cell r="AF73">
            <v>0</v>
          </cell>
          <cell r="AG73">
            <v>0</v>
          </cell>
          <cell r="AH73">
            <v>0</v>
          </cell>
          <cell r="AI73">
            <v>0</v>
          </cell>
          <cell r="AJ73">
            <v>0</v>
          </cell>
        </row>
        <row r="74">
          <cell r="A74" t="str">
            <v>H</v>
          </cell>
          <cell r="B74">
            <v>750</v>
          </cell>
          <cell r="C74">
            <v>1</v>
          </cell>
          <cell r="D74">
            <v>0</v>
          </cell>
          <cell r="E74">
            <v>0</v>
          </cell>
          <cell r="F74">
            <v>0</v>
          </cell>
          <cell r="G74">
            <v>0</v>
          </cell>
          <cell r="H74">
            <v>0</v>
          </cell>
          <cell r="I74">
            <v>206.16625788614522</v>
          </cell>
          <cell r="J74">
            <v>25.126512679873951</v>
          </cell>
          <cell r="K74">
            <v>0</v>
          </cell>
          <cell r="L74">
            <v>0</v>
          </cell>
          <cell r="M74">
            <v>0</v>
          </cell>
          <cell r="N74">
            <v>0</v>
          </cell>
          <cell r="O74">
            <v>0</v>
          </cell>
          <cell r="P74">
            <v>0</v>
          </cell>
          <cell r="Q74">
            <v>0</v>
          </cell>
          <cell r="R74">
            <v>0</v>
          </cell>
          <cell r="S74">
            <v>0</v>
          </cell>
          <cell r="U74">
            <v>0</v>
          </cell>
          <cell r="V74">
            <v>0</v>
          </cell>
          <cell r="W74">
            <v>0</v>
          </cell>
          <cell r="X74">
            <v>0</v>
          </cell>
          <cell r="Y74">
            <v>0</v>
          </cell>
          <cell r="Z74">
            <v>322.1347779471019</v>
          </cell>
          <cell r="AA74">
            <v>64.426955589420388</v>
          </cell>
          <cell r="AB74">
            <v>0</v>
          </cell>
          <cell r="AC74">
            <v>0</v>
          </cell>
          <cell r="AD74">
            <v>0</v>
          </cell>
          <cell r="AE74">
            <v>0</v>
          </cell>
          <cell r="AF74">
            <v>0</v>
          </cell>
          <cell r="AG74">
            <v>0</v>
          </cell>
          <cell r="AH74">
            <v>0</v>
          </cell>
          <cell r="AI74">
            <v>0</v>
          </cell>
          <cell r="AJ74">
            <v>0</v>
          </cell>
        </row>
        <row r="75">
          <cell r="A75" t="str">
            <v>H</v>
          </cell>
          <cell r="B75">
            <v>900</v>
          </cell>
          <cell r="C75">
            <v>1</v>
          </cell>
          <cell r="D75">
            <v>0</v>
          </cell>
          <cell r="E75">
            <v>0</v>
          </cell>
          <cell r="F75">
            <v>0</v>
          </cell>
          <cell r="G75">
            <v>0</v>
          </cell>
          <cell r="H75">
            <v>0</v>
          </cell>
          <cell r="I75">
            <v>131.05758690950492</v>
          </cell>
          <cell r="J75">
            <v>65.736821370481834</v>
          </cell>
          <cell r="K75">
            <v>0</v>
          </cell>
          <cell r="L75">
            <v>0</v>
          </cell>
          <cell r="M75">
            <v>0</v>
          </cell>
          <cell r="N75">
            <v>0</v>
          </cell>
          <cell r="O75">
            <v>0</v>
          </cell>
          <cell r="P75">
            <v>0</v>
          </cell>
          <cell r="Q75">
            <v>0</v>
          </cell>
          <cell r="R75">
            <v>0</v>
          </cell>
          <cell r="S75">
            <v>0</v>
          </cell>
          <cell r="U75">
            <v>0</v>
          </cell>
          <cell r="V75">
            <v>0</v>
          </cell>
          <cell r="W75">
            <v>0</v>
          </cell>
          <cell r="X75">
            <v>0</v>
          </cell>
          <cell r="Y75">
            <v>0</v>
          </cell>
          <cell r="Z75">
            <v>166.42233258349833</v>
          </cell>
          <cell r="AA75">
            <v>166.42233258349833</v>
          </cell>
          <cell r="AB75">
            <v>0</v>
          </cell>
          <cell r="AC75">
            <v>0</v>
          </cell>
          <cell r="AD75">
            <v>0</v>
          </cell>
          <cell r="AE75">
            <v>0</v>
          </cell>
          <cell r="AF75">
            <v>0</v>
          </cell>
          <cell r="AG75">
            <v>0</v>
          </cell>
          <cell r="AH75">
            <v>0</v>
          </cell>
          <cell r="AI75">
            <v>0</v>
          </cell>
          <cell r="AJ75">
            <v>0</v>
          </cell>
        </row>
      </sheetData>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28"/>
  <sheetViews>
    <sheetView showGridLines="0" tabSelected="1" zoomScale="90" zoomScaleNormal="90" workbookViewId="0">
      <selection activeCell="H37" sqref="H37"/>
    </sheetView>
  </sheetViews>
  <sheetFormatPr defaultColWidth="8.875" defaultRowHeight="15" x14ac:dyDescent="0.25"/>
  <cols>
    <col min="2" max="2" width="8.125" style="3" customWidth="1"/>
    <col min="3" max="20" width="6.625" style="3" customWidth="1"/>
    <col min="21" max="28" width="5.875" customWidth="1"/>
  </cols>
  <sheetData>
    <row r="1" spans="1:27" ht="15.75" x14ac:dyDescent="0.25">
      <c r="A1" s="7" t="s">
        <v>64</v>
      </c>
    </row>
    <row r="3" spans="1:27" ht="15.75" x14ac:dyDescent="0.25">
      <c r="B3" s="34" t="s">
        <v>20</v>
      </c>
      <c r="C3" s="1"/>
      <c r="D3" s="1"/>
      <c r="E3" s="1"/>
      <c r="F3" s="1"/>
      <c r="G3" s="1"/>
      <c r="H3" s="1"/>
      <c r="I3" s="1"/>
      <c r="J3" s="1"/>
      <c r="K3" s="1"/>
      <c r="L3" s="1"/>
      <c r="M3" s="1"/>
      <c r="N3" s="1"/>
      <c r="O3" s="1"/>
      <c r="P3" s="1"/>
      <c r="Q3" s="1"/>
      <c r="R3" s="2"/>
      <c r="S3" s="2"/>
    </row>
    <row r="4" spans="1:27" ht="14.25" x14ac:dyDescent="0.2">
      <c r="B4" s="40"/>
      <c r="C4" s="41">
        <v>1975</v>
      </c>
      <c r="D4" s="41">
        <v>1976</v>
      </c>
      <c r="E4" s="41">
        <v>1977</v>
      </c>
      <c r="F4" s="41">
        <v>1978</v>
      </c>
      <c r="G4" s="41">
        <v>1979</v>
      </c>
      <c r="H4" s="41">
        <v>1980</v>
      </c>
      <c r="I4" s="41">
        <v>1981</v>
      </c>
      <c r="J4" s="41">
        <v>1982</v>
      </c>
      <c r="K4" s="41">
        <v>1983</v>
      </c>
      <c r="L4" s="41">
        <v>1984</v>
      </c>
      <c r="M4" s="41">
        <v>1985</v>
      </c>
      <c r="N4" s="41">
        <v>1986</v>
      </c>
      <c r="O4" s="41">
        <v>1987</v>
      </c>
      <c r="P4" s="41">
        <v>1988</v>
      </c>
      <c r="Q4" s="41">
        <v>1989</v>
      </c>
      <c r="R4" s="41">
        <v>1990</v>
      </c>
      <c r="S4" s="41">
        <v>1991</v>
      </c>
      <c r="T4" s="41">
        <v>1992</v>
      </c>
      <c r="U4" s="41">
        <v>1993</v>
      </c>
      <c r="V4" s="41">
        <v>1994</v>
      </c>
      <c r="W4" s="41">
        <v>1995</v>
      </c>
      <c r="X4" s="41">
        <v>1996</v>
      </c>
      <c r="Y4" s="41">
        <v>1997</v>
      </c>
      <c r="Z4" s="41">
        <v>1998</v>
      </c>
      <c r="AA4" s="41">
        <v>1999</v>
      </c>
    </row>
    <row r="5" spans="1:27" ht="14.25" x14ac:dyDescent="0.2">
      <c r="B5" s="42" t="s">
        <v>26</v>
      </c>
      <c r="C5" s="5">
        <v>2296</v>
      </c>
      <c r="D5" s="5">
        <v>1987</v>
      </c>
      <c r="E5" s="5">
        <v>2015</v>
      </c>
      <c r="F5" s="5">
        <v>2164</v>
      </c>
      <c r="G5" s="5">
        <v>1259</v>
      </c>
      <c r="H5" s="5">
        <v>1567</v>
      </c>
      <c r="I5" s="5">
        <v>1451</v>
      </c>
      <c r="J5" s="5">
        <v>1350</v>
      </c>
      <c r="K5" s="5">
        <v>960</v>
      </c>
      <c r="L5" s="5">
        <v>769</v>
      </c>
      <c r="M5" s="5">
        <v>881</v>
      </c>
      <c r="N5" s="5">
        <v>960</v>
      </c>
      <c r="O5" s="5">
        <v>1003</v>
      </c>
      <c r="P5" s="5">
        <v>875</v>
      </c>
      <c r="Q5" s="5">
        <v>657</v>
      </c>
      <c r="R5" s="5">
        <v>541</v>
      </c>
      <c r="S5" s="5">
        <v>456</v>
      </c>
      <c r="T5" s="5">
        <v>507</v>
      </c>
      <c r="U5" s="5">
        <v>518</v>
      </c>
      <c r="V5" s="5">
        <v>424</v>
      </c>
      <c r="W5" s="5">
        <v>357</v>
      </c>
      <c r="X5" s="5">
        <v>320</v>
      </c>
      <c r="Y5" s="5">
        <v>229</v>
      </c>
      <c r="Z5" s="5">
        <v>286</v>
      </c>
      <c r="AA5" s="5">
        <v>232</v>
      </c>
    </row>
    <row r="6" spans="1:27" ht="14.25" x14ac:dyDescent="0.2">
      <c r="B6" s="42" t="s">
        <v>27</v>
      </c>
      <c r="C6" s="5">
        <v>1277</v>
      </c>
      <c r="D6" s="5">
        <v>926</v>
      </c>
      <c r="E6" s="5">
        <v>1152</v>
      </c>
      <c r="F6" s="5">
        <v>897</v>
      </c>
      <c r="G6" s="5">
        <v>618</v>
      </c>
      <c r="H6" s="5">
        <v>740</v>
      </c>
      <c r="I6" s="5">
        <v>601</v>
      </c>
      <c r="J6" s="5">
        <v>463</v>
      </c>
      <c r="K6" s="5">
        <v>318</v>
      </c>
      <c r="L6" s="5">
        <v>315</v>
      </c>
      <c r="M6" s="5">
        <v>246</v>
      </c>
      <c r="N6" s="5">
        <v>198</v>
      </c>
      <c r="O6" s="5">
        <v>198</v>
      </c>
      <c r="P6" s="5">
        <v>116</v>
      </c>
      <c r="Q6" s="5">
        <v>72</v>
      </c>
      <c r="R6" s="5">
        <v>140</v>
      </c>
      <c r="S6" s="5">
        <v>155</v>
      </c>
      <c r="T6" s="5">
        <v>43</v>
      </c>
      <c r="U6" s="5">
        <v>21</v>
      </c>
      <c r="V6" s="5">
        <v>26</v>
      </c>
      <c r="W6" s="5">
        <v>16</v>
      </c>
      <c r="X6" s="5">
        <v>8</v>
      </c>
      <c r="Y6" s="5">
        <v>7</v>
      </c>
      <c r="Z6" s="5">
        <v>14</v>
      </c>
      <c r="AA6" s="5">
        <v>10</v>
      </c>
    </row>
    <row r="7" spans="1:27" ht="14.25" x14ac:dyDescent="0.2">
      <c r="B7" s="42" t="s">
        <v>28</v>
      </c>
      <c r="C7" s="5">
        <v>6</v>
      </c>
      <c r="D7" s="5">
        <v>8</v>
      </c>
      <c r="E7" s="5">
        <v>3</v>
      </c>
      <c r="F7" s="5">
        <v>9</v>
      </c>
      <c r="G7" s="5">
        <v>17</v>
      </c>
      <c r="H7" s="5">
        <v>19</v>
      </c>
      <c r="I7" s="5">
        <v>2</v>
      </c>
      <c r="J7" s="5">
        <v>7</v>
      </c>
      <c r="K7" s="5">
        <v>1</v>
      </c>
      <c r="L7" s="5">
        <v>0</v>
      </c>
      <c r="M7" s="5">
        <v>0</v>
      </c>
      <c r="N7" s="5">
        <v>1</v>
      </c>
      <c r="O7" s="5">
        <v>1</v>
      </c>
      <c r="P7" s="5">
        <v>0</v>
      </c>
      <c r="Q7" s="5">
        <v>0</v>
      </c>
      <c r="R7" s="5">
        <v>4</v>
      </c>
      <c r="S7" s="5">
        <v>0</v>
      </c>
      <c r="T7" s="5">
        <v>0</v>
      </c>
      <c r="U7" s="5">
        <v>0</v>
      </c>
      <c r="V7" s="5">
        <v>0</v>
      </c>
      <c r="W7" s="5">
        <v>0</v>
      </c>
      <c r="X7" s="5">
        <v>3</v>
      </c>
      <c r="Y7" s="5">
        <v>16</v>
      </c>
      <c r="Z7" s="5">
        <v>0</v>
      </c>
      <c r="AA7" s="5">
        <v>0</v>
      </c>
    </row>
    <row r="8" spans="1:27" ht="14.25" x14ac:dyDescent="0.2">
      <c r="B8" s="42" t="s">
        <v>29</v>
      </c>
      <c r="C8" s="5">
        <v>6</v>
      </c>
      <c r="D8" s="5">
        <v>8</v>
      </c>
      <c r="E8" s="5">
        <v>7</v>
      </c>
      <c r="F8" s="5">
        <v>19</v>
      </c>
      <c r="G8" s="5">
        <v>63</v>
      </c>
      <c r="H8" s="5">
        <v>53</v>
      </c>
      <c r="I8" s="5">
        <v>36</v>
      </c>
      <c r="J8" s="5">
        <v>25</v>
      </c>
      <c r="K8" s="5">
        <v>9</v>
      </c>
      <c r="L8" s="5">
        <v>5</v>
      </c>
      <c r="M8" s="5">
        <v>9</v>
      </c>
      <c r="N8" s="5">
        <v>14</v>
      </c>
      <c r="O8" s="5">
        <v>42</v>
      </c>
      <c r="P8" s="5">
        <v>29</v>
      </c>
      <c r="Q8" s="5">
        <v>52</v>
      </c>
      <c r="R8" s="5">
        <v>19</v>
      </c>
      <c r="S8" s="5">
        <v>29</v>
      </c>
      <c r="T8" s="5">
        <v>39</v>
      </c>
      <c r="U8" s="5">
        <v>9</v>
      </c>
      <c r="V8" s="5">
        <v>6</v>
      </c>
      <c r="W8" s="5">
        <v>6</v>
      </c>
      <c r="X8" s="5">
        <v>9</v>
      </c>
      <c r="Y8" s="5">
        <v>6</v>
      </c>
      <c r="Z8" s="5">
        <v>10</v>
      </c>
      <c r="AA8" s="5">
        <v>16</v>
      </c>
    </row>
    <row r="9" spans="1:27" ht="14.25" x14ac:dyDescent="0.2">
      <c r="B9" s="42" t="s">
        <v>30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1</v>
      </c>
    </row>
    <row r="10" spans="1:27" ht="14.25" x14ac:dyDescent="0.2">
      <c r="B10" s="42" t="s">
        <v>24</v>
      </c>
      <c r="C10" s="5">
        <v>0</v>
      </c>
      <c r="D10" s="5">
        <v>0</v>
      </c>
      <c r="E10" s="5">
        <v>0</v>
      </c>
      <c r="F10" s="5">
        <v>0</v>
      </c>
      <c r="G10" s="5">
        <v>0</v>
      </c>
      <c r="H10" s="5">
        <v>0</v>
      </c>
      <c r="I10" s="5">
        <v>1</v>
      </c>
      <c r="J10" s="5">
        <v>1</v>
      </c>
      <c r="K10" s="5">
        <v>2</v>
      </c>
      <c r="L10" s="5">
        <v>1</v>
      </c>
      <c r="M10" s="5">
        <v>1</v>
      </c>
      <c r="N10" s="5">
        <v>3</v>
      </c>
      <c r="O10" s="5">
        <v>1</v>
      </c>
      <c r="P10" s="5">
        <v>0</v>
      </c>
      <c r="Q10" s="5">
        <v>0</v>
      </c>
      <c r="R10" s="5">
        <v>0</v>
      </c>
      <c r="S10" s="5">
        <v>1</v>
      </c>
      <c r="T10" s="5">
        <v>0</v>
      </c>
      <c r="U10" s="5">
        <v>0</v>
      </c>
      <c r="V10" s="5">
        <v>1</v>
      </c>
      <c r="W10" s="5">
        <v>0</v>
      </c>
      <c r="X10" s="5">
        <v>1</v>
      </c>
      <c r="Y10" s="5">
        <v>0</v>
      </c>
      <c r="Z10" s="5">
        <v>1</v>
      </c>
      <c r="AA10" s="5">
        <v>0</v>
      </c>
    </row>
    <row r="11" spans="1:27" ht="14.25" x14ac:dyDescent="0.2">
      <c r="B11" s="43" t="s">
        <v>0</v>
      </c>
      <c r="C11" s="4">
        <v>3585</v>
      </c>
      <c r="D11" s="4">
        <v>2929</v>
      </c>
      <c r="E11" s="4">
        <v>3177</v>
      </c>
      <c r="F11" s="4">
        <v>3089</v>
      </c>
      <c r="G11" s="4">
        <v>1957</v>
      </c>
      <c r="H11" s="4">
        <v>2379</v>
      </c>
      <c r="I11" s="4">
        <v>2091</v>
      </c>
      <c r="J11" s="4">
        <v>1846</v>
      </c>
      <c r="K11" s="4">
        <v>1290</v>
      </c>
      <c r="L11" s="4">
        <v>1090</v>
      </c>
      <c r="M11" s="4">
        <v>1137</v>
      </c>
      <c r="N11" s="4">
        <v>1176</v>
      </c>
      <c r="O11" s="4">
        <v>1245</v>
      </c>
      <c r="P11" s="4">
        <v>1020</v>
      </c>
      <c r="Q11" s="4">
        <v>781</v>
      </c>
      <c r="R11" s="4">
        <v>704</v>
      </c>
      <c r="S11" s="4">
        <v>641</v>
      </c>
      <c r="T11" s="4">
        <v>589</v>
      </c>
      <c r="U11" s="4">
        <v>548</v>
      </c>
      <c r="V11" s="4">
        <v>457</v>
      </c>
      <c r="W11" s="4">
        <v>379</v>
      </c>
      <c r="X11" s="4">
        <v>342</v>
      </c>
      <c r="Y11" s="4">
        <v>258</v>
      </c>
      <c r="Z11" s="4">
        <v>311</v>
      </c>
      <c r="AA11" s="4">
        <v>259</v>
      </c>
    </row>
    <row r="12" spans="1:27" x14ac:dyDescent="0.25">
      <c r="B12" s="44"/>
      <c r="C12" s="44"/>
      <c r="D12" s="44"/>
      <c r="E12" s="44"/>
      <c r="F12" s="44"/>
      <c r="G12" s="44"/>
      <c r="H12" s="44"/>
      <c r="I12" s="44"/>
      <c r="J12" s="44"/>
      <c r="K12" s="44"/>
      <c r="L12" s="44"/>
      <c r="M12" s="44"/>
      <c r="N12" s="44"/>
      <c r="O12" s="44"/>
      <c r="P12" s="44"/>
      <c r="Q12" s="44"/>
      <c r="R12" s="44"/>
      <c r="S12" s="44"/>
      <c r="T12" s="45"/>
      <c r="U12" s="46"/>
      <c r="V12" s="46"/>
      <c r="W12" s="46"/>
      <c r="X12" s="46"/>
      <c r="Y12" s="46"/>
      <c r="Z12" s="46"/>
      <c r="AA12" s="46"/>
    </row>
    <row r="13" spans="1:27" ht="14.25" x14ac:dyDescent="0.2">
      <c r="B13" s="40"/>
      <c r="C13" s="47">
        <v>2000</v>
      </c>
      <c r="D13" s="47">
        <v>2001</v>
      </c>
      <c r="E13" s="48">
        <v>2002</v>
      </c>
      <c r="F13" s="48">
        <v>2003</v>
      </c>
      <c r="G13" s="47">
        <v>2004</v>
      </c>
      <c r="H13" s="47">
        <v>2005</v>
      </c>
      <c r="I13" s="47">
        <v>2006</v>
      </c>
      <c r="J13" s="47">
        <v>2007</v>
      </c>
      <c r="K13" s="47">
        <v>2008</v>
      </c>
      <c r="L13" s="47">
        <v>2009</v>
      </c>
      <c r="M13" s="47">
        <v>2010</v>
      </c>
      <c r="N13" s="47">
        <v>2011</v>
      </c>
      <c r="O13" s="47">
        <v>2012</v>
      </c>
      <c r="P13" s="47">
        <v>2013</v>
      </c>
      <c r="Q13" s="47">
        <v>2014</v>
      </c>
      <c r="R13" s="47">
        <v>2015</v>
      </c>
      <c r="S13" s="47">
        <v>2016</v>
      </c>
      <c r="T13" s="47">
        <v>2017</v>
      </c>
      <c r="U13" s="47">
        <v>2018</v>
      </c>
      <c r="V13" s="47">
        <v>2019</v>
      </c>
      <c r="W13" s="46"/>
      <c r="X13" s="46"/>
      <c r="Y13" s="46"/>
      <c r="Z13" s="46"/>
      <c r="AA13" s="46"/>
    </row>
    <row r="14" spans="1:27" ht="14.25" x14ac:dyDescent="0.2">
      <c r="B14" s="42" t="s">
        <v>26</v>
      </c>
      <c r="C14" s="5">
        <v>282</v>
      </c>
      <c r="D14" s="5">
        <v>304</v>
      </c>
      <c r="E14" s="13">
        <v>291</v>
      </c>
      <c r="F14" s="13">
        <v>514</v>
      </c>
      <c r="G14" s="5">
        <v>332</v>
      </c>
      <c r="H14" s="5">
        <v>427</v>
      </c>
      <c r="I14" s="5">
        <v>584</v>
      </c>
      <c r="J14" s="5">
        <v>502</v>
      </c>
      <c r="K14" s="5">
        <v>563</v>
      </c>
      <c r="L14" s="5">
        <v>631</v>
      </c>
      <c r="M14" s="5">
        <v>545</v>
      </c>
      <c r="N14" s="5">
        <v>390</v>
      </c>
      <c r="O14" s="5">
        <v>524</v>
      </c>
      <c r="P14" s="5">
        <v>316</v>
      </c>
      <c r="Q14" s="5">
        <v>319</v>
      </c>
      <c r="R14" s="5">
        <v>448</v>
      </c>
      <c r="S14" s="5">
        <v>458</v>
      </c>
      <c r="T14" s="5">
        <v>427</v>
      </c>
      <c r="U14" s="5">
        <v>537</v>
      </c>
      <c r="V14" s="5">
        <v>474</v>
      </c>
      <c r="W14" s="46"/>
      <c r="X14" s="46"/>
      <c r="Y14" s="46"/>
      <c r="Z14" s="46"/>
      <c r="AA14" s="46"/>
    </row>
    <row r="15" spans="1:27" ht="14.25" x14ac:dyDescent="0.2">
      <c r="B15" s="42" t="s">
        <v>27</v>
      </c>
      <c r="C15" s="5">
        <v>22</v>
      </c>
      <c r="D15" s="5">
        <v>17</v>
      </c>
      <c r="E15" s="13">
        <v>12</v>
      </c>
      <c r="F15" s="13">
        <v>36</v>
      </c>
      <c r="G15" s="5">
        <v>23</v>
      </c>
      <c r="H15" s="5">
        <v>18</v>
      </c>
      <c r="I15" s="5">
        <v>15</v>
      </c>
      <c r="J15" s="5">
        <v>8</v>
      </c>
      <c r="K15" s="5">
        <v>19</v>
      </c>
      <c r="L15" s="5">
        <v>30</v>
      </c>
      <c r="M15" s="5">
        <v>25</v>
      </c>
      <c r="N15" s="5">
        <v>18</v>
      </c>
      <c r="O15" s="5">
        <v>5</v>
      </c>
      <c r="P15" s="5">
        <v>26</v>
      </c>
      <c r="Q15" s="5">
        <v>2</v>
      </c>
      <c r="R15" s="5">
        <v>1</v>
      </c>
      <c r="S15" s="5">
        <v>0</v>
      </c>
      <c r="T15" s="5">
        <v>2</v>
      </c>
      <c r="U15" s="5">
        <v>4</v>
      </c>
      <c r="V15" s="5">
        <v>2</v>
      </c>
      <c r="W15" s="46"/>
      <c r="X15" s="46"/>
      <c r="Y15" s="46"/>
      <c r="Z15" s="46"/>
      <c r="AA15" s="46"/>
    </row>
    <row r="16" spans="1:27" ht="14.25" x14ac:dyDescent="0.2">
      <c r="B16" s="42" t="s">
        <v>28</v>
      </c>
      <c r="C16" s="5">
        <v>0</v>
      </c>
      <c r="D16" s="5">
        <v>0</v>
      </c>
      <c r="E16" s="13">
        <v>1</v>
      </c>
      <c r="F16" s="13">
        <v>2</v>
      </c>
      <c r="G16" s="5">
        <v>2</v>
      </c>
      <c r="H16" s="5">
        <v>0</v>
      </c>
      <c r="I16" s="5">
        <v>0</v>
      </c>
      <c r="J16" s="5">
        <v>0</v>
      </c>
      <c r="K16" s="5">
        <v>0</v>
      </c>
      <c r="L16" s="5">
        <v>0</v>
      </c>
      <c r="M16" s="5">
        <v>0</v>
      </c>
      <c r="N16" s="5">
        <v>0</v>
      </c>
      <c r="O16" s="5">
        <v>0</v>
      </c>
      <c r="P16" s="5">
        <v>0</v>
      </c>
      <c r="Q16" s="5">
        <v>0</v>
      </c>
      <c r="R16" s="5">
        <v>0</v>
      </c>
      <c r="S16" s="5">
        <v>0</v>
      </c>
      <c r="T16" s="5">
        <v>0</v>
      </c>
      <c r="U16" s="5">
        <v>1</v>
      </c>
      <c r="V16" s="5">
        <v>0</v>
      </c>
      <c r="W16" s="46"/>
      <c r="X16" s="46"/>
      <c r="Y16" s="46"/>
      <c r="Z16" s="46"/>
      <c r="AA16" s="46"/>
    </row>
    <row r="17" spans="2:27" ht="14.25" x14ac:dyDescent="0.2">
      <c r="B17" s="42" t="s">
        <v>29</v>
      </c>
      <c r="C17" s="5">
        <v>20</v>
      </c>
      <c r="D17" s="5">
        <v>20</v>
      </c>
      <c r="E17" s="13">
        <v>27</v>
      </c>
      <c r="F17" s="13">
        <v>29</v>
      </c>
      <c r="G17" s="5">
        <v>39</v>
      </c>
      <c r="H17" s="5">
        <v>30</v>
      </c>
      <c r="I17" s="5">
        <v>16</v>
      </c>
      <c r="J17" s="5">
        <v>13</v>
      </c>
      <c r="K17" s="5">
        <v>14</v>
      </c>
      <c r="L17" s="5">
        <v>11</v>
      </c>
      <c r="M17" s="5">
        <v>12</v>
      </c>
      <c r="N17" s="5">
        <v>2</v>
      </c>
      <c r="O17" s="5">
        <v>3</v>
      </c>
      <c r="P17" s="5">
        <v>6</v>
      </c>
      <c r="Q17" s="5">
        <v>10</v>
      </c>
      <c r="R17" s="5">
        <v>14</v>
      </c>
      <c r="S17" s="5">
        <v>12</v>
      </c>
      <c r="T17" s="5">
        <v>21</v>
      </c>
      <c r="U17" s="5">
        <v>14</v>
      </c>
      <c r="V17" s="5">
        <v>15</v>
      </c>
      <c r="W17" s="46"/>
      <c r="X17" s="46"/>
      <c r="Y17" s="46"/>
      <c r="Z17" s="46"/>
      <c r="AA17" s="46"/>
    </row>
    <row r="18" spans="2:27" ht="14.25" x14ac:dyDescent="0.2">
      <c r="B18" s="42" t="s">
        <v>30</v>
      </c>
      <c r="C18" s="5">
        <v>0</v>
      </c>
      <c r="D18" s="5">
        <v>0</v>
      </c>
      <c r="E18" s="13">
        <v>0</v>
      </c>
      <c r="F18" s="13">
        <v>0</v>
      </c>
      <c r="G18" s="5">
        <v>0</v>
      </c>
      <c r="H18" s="5">
        <v>0</v>
      </c>
      <c r="I18" s="5">
        <v>0</v>
      </c>
      <c r="J18" s="5">
        <v>0</v>
      </c>
      <c r="K18" s="5">
        <v>0</v>
      </c>
      <c r="L18" s="5">
        <v>0</v>
      </c>
      <c r="M18" s="5">
        <v>0</v>
      </c>
      <c r="N18" s="5">
        <v>0</v>
      </c>
      <c r="O18" s="5">
        <v>0</v>
      </c>
      <c r="P18" s="5">
        <v>0</v>
      </c>
      <c r="Q18" s="5">
        <v>0</v>
      </c>
      <c r="R18" s="5">
        <v>0</v>
      </c>
      <c r="S18" s="5">
        <v>0</v>
      </c>
      <c r="T18" s="5">
        <v>0</v>
      </c>
      <c r="U18" s="5">
        <v>0</v>
      </c>
      <c r="V18" s="5">
        <v>0</v>
      </c>
      <c r="W18" s="46"/>
      <c r="X18" s="46"/>
      <c r="Y18" s="46"/>
      <c r="Z18" s="46"/>
      <c r="AA18" s="46"/>
    </row>
    <row r="19" spans="2:27" ht="14.25" x14ac:dyDescent="0.2">
      <c r="B19" s="42" t="s">
        <v>24</v>
      </c>
      <c r="C19" s="5">
        <v>1</v>
      </c>
      <c r="D19" s="5">
        <v>1</v>
      </c>
      <c r="E19" s="13">
        <v>1</v>
      </c>
      <c r="F19" s="13">
        <v>2</v>
      </c>
      <c r="G19" s="5">
        <v>1</v>
      </c>
      <c r="H19" s="5">
        <v>0</v>
      </c>
      <c r="I19" s="5">
        <v>11</v>
      </c>
      <c r="J19" s="5">
        <v>5</v>
      </c>
      <c r="K19" s="5">
        <v>9</v>
      </c>
      <c r="L19" s="5">
        <v>7</v>
      </c>
      <c r="M19" s="5">
        <v>9</v>
      </c>
      <c r="N19" s="5">
        <v>7</v>
      </c>
      <c r="O19" s="5">
        <v>1</v>
      </c>
      <c r="P19" s="5">
        <v>4</v>
      </c>
      <c r="Q19" s="5">
        <v>11</v>
      </c>
      <c r="R19" s="5">
        <v>13</v>
      </c>
      <c r="S19" s="5">
        <v>14</v>
      </c>
      <c r="T19" s="5">
        <v>10</v>
      </c>
      <c r="U19" s="5">
        <v>4</v>
      </c>
      <c r="V19" s="5">
        <v>2</v>
      </c>
      <c r="W19" s="46"/>
      <c r="X19" s="46"/>
      <c r="Y19" s="46"/>
      <c r="Z19" s="46"/>
      <c r="AA19" s="46"/>
    </row>
    <row r="20" spans="2:27" ht="14.25" x14ac:dyDescent="0.2">
      <c r="B20" s="43" t="s">
        <v>0</v>
      </c>
      <c r="C20" s="4">
        <v>326</v>
      </c>
      <c r="D20" s="4">
        <v>342</v>
      </c>
      <c r="E20" s="49">
        <v>333</v>
      </c>
      <c r="F20" s="49">
        <v>583</v>
      </c>
      <c r="G20" s="4">
        <v>397</v>
      </c>
      <c r="H20" s="4">
        <v>475</v>
      </c>
      <c r="I20" s="4">
        <v>626</v>
      </c>
      <c r="J20" s="4">
        <v>529</v>
      </c>
      <c r="K20" s="4">
        <v>605</v>
      </c>
      <c r="L20" s="4">
        <v>680</v>
      </c>
      <c r="M20" s="4">
        <v>591</v>
      </c>
      <c r="N20" s="4">
        <v>417</v>
      </c>
      <c r="O20" s="4">
        <v>534</v>
      </c>
      <c r="P20" s="4">
        <v>352</v>
      </c>
      <c r="Q20" s="4">
        <v>343</v>
      </c>
      <c r="R20" s="4">
        <v>475</v>
      </c>
      <c r="S20" s="4">
        <v>484</v>
      </c>
      <c r="T20" s="4">
        <v>460</v>
      </c>
      <c r="U20" s="4">
        <v>559</v>
      </c>
      <c r="V20" s="4">
        <v>493</v>
      </c>
      <c r="W20" s="46"/>
      <c r="X20" s="46"/>
      <c r="Y20" s="46"/>
      <c r="Z20" s="46"/>
      <c r="AA20" s="46"/>
    </row>
    <row r="21" spans="2:27" ht="14.25" x14ac:dyDescent="0.2">
      <c r="B21" s="42" t="s">
        <v>63</v>
      </c>
      <c r="C21" s="5"/>
      <c r="D21" s="5"/>
      <c r="E21" s="5"/>
      <c r="F21" s="5"/>
      <c r="G21" s="5"/>
      <c r="H21" s="5"/>
      <c r="I21" s="5"/>
      <c r="J21" s="5"/>
      <c r="K21" s="5"/>
      <c r="L21" s="5"/>
      <c r="M21" s="13"/>
      <c r="N21" s="13"/>
      <c r="O21" s="5"/>
      <c r="P21" s="5"/>
      <c r="Q21" s="5"/>
      <c r="R21" s="5"/>
      <c r="S21" s="5"/>
      <c r="T21" s="5"/>
      <c r="U21" s="46"/>
      <c r="V21" s="46"/>
      <c r="W21" s="46"/>
      <c r="X21" s="46"/>
      <c r="Y21" s="46"/>
      <c r="Z21" s="46"/>
      <c r="AA21" s="46"/>
    </row>
    <row r="22" spans="2:27" ht="14.25" x14ac:dyDescent="0.2">
      <c r="B22" s="42" t="s">
        <v>25</v>
      </c>
      <c r="C22" s="5"/>
      <c r="D22" s="5"/>
      <c r="E22" s="5"/>
      <c r="F22" s="5"/>
      <c r="G22" s="5"/>
      <c r="H22" s="5"/>
      <c r="I22" s="5"/>
      <c r="J22" s="5"/>
      <c r="K22" s="5"/>
      <c r="L22" s="5"/>
      <c r="M22" s="13"/>
      <c r="N22" s="13"/>
      <c r="O22" s="5"/>
      <c r="P22" s="5"/>
      <c r="Q22" s="5"/>
      <c r="R22" s="5"/>
      <c r="S22" s="5"/>
      <c r="T22" s="5"/>
      <c r="U22" s="46"/>
      <c r="V22" s="46"/>
      <c r="W22" s="46"/>
      <c r="X22" s="46"/>
      <c r="Y22" s="46"/>
      <c r="Z22" s="46"/>
      <c r="AA22" s="46"/>
    </row>
    <row r="23" spans="2:27" x14ac:dyDescent="0.25">
      <c r="Q23" s="6"/>
      <c r="R23" s="6"/>
    </row>
    <row r="28" spans="2:27" x14ac:dyDescent="0.25">
      <c r="W28" s="116"/>
    </row>
  </sheetData>
  <phoneticPr fontId="4"/>
  <pageMargins left="0.75" right="0.75" top="1" bottom="1" header="0.51200000000000001" footer="0.51200000000000001"/>
  <pageSetup paperSize="9" scale="73" orientation="landscape"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AA18"/>
  <sheetViews>
    <sheetView showGridLines="0" zoomScale="92" workbookViewId="0">
      <selection activeCell="F38" sqref="F38"/>
    </sheetView>
  </sheetViews>
  <sheetFormatPr defaultColWidth="8.875" defaultRowHeight="13.5" x14ac:dyDescent="0.15"/>
  <cols>
    <col min="3" max="27" width="6.625" customWidth="1"/>
  </cols>
  <sheetData>
    <row r="2" spans="2:27" ht="15.75" x14ac:dyDescent="0.25">
      <c r="B2" s="35" t="s">
        <v>21</v>
      </c>
      <c r="C2" s="2"/>
      <c r="D2" s="2"/>
      <c r="E2" s="2"/>
      <c r="F2" s="2"/>
      <c r="G2" s="2"/>
      <c r="H2" s="2"/>
      <c r="I2" s="2"/>
      <c r="J2" s="2"/>
      <c r="K2" s="2"/>
      <c r="L2" s="2"/>
      <c r="M2" s="2"/>
      <c r="N2" s="2"/>
      <c r="O2" s="2"/>
      <c r="P2" s="2"/>
      <c r="Q2" s="2"/>
      <c r="R2" s="2"/>
      <c r="S2" s="2"/>
      <c r="T2" s="2"/>
    </row>
    <row r="3" spans="2:27" ht="14.25" x14ac:dyDescent="0.2">
      <c r="B3" s="50" t="s">
        <v>1</v>
      </c>
      <c r="C3" s="41">
        <v>1975</v>
      </c>
      <c r="D3" s="41">
        <v>1976</v>
      </c>
      <c r="E3" s="41">
        <v>1977</v>
      </c>
      <c r="F3" s="41">
        <v>1978</v>
      </c>
      <c r="G3" s="41">
        <v>1979</v>
      </c>
      <c r="H3" s="41">
        <v>1980</v>
      </c>
      <c r="I3" s="41">
        <v>1981</v>
      </c>
      <c r="J3" s="41">
        <v>1982</v>
      </c>
      <c r="K3" s="41">
        <v>1983</v>
      </c>
      <c r="L3" s="41">
        <v>1984</v>
      </c>
      <c r="M3" s="41">
        <v>1985</v>
      </c>
      <c r="N3" s="41">
        <v>1986</v>
      </c>
      <c r="O3" s="41">
        <v>1987</v>
      </c>
      <c r="P3" s="41">
        <v>1988</v>
      </c>
      <c r="Q3" s="41">
        <v>1989</v>
      </c>
      <c r="R3" s="41">
        <v>1990</v>
      </c>
      <c r="S3" s="41">
        <v>1991</v>
      </c>
      <c r="T3" s="41">
        <v>1992</v>
      </c>
      <c r="U3" s="41">
        <v>1993</v>
      </c>
      <c r="V3" s="41">
        <v>1994</v>
      </c>
      <c r="W3" s="41">
        <v>1995</v>
      </c>
      <c r="X3" s="41">
        <v>1996</v>
      </c>
      <c r="Y3" s="41">
        <v>1997</v>
      </c>
      <c r="Z3" s="41">
        <v>1998</v>
      </c>
      <c r="AA3" s="41">
        <v>1999</v>
      </c>
    </row>
    <row r="4" spans="2:27" ht="14.25" x14ac:dyDescent="0.2">
      <c r="B4" s="42" t="s">
        <v>2</v>
      </c>
      <c r="C4" s="51">
        <v>137</v>
      </c>
      <c r="D4" s="51">
        <v>57</v>
      </c>
      <c r="E4" s="51">
        <v>39</v>
      </c>
      <c r="F4" s="51">
        <v>54</v>
      </c>
      <c r="G4" s="51">
        <v>50</v>
      </c>
      <c r="H4" s="51">
        <v>186</v>
      </c>
      <c r="I4" s="51">
        <v>100</v>
      </c>
      <c r="J4" s="51">
        <v>260</v>
      </c>
      <c r="K4" s="51">
        <v>124</v>
      </c>
      <c r="L4" s="36">
        <v>110</v>
      </c>
      <c r="M4" s="36">
        <v>101</v>
      </c>
      <c r="N4" s="36">
        <v>252</v>
      </c>
      <c r="O4" s="36">
        <v>70</v>
      </c>
      <c r="P4" s="36">
        <v>49</v>
      </c>
      <c r="Q4" s="36">
        <v>44</v>
      </c>
      <c r="R4" s="36">
        <v>31</v>
      </c>
      <c r="S4" s="36">
        <v>21</v>
      </c>
      <c r="T4" s="36">
        <v>41</v>
      </c>
      <c r="U4" s="51">
        <v>66</v>
      </c>
      <c r="V4" s="51">
        <v>38</v>
      </c>
      <c r="W4" s="51">
        <v>54</v>
      </c>
      <c r="X4" s="51">
        <v>76</v>
      </c>
      <c r="Y4" s="51">
        <v>40</v>
      </c>
      <c r="Z4" s="51">
        <v>39</v>
      </c>
      <c r="AA4" s="51">
        <v>20</v>
      </c>
    </row>
    <row r="5" spans="2:27" ht="14.25" x14ac:dyDescent="0.2">
      <c r="B5" s="42" t="s">
        <v>51</v>
      </c>
      <c r="C5" s="51">
        <v>989</v>
      </c>
      <c r="D5" s="51">
        <v>844</v>
      </c>
      <c r="E5" s="51">
        <v>895</v>
      </c>
      <c r="F5" s="51">
        <v>605</v>
      </c>
      <c r="G5" s="51">
        <v>518</v>
      </c>
      <c r="H5" s="51">
        <v>768</v>
      </c>
      <c r="I5" s="51">
        <v>639</v>
      </c>
      <c r="J5" s="51">
        <v>498</v>
      </c>
      <c r="K5" s="51">
        <v>404</v>
      </c>
      <c r="L5" s="36">
        <v>188</v>
      </c>
      <c r="M5" s="36">
        <v>232</v>
      </c>
      <c r="N5" s="36">
        <v>239</v>
      </c>
      <c r="O5" s="36">
        <v>207</v>
      </c>
      <c r="P5" s="36">
        <v>167</v>
      </c>
      <c r="Q5" s="36">
        <v>164</v>
      </c>
      <c r="R5" s="36">
        <v>118</v>
      </c>
      <c r="S5" s="36">
        <v>125</v>
      </c>
      <c r="T5" s="36">
        <v>120</v>
      </c>
      <c r="U5" s="51">
        <v>160</v>
      </c>
      <c r="V5" s="51">
        <v>164</v>
      </c>
      <c r="W5" s="51">
        <v>121</v>
      </c>
      <c r="X5" s="51">
        <v>129</v>
      </c>
      <c r="Y5" s="51">
        <v>92</v>
      </c>
      <c r="Z5" s="51">
        <v>120</v>
      </c>
      <c r="AA5" s="51">
        <v>121</v>
      </c>
    </row>
    <row r="6" spans="2:27" ht="14.25" x14ac:dyDescent="0.2">
      <c r="B6" s="42" t="s">
        <v>3</v>
      </c>
      <c r="C6" s="51">
        <v>426</v>
      </c>
      <c r="D6" s="51">
        <v>361</v>
      </c>
      <c r="E6" s="51">
        <v>303</v>
      </c>
      <c r="F6" s="51">
        <v>353</v>
      </c>
      <c r="G6" s="51">
        <v>231</v>
      </c>
      <c r="H6" s="51">
        <v>219</v>
      </c>
      <c r="I6" s="51">
        <v>198</v>
      </c>
      <c r="J6" s="51">
        <v>172</v>
      </c>
      <c r="K6" s="51">
        <v>165</v>
      </c>
      <c r="L6" s="36">
        <v>164</v>
      </c>
      <c r="M6" s="36">
        <v>240</v>
      </c>
      <c r="N6" s="36">
        <v>258</v>
      </c>
      <c r="O6" s="36">
        <v>358</v>
      </c>
      <c r="P6" s="36">
        <v>319</v>
      </c>
      <c r="Q6" s="36">
        <v>168</v>
      </c>
      <c r="R6" s="36">
        <v>165</v>
      </c>
      <c r="S6" s="36">
        <v>126</v>
      </c>
      <c r="T6" s="36">
        <v>117</v>
      </c>
      <c r="U6" s="51">
        <v>122</v>
      </c>
      <c r="V6" s="51">
        <v>102</v>
      </c>
      <c r="W6" s="51">
        <v>75</v>
      </c>
      <c r="X6" s="51">
        <v>58</v>
      </c>
      <c r="Y6" s="51">
        <v>48</v>
      </c>
      <c r="Z6" s="51">
        <v>64</v>
      </c>
      <c r="AA6" s="51">
        <v>41</v>
      </c>
    </row>
    <row r="7" spans="2:27" ht="14.25" x14ac:dyDescent="0.2">
      <c r="B7" s="42" t="s">
        <v>32</v>
      </c>
      <c r="C7" s="51">
        <v>530</v>
      </c>
      <c r="D7" s="51">
        <v>532</v>
      </c>
      <c r="E7" s="51">
        <v>630</v>
      </c>
      <c r="F7" s="51">
        <v>773</v>
      </c>
      <c r="G7" s="51">
        <v>348</v>
      </c>
      <c r="H7" s="51">
        <v>261</v>
      </c>
      <c r="I7" s="51">
        <v>264</v>
      </c>
      <c r="J7" s="51">
        <v>285</v>
      </c>
      <c r="K7" s="51">
        <v>175</v>
      </c>
      <c r="L7" s="36">
        <v>176</v>
      </c>
      <c r="M7" s="36">
        <v>156</v>
      </c>
      <c r="N7" s="36">
        <v>119</v>
      </c>
      <c r="O7" s="36">
        <v>296</v>
      </c>
      <c r="P7" s="36">
        <v>271</v>
      </c>
      <c r="Q7" s="36">
        <v>218</v>
      </c>
      <c r="R7" s="36">
        <v>155</v>
      </c>
      <c r="S7" s="36">
        <v>139</v>
      </c>
      <c r="T7" s="36">
        <v>176</v>
      </c>
      <c r="U7" s="51">
        <v>128</v>
      </c>
      <c r="V7" s="51">
        <v>96</v>
      </c>
      <c r="W7" s="51">
        <v>92</v>
      </c>
      <c r="X7" s="51">
        <v>53</v>
      </c>
      <c r="Y7" s="51">
        <v>45</v>
      </c>
      <c r="Z7" s="51">
        <v>59</v>
      </c>
      <c r="AA7" s="51">
        <v>44</v>
      </c>
    </row>
    <row r="8" spans="2:27" ht="14.25" x14ac:dyDescent="0.2">
      <c r="B8" s="42" t="s">
        <v>33</v>
      </c>
      <c r="C8" s="51">
        <v>215</v>
      </c>
      <c r="D8" s="51">
        <v>193</v>
      </c>
      <c r="E8" s="51">
        <v>146</v>
      </c>
      <c r="F8" s="51">
        <v>379</v>
      </c>
      <c r="G8" s="51">
        <v>112</v>
      </c>
      <c r="H8" s="51">
        <v>133</v>
      </c>
      <c r="I8" s="51">
        <v>251</v>
      </c>
      <c r="J8" s="51">
        <v>135</v>
      </c>
      <c r="K8" s="51">
        <v>91</v>
      </c>
      <c r="L8" s="36">
        <v>131</v>
      </c>
      <c r="M8" s="36">
        <v>152</v>
      </c>
      <c r="N8" s="36">
        <v>92</v>
      </c>
      <c r="O8" s="36">
        <v>72</v>
      </c>
      <c r="P8" s="36">
        <v>70</v>
      </c>
      <c r="Q8" s="36">
        <v>63</v>
      </c>
      <c r="R8" s="36">
        <v>73</v>
      </c>
      <c r="S8" s="36">
        <v>45</v>
      </c>
      <c r="T8" s="36">
        <v>53</v>
      </c>
      <c r="U8" s="51">
        <v>42</v>
      </c>
      <c r="V8" s="51">
        <v>25</v>
      </c>
      <c r="W8" s="51">
        <v>15</v>
      </c>
      <c r="X8" s="51">
        <v>5</v>
      </c>
      <c r="Y8" s="51">
        <v>4</v>
      </c>
      <c r="Z8" s="51">
        <v>3</v>
      </c>
      <c r="AA8" s="51">
        <v>6</v>
      </c>
    </row>
    <row r="9" spans="2:27" ht="14.25" x14ac:dyDescent="0.2">
      <c r="B9" s="43" t="s">
        <v>31</v>
      </c>
      <c r="C9" s="52">
        <v>2296</v>
      </c>
      <c r="D9" s="52">
        <v>1987</v>
      </c>
      <c r="E9" s="52">
        <v>2015</v>
      </c>
      <c r="F9" s="52">
        <v>2164</v>
      </c>
      <c r="G9" s="52">
        <v>1259</v>
      </c>
      <c r="H9" s="52">
        <v>1567</v>
      </c>
      <c r="I9" s="52">
        <v>1451</v>
      </c>
      <c r="J9" s="52">
        <v>1350</v>
      </c>
      <c r="K9" s="52">
        <v>960</v>
      </c>
      <c r="L9" s="37">
        <v>769</v>
      </c>
      <c r="M9" s="37">
        <v>881</v>
      </c>
      <c r="N9" s="37">
        <v>960</v>
      </c>
      <c r="O9" s="37">
        <v>1003</v>
      </c>
      <c r="P9" s="37">
        <v>875</v>
      </c>
      <c r="Q9" s="37">
        <v>657</v>
      </c>
      <c r="R9" s="37">
        <v>541</v>
      </c>
      <c r="S9" s="37">
        <v>456</v>
      </c>
      <c r="T9" s="37">
        <v>507</v>
      </c>
      <c r="U9" s="52">
        <v>518</v>
      </c>
      <c r="V9" s="52">
        <v>424</v>
      </c>
      <c r="W9" s="52">
        <v>357</v>
      </c>
      <c r="X9" s="52">
        <v>320</v>
      </c>
      <c r="Y9" s="52">
        <v>229</v>
      </c>
      <c r="Z9" s="52">
        <v>286</v>
      </c>
      <c r="AA9" s="52">
        <v>232</v>
      </c>
    </row>
    <row r="10" spans="2:27" ht="15" x14ac:dyDescent="0.25">
      <c r="B10" s="45"/>
      <c r="C10" s="45"/>
      <c r="D10" s="45"/>
      <c r="E10" s="45"/>
      <c r="F10" s="45"/>
      <c r="G10" s="45"/>
      <c r="H10" s="45"/>
      <c r="I10" s="45"/>
      <c r="J10" s="45"/>
      <c r="K10" s="45"/>
      <c r="L10" s="45"/>
      <c r="M10" s="45"/>
      <c r="N10" s="45"/>
      <c r="O10" s="45"/>
      <c r="P10" s="45"/>
      <c r="Q10" s="45"/>
      <c r="R10" s="45"/>
      <c r="S10" s="45"/>
      <c r="T10" s="45"/>
      <c r="U10" s="46"/>
      <c r="V10" s="46"/>
      <c r="W10" s="46"/>
      <c r="X10" s="46"/>
      <c r="Y10" s="46"/>
      <c r="Z10" s="46"/>
      <c r="AA10" s="46"/>
    </row>
    <row r="11" spans="2:27" ht="14.25" x14ac:dyDescent="0.2">
      <c r="B11" s="50" t="s">
        <v>1</v>
      </c>
      <c r="C11" s="47">
        <v>2000</v>
      </c>
      <c r="D11" s="47">
        <v>2001</v>
      </c>
      <c r="E11" s="48">
        <v>2002</v>
      </c>
      <c r="F11" s="48">
        <v>2003</v>
      </c>
      <c r="G11" s="48">
        <v>2004</v>
      </c>
      <c r="H11" s="48">
        <v>2005</v>
      </c>
      <c r="I11" s="48">
        <v>2006</v>
      </c>
      <c r="J11" s="48">
        <v>2007</v>
      </c>
      <c r="K11" s="48">
        <v>2008</v>
      </c>
      <c r="L11" s="48">
        <v>2009</v>
      </c>
      <c r="M11" s="48">
        <v>2010</v>
      </c>
      <c r="N11" s="48">
        <v>2011</v>
      </c>
      <c r="O11" s="48">
        <v>2012</v>
      </c>
      <c r="P11" s="48">
        <v>2013</v>
      </c>
      <c r="Q11" s="48">
        <v>2014</v>
      </c>
      <c r="R11" s="48">
        <v>2015</v>
      </c>
      <c r="S11" s="48">
        <v>2016</v>
      </c>
      <c r="T11" s="48">
        <v>2017</v>
      </c>
      <c r="U11" s="48">
        <v>2018</v>
      </c>
      <c r="V11" s="48">
        <v>2019</v>
      </c>
      <c r="W11" s="46"/>
      <c r="X11" s="46"/>
      <c r="Y11" s="46"/>
      <c r="Z11" s="46"/>
      <c r="AA11" s="46"/>
    </row>
    <row r="12" spans="2:27" ht="14.25" x14ac:dyDescent="0.2">
      <c r="B12" s="42" t="s">
        <v>2</v>
      </c>
      <c r="C12" s="51">
        <v>35</v>
      </c>
      <c r="D12" s="51">
        <v>80</v>
      </c>
      <c r="E12" s="36">
        <v>60</v>
      </c>
      <c r="F12" s="36">
        <v>48</v>
      </c>
      <c r="G12" s="36">
        <v>13</v>
      </c>
      <c r="H12" s="36">
        <v>44</v>
      </c>
      <c r="I12" s="36">
        <v>47</v>
      </c>
      <c r="J12" s="36">
        <v>37</v>
      </c>
      <c r="K12" s="36">
        <v>48</v>
      </c>
      <c r="L12" s="36">
        <v>81</v>
      </c>
      <c r="M12" s="36">
        <v>66</v>
      </c>
      <c r="N12" s="36">
        <v>89</v>
      </c>
      <c r="O12" s="36">
        <v>87</v>
      </c>
      <c r="P12" s="36">
        <v>64</v>
      </c>
      <c r="Q12" s="36">
        <v>67</v>
      </c>
      <c r="R12" s="36">
        <v>103</v>
      </c>
      <c r="S12" s="36">
        <v>64</v>
      </c>
      <c r="T12" s="53">
        <v>36</v>
      </c>
      <c r="U12" s="53">
        <v>99</v>
      </c>
      <c r="V12" s="53">
        <v>55</v>
      </c>
      <c r="W12" s="46"/>
      <c r="X12" s="46"/>
      <c r="Y12" s="46"/>
      <c r="Z12" s="46"/>
      <c r="AA12" s="46"/>
    </row>
    <row r="13" spans="2:27" ht="14.25" x14ac:dyDescent="0.2">
      <c r="B13" s="42" t="s">
        <v>51</v>
      </c>
      <c r="C13" s="51">
        <v>108</v>
      </c>
      <c r="D13" s="51">
        <v>95</v>
      </c>
      <c r="E13" s="36">
        <v>56</v>
      </c>
      <c r="F13" s="36">
        <v>138</v>
      </c>
      <c r="G13" s="36">
        <v>52</v>
      </c>
      <c r="H13" s="36">
        <v>46</v>
      </c>
      <c r="I13" s="36">
        <v>75</v>
      </c>
      <c r="J13" s="36">
        <v>86</v>
      </c>
      <c r="K13" s="36">
        <v>48</v>
      </c>
      <c r="L13" s="36">
        <v>119</v>
      </c>
      <c r="M13" s="36">
        <v>90</v>
      </c>
      <c r="N13" s="36">
        <v>61</v>
      </c>
      <c r="O13" s="36">
        <v>136</v>
      </c>
      <c r="P13" s="36">
        <v>107</v>
      </c>
      <c r="Q13" s="36">
        <v>150</v>
      </c>
      <c r="R13" s="36">
        <v>236</v>
      </c>
      <c r="S13" s="36">
        <v>280</v>
      </c>
      <c r="T13" s="53">
        <v>268</v>
      </c>
      <c r="U13" s="53">
        <v>241</v>
      </c>
      <c r="V13" s="53">
        <v>139</v>
      </c>
      <c r="W13" s="46"/>
      <c r="X13" s="46"/>
      <c r="Y13" s="46"/>
      <c r="Z13" s="46"/>
      <c r="AA13" s="46"/>
    </row>
    <row r="14" spans="2:27" ht="14.25" x14ac:dyDescent="0.2">
      <c r="B14" s="42" t="s">
        <v>3</v>
      </c>
      <c r="C14" s="51">
        <v>61</v>
      </c>
      <c r="D14" s="51">
        <v>58</v>
      </c>
      <c r="E14" s="36">
        <v>62</v>
      </c>
      <c r="F14" s="36">
        <v>124</v>
      </c>
      <c r="G14" s="36">
        <v>81</v>
      </c>
      <c r="H14" s="36">
        <v>120</v>
      </c>
      <c r="I14" s="36">
        <v>155</v>
      </c>
      <c r="J14" s="36">
        <v>85</v>
      </c>
      <c r="K14" s="36">
        <v>157</v>
      </c>
      <c r="L14" s="36">
        <v>140</v>
      </c>
      <c r="M14" s="36">
        <v>116</v>
      </c>
      <c r="N14" s="36">
        <v>169</v>
      </c>
      <c r="O14" s="36">
        <v>283</v>
      </c>
      <c r="P14" s="36">
        <v>128</v>
      </c>
      <c r="Q14" s="36">
        <v>72</v>
      </c>
      <c r="R14" s="36">
        <v>94</v>
      </c>
      <c r="S14" s="36">
        <v>98</v>
      </c>
      <c r="T14" s="53">
        <v>105</v>
      </c>
      <c r="U14" s="53">
        <v>146</v>
      </c>
      <c r="V14" s="53">
        <v>141</v>
      </c>
      <c r="W14" s="46"/>
      <c r="X14" s="46"/>
      <c r="Y14" s="46"/>
      <c r="Z14" s="46"/>
      <c r="AA14" s="46"/>
    </row>
    <row r="15" spans="2:27" ht="14.25" x14ac:dyDescent="0.2">
      <c r="B15" s="42" t="s">
        <v>32</v>
      </c>
      <c r="C15" s="51">
        <v>70</v>
      </c>
      <c r="D15" s="51">
        <v>61</v>
      </c>
      <c r="E15" s="36">
        <v>101</v>
      </c>
      <c r="F15" s="36">
        <v>181</v>
      </c>
      <c r="G15" s="36">
        <v>149</v>
      </c>
      <c r="H15" s="36">
        <v>163</v>
      </c>
      <c r="I15" s="36">
        <v>215</v>
      </c>
      <c r="J15" s="36">
        <v>226</v>
      </c>
      <c r="K15" s="36">
        <v>252</v>
      </c>
      <c r="L15" s="36">
        <v>256</v>
      </c>
      <c r="M15" s="36">
        <v>236</v>
      </c>
      <c r="N15" s="36">
        <v>48</v>
      </c>
      <c r="O15" s="36">
        <v>10</v>
      </c>
      <c r="P15" s="36">
        <v>4</v>
      </c>
      <c r="Q15" s="36">
        <v>3</v>
      </c>
      <c r="R15" s="36">
        <v>5</v>
      </c>
      <c r="S15" s="36">
        <v>7</v>
      </c>
      <c r="T15" s="53">
        <v>5</v>
      </c>
      <c r="U15" s="53">
        <v>6</v>
      </c>
      <c r="V15" s="53">
        <v>7</v>
      </c>
      <c r="W15" s="46"/>
      <c r="X15" s="46"/>
      <c r="Y15" s="46"/>
      <c r="Z15" s="46"/>
      <c r="AA15" s="46"/>
    </row>
    <row r="16" spans="2:27" ht="14.25" x14ac:dyDescent="0.2">
      <c r="B16" s="42" t="s">
        <v>33</v>
      </c>
      <c r="C16" s="51">
        <v>9</v>
      </c>
      <c r="D16" s="51">
        <v>9</v>
      </c>
      <c r="E16" s="36">
        <v>12</v>
      </c>
      <c r="F16" s="36">
        <v>24</v>
      </c>
      <c r="G16" s="36">
        <v>36</v>
      </c>
      <c r="H16" s="36">
        <v>55</v>
      </c>
      <c r="I16" s="36">
        <v>91</v>
      </c>
      <c r="J16" s="36">
        <v>69</v>
      </c>
      <c r="K16" s="36">
        <v>58</v>
      </c>
      <c r="L16" s="36">
        <v>35</v>
      </c>
      <c r="M16" s="36">
        <v>37</v>
      </c>
      <c r="N16" s="36">
        <v>23</v>
      </c>
      <c r="O16" s="36">
        <v>9</v>
      </c>
      <c r="P16" s="36">
        <v>13</v>
      </c>
      <c r="Q16" s="36">
        <v>27</v>
      </c>
      <c r="R16" s="36">
        <v>10</v>
      </c>
      <c r="S16" s="36">
        <v>8</v>
      </c>
      <c r="T16" s="53">
        <v>14</v>
      </c>
      <c r="U16" s="53">
        <v>46</v>
      </c>
      <c r="V16" s="53">
        <v>22</v>
      </c>
      <c r="W16" s="46"/>
      <c r="X16" s="46"/>
      <c r="Y16" s="46"/>
      <c r="Z16" s="46"/>
      <c r="AA16" s="46"/>
    </row>
    <row r="17" spans="2:27" ht="14.25" x14ac:dyDescent="0.2">
      <c r="B17" s="43" t="s">
        <v>31</v>
      </c>
      <c r="C17" s="52">
        <v>282</v>
      </c>
      <c r="D17" s="52">
        <v>304</v>
      </c>
      <c r="E17" s="37">
        <v>291</v>
      </c>
      <c r="F17" s="37">
        <v>514</v>
      </c>
      <c r="G17" s="37">
        <v>332</v>
      </c>
      <c r="H17" s="37">
        <v>427</v>
      </c>
      <c r="I17" s="37">
        <v>584</v>
      </c>
      <c r="J17" s="37">
        <v>502</v>
      </c>
      <c r="K17" s="37">
        <v>563</v>
      </c>
      <c r="L17" s="37">
        <v>631</v>
      </c>
      <c r="M17" s="37">
        <v>545</v>
      </c>
      <c r="N17" s="37">
        <v>390</v>
      </c>
      <c r="O17" s="37">
        <v>524</v>
      </c>
      <c r="P17" s="37">
        <v>316</v>
      </c>
      <c r="Q17" s="37">
        <v>319</v>
      </c>
      <c r="R17" s="37">
        <v>448</v>
      </c>
      <c r="S17" s="37">
        <v>458</v>
      </c>
      <c r="T17" s="54">
        <v>427</v>
      </c>
      <c r="U17" s="54">
        <v>537</v>
      </c>
      <c r="V17" s="54">
        <v>364</v>
      </c>
      <c r="W17" s="46"/>
      <c r="X17" s="46"/>
      <c r="Y17" s="46"/>
      <c r="Z17" s="46"/>
      <c r="AA17" s="46"/>
    </row>
    <row r="18" spans="2:27" ht="15" x14ac:dyDescent="0.25">
      <c r="B18" s="42" t="s">
        <v>62</v>
      </c>
      <c r="C18" s="45"/>
      <c r="D18" s="45"/>
      <c r="E18" s="45"/>
      <c r="F18" s="45"/>
      <c r="G18" s="45"/>
      <c r="H18" s="45"/>
      <c r="I18" s="45"/>
      <c r="J18" s="45"/>
      <c r="K18" s="45"/>
      <c r="L18" s="45"/>
      <c r="M18" s="45"/>
      <c r="N18" s="45"/>
      <c r="O18" s="45"/>
      <c r="P18" s="45"/>
      <c r="Q18" s="45"/>
      <c r="R18" s="45"/>
      <c r="S18" s="45"/>
      <c r="T18" s="45"/>
      <c r="U18" s="46"/>
      <c r="V18" s="46"/>
      <c r="W18" s="46"/>
      <c r="X18" s="46"/>
      <c r="Y18" s="46"/>
      <c r="Z18" s="46"/>
      <c r="AA18" s="46"/>
    </row>
  </sheetData>
  <phoneticPr fontId="4"/>
  <pageMargins left="0.7" right="0.7" top="0.75" bottom="0.75" header="0.3" footer="0.3"/>
  <pageSetup paperSize="9" scale="72"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K53"/>
  <sheetViews>
    <sheetView showGridLines="0" zoomScaleNormal="100" workbookViewId="0">
      <selection activeCell="K23" sqref="K23"/>
    </sheetView>
  </sheetViews>
  <sheetFormatPr defaultColWidth="9" defaultRowHeight="12.75" x14ac:dyDescent="0.2"/>
  <cols>
    <col min="1" max="1" width="9" style="10"/>
    <col min="2" max="2" width="7.125" style="15" customWidth="1"/>
    <col min="3" max="8" width="9.125" style="15" customWidth="1"/>
    <col min="9" max="16384" width="9" style="10"/>
  </cols>
  <sheetData>
    <row r="2" spans="2:11" ht="13.5" x14ac:dyDescent="0.2">
      <c r="B2" s="8" t="s">
        <v>59</v>
      </c>
      <c r="C2" s="9"/>
      <c r="D2" s="9"/>
      <c r="E2" s="9"/>
      <c r="F2" s="9"/>
      <c r="G2" s="9"/>
      <c r="H2" s="9"/>
    </row>
    <row r="3" spans="2:11" x14ac:dyDescent="0.15">
      <c r="B3" s="117" t="s">
        <v>49</v>
      </c>
      <c r="C3" s="55" t="s">
        <v>4</v>
      </c>
      <c r="D3" s="55" t="s">
        <v>52</v>
      </c>
      <c r="E3" s="55" t="s">
        <v>52</v>
      </c>
      <c r="F3" s="55" t="s">
        <v>3</v>
      </c>
      <c r="G3" s="55" t="s">
        <v>53</v>
      </c>
      <c r="H3" s="55" t="s">
        <v>54</v>
      </c>
    </row>
    <row r="4" spans="2:11" ht="13.5" x14ac:dyDescent="0.2">
      <c r="B4" s="118"/>
      <c r="C4" s="56" t="s">
        <v>57</v>
      </c>
      <c r="D4" s="56" t="s">
        <v>57</v>
      </c>
      <c r="E4" s="57" t="s">
        <v>58</v>
      </c>
      <c r="F4" s="58" t="s">
        <v>34</v>
      </c>
      <c r="G4" s="58" t="s">
        <v>34</v>
      </c>
      <c r="H4" s="58" t="s">
        <v>34</v>
      </c>
    </row>
    <row r="5" spans="2:11" ht="13.5" x14ac:dyDescent="0.2">
      <c r="B5" s="12">
        <v>1972</v>
      </c>
      <c r="C5" s="13">
        <v>3269</v>
      </c>
      <c r="D5" s="13">
        <v>16299</v>
      </c>
      <c r="E5" s="13">
        <v>1350</v>
      </c>
      <c r="F5" s="13">
        <v>7106</v>
      </c>
      <c r="G5" s="13">
        <v>13610</v>
      </c>
      <c r="H5" s="13">
        <v>2113</v>
      </c>
      <c r="J5" s="16"/>
      <c r="K5" s="16"/>
    </row>
    <row r="6" spans="2:11" ht="13.5" x14ac:dyDescent="0.2">
      <c r="B6" s="12">
        <v>1973</v>
      </c>
      <c r="C6" s="13">
        <v>1931</v>
      </c>
      <c r="D6" s="13">
        <v>15896</v>
      </c>
      <c r="E6" s="13">
        <v>3569</v>
      </c>
      <c r="F6" s="13">
        <v>4331</v>
      </c>
      <c r="G6" s="13">
        <v>10101</v>
      </c>
      <c r="H6" s="13">
        <v>2114</v>
      </c>
    </row>
    <row r="7" spans="2:11" ht="13.5" x14ac:dyDescent="0.2">
      <c r="B7" s="12">
        <v>1974</v>
      </c>
      <c r="C7" s="13">
        <v>1615</v>
      </c>
      <c r="D7" s="13">
        <v>13800</v>
      </c>
      <c r="E7" s="13">
        <v>3871</v>
      </c>
      <c r="F7" s="13">
        <v>4691</v>
      </c>
      <c r="G7" s="13">
        <v>9793</v>
      </c>
      <c r="H7" s="13">
        <v>3426</v>
      </c>
    </row>
    <row r="8" spans="2:11" ht="13.5" x14ac:dyDescent="0.2">
      <c r="B8" s="12">
        <v>1975</v>
      </c>
      <c r="C8" s="13">
        <v>2425</v>
      </c>
      <c r="D8" s="13">
        <v>14039</v>
      </c>
      <c r="E8" s="13">
        <v>4305</v>
      </c>
      <c r="F8" s="13">
        <v>5706</v>
      </c>
      <c r="G8" s="13">
        <v>10240</v>
      </c>
      <c r="H8" s="13">
        <v>3597</v>
      </c>
    </row>
    <row r="9" spans="2:11" ht="13.5" x14ac:dyDescent="0.2">
      <c r="B9" s="12">
        <v>1976</v>
      </c>
      <c r="C9" s="13">
        <v>1420</v>
      </c>
      <c r="D9" s="13">
        <v>10569</v>
      </c>
      <c r="E9" s="13">
        <v>4561</v>
      </c>
      <c r="F9" s="13">
        <v>4982</v>
      </c>
      <c r="G9" s="13">
        <v>12029</v>
      </c>
      <c r="H9" s="13">
        <v>3364</v>
      </c>
    </row>
    <row r="10" spans="2:11" ht="13.5" x14ac:dyDescent="0.2">
      <c r="B10" s="12">
        <v>1977</v>
      </c>
      <c r="C10" s="13">
        <v>614</v>
      </c>
      <c r="D10" s="13">
        <v>10625</v>
      </c>
      <c r="E10" s="13">
        <v>3203</v>
      </c>
      <c r="F10" s="13">
        <v>6107</v>
      </c>
      <c r="G10" s="13">
        <v>12265</v>
      </c>
      <c r="H10" s="13">
        <v>2753</v>
      </c>
    </row>
    <row r="11" spans="2:11" ht="13.5" x14ac:dyDescent="0.2">
      <c r="B11" s="12">
        <v>1978</v>
      </c>
      <c r="C11" s="13">
        <v>814</v>
      </c>
      <c r="D11" s="13">
        <v>12338</v>
      </c>
      <c r="E11" s="13">
        <v>1739</v>
      </c>
      <c r="F11" s="13">
        <v>5853</v>
      </c>
      <c r="G11" s="13">
        <v>12426</v>
      </c>
      <c r="H11" s="13">
        <v>4411</v>
      </c>
    </row>
    <row r="12" spans="2:11" ht="13.5" x14ac:dyDescent="0.2">
      <c r="B12" s="12">
        <v>1979</v>
      </c>
      <c r="C12" s="13">
        <v>2097</v>
      </c>
      <c r="D12" s="13">
        <v>13359</v>
      </c>
      <c r="E12" s="13">
        <v>1693</v>
      </c>
      <c r="F12" s="13">
        <v>5752</v>
      </c>
      <c r="G12" s="13">
        <v>8231</v>
      </c>
      <c r="H12" s="13">
        <v>2746</v>
      </c>
    </row>
    <row r="13" spans="2:11" ht="13.5" x14ac:dyDescent="0.2">
      <c r="B13" s="12">
        <v>1980</v>
      </c>
      <c r="C13" s="13">
        <v>5281</v>
      </c>
      <c r="D13" s="13">
        <v>16788</v>
      </c>
      <c r="E13" s="13">
        <v>2073</v>
      </c>
      <c r="F13" s="13">
        <v>4646</v>
      </c>
      <c r="G13" s="13">
        <v>5993</v>
      </c>
      <c r="H13" s="13">
        <v>4501</v>
      </c>
    </row>
    <row r="14" spans="2:11" ht="13.5" x14ac:dyDescent="0.2">
      <c r="B14" s="12">
        <v>1981</v>
      </c>
      <c r="C14" s="13">
        <v>3649</v>
      </c>
      <c r="D14" s="13">
        <v>14276</v>
      </c>
      <c r="E14" s="13">
        <v>3019</v>
      </c>
      <c r="F14" s="13">
        <v>3694</v>
      </c>
      <c r="G14" s="13">
        <v>4751</v>
      </c>
      <c r="H14" s="13">
        <v>6089</v>
      </c>
    </row>
    <row r="15" spans="2:11" ht="13.5" x14ac:dyDescent="0.2">
      <c r="B15" s="12">
        <v>1982</v>
      </c>
      <c r="C15" s="13">
        <v>6658</v>
      </c>
      <c r="D15" s="13">
        <v>13160</v>
      </c>
      <c r="E15" s="13">
        <v>2613</v>
      </c>
      <c r="F15" s="13">
        <v>3423</v>
      </c>
      <c r="G15" s="13">
        <v>7180</v>
      </c>
      <c r="H15" s="13">
        <v>4474</v>
      </c>
    </row>
    <row r="16" spans="2:11" ht="13.5" x14ac:dyDescent="0.2">
      <c r="B16" s="12">
        <v>1983</v>
      </c>
      <c r="C16" s="13">
        <v>3339</v>
      </c>
      <c r="D16" s="13">
        <v>11162</v>
      </c>
      <c r="E16" s="13">
        <v>3028</v>
      </c>
      <c r="F16" s="13">
        <v>3944</v>
      </c>
      <c r="G16" s="13">
        <v>5191</v>
      </c>
      <c r="H16" s="13">
        <v>3471</v>
      </c>
    </row>
    <row r="17" spans="2:8" ht="13.5" x14ac:dyDescent="0.2">
      <c r="B17" s="12">
        <v>1984</v>
      </c>
      <c r="C17" s="13">
        <v>3218</v>
      </c>
      <c r="D17" s="13">
        <v>6252</v>
      </c>
      <c r="E17" s="13">
        <v>2461</v>
      </c>
      <c r="F17" s="13">
        <v>3652</v>
      </c>
      <c r="G17" s="13">
        <v>4000</v>
      </c>
      <c r="H17" s="13">
        <v>3770</v>
      </c>
    </row>
    <row r="18" spans="2:8" ht="13.5" x14ac:dyDescent="0.2">
      <c r="B18" s="12">
        <v>1985</v>
      </c>
      <c r="C18" s="13">
        <v>4093</v>
      </c>
      <c r="D18" s="13">
        <v>8509</v>
      </c>
      <c r="E18" s="13">
        <v>2618</v>
      </c>
      <c r="F18" s="13">
        <v>5886</v>
      </c>
      <c r="G18" s="13">
        <v>4621</v>
      </c>
      <c r="H18" s="13">
        <v>4505</v>
      </c>
    </row>
    <row r="19" spans="2:8" ht="13.5" x14ac:dyDescent="0.2">
      <c r="B19" s="12">
        <v>1986</v>
      </c>
      <c r="C19" s="13">
        <v>8012</v>
      </c>
      <c r="D19" s="13">
        <v>8541</v>
      </c>
      <c r="E19" s="13">
        <v>2691</v>
      </c>
      <c r="F19" s="13">
        <v>7475</v>
      </c>
      <c r="G19" s="13">
        <v>4367</v>
      </c>
      <c r="H19" s="13">
        <v>3724</v>
      </c>
    </row>
    <row r="20" spans="2:8" ht="13.5" x14ac:dyDescent="0.2">
      <c r="B20" s="12">
        <v>1987</v>
      </c>
      <c r="C20" s="13">
        <v>3667</v>
      </c>
      <c r="D20" s="13">
        <v>6187</v>
      </c>
      <c r="E20" s="13">
        <v>2924</v>
      </c>
      <c r="F20" s="13">
        <v>7129</v>
      </c>
      <c r="G20" s="13">
        <v>6554</v>
      </c>
      <c r="H20" s="13">
        <v>2822</v>
      </c>
    </row>
    <row r="21" spans="2:8" ht="13.5" x14ac:dyDescent="0.2">
      <c r="B21" s="12">
        <v>1988</v>
      </c>
      <c r="C21" s="13">
        <v>3527</v>
      </c>
      <c r="D21" s="13">
        <v>3936</v>
      </c>
      <c r="E21" s="13">
        <v>4364</v>
      </c>
      <c r="F21" s="13">
        <v>8873</v>
      </c>
      <c r="G21" s="13">
        <v>9218</v>
      </c>
      <c r="H21" s="13">
        <v>2481</v>
      </c>
    </row>
    <row r="22" spans="2:8" ht="13.5" x14ac:dyDescent="0.2">
      <c r="B22" s="12">
        <v>1989</v>
      </c>
      <c r="C22" s="13">
        <v>2278</v>
      </c>
      <c r="D22" s="13">
        <v>2896</v>
      </c>
      <c r="E22" s="13">
        <v>4783</v>
      </c>
      <c r="F22" s="13">
        <v>9012</v>
      </c>
      <c r="G22" s="13">
        <v>7657</v>
      </c>
      <c r="H22" s="13">
        <v>2734</v>
      </c>
    </row>
    <row r="23" spans="2:8" ht="13.5" x14ac:dyDescent="0.2">
      <c r="B23" s="12">
        <v>1990</v>
      </c>
      <c r="C23" s="13">
        <v>1888</v>
      </c>
      <c r="D23" s="13">
        <v>3098</v>
      </c>
      <c r="E23" s="13">
        <v>4086</v>
      </c>
      <c r="F23" s="13">
        <v>9232</v>
      </c>
      <c r="G23" s="13">
        <v>7604</v>
      </c>
      <c r="H23" s="13">
        <v>2829</v>
      </c>
    </row>
    <row r="24" spans="2:8" ht="13.5" x14ac:dyDescent="0.2">
      <c r="B24" s="12">
        <v>1991</v>
      </c>
      <c r="C24" s="13">
        <v>1327</v>
      </c>
      <c r="D24" s="13">
        <v>2356</v>
      </c>
      <c r="E24" s="13">
        <v>4302</v>
      </c>
      <c r="F24" s="13">
        <v>7696</v>
      </c>
      <c r="G24" s="13">
        <v>6809</v>
      </c>
      <c r="H24" s="13">
        <v>2034</v>
      </c>
    </row>
    <row r="25" spans="2:8" ht="13.5" x14ac:dyDescent="0.2">
      <c r="B25" s="12">
        <v>1992</v>
      </c>
      <c r="C25" s="13">
        <v>2112</v>
      </c>
      <c r="D25" s="13">
        <v>2613</v>
      </c>
      <c r="E25" s="13">
        <v>4619</v>
      </c>
      <c r="F25" s="13">
        <v>7187</v>
      </c>
      <c r="G25" s="13">
        <v>7535</v>
      </c>
      <c r="H25" s="13">
        <v>2922</v>
      </c>
    </row>
    <row r="26" spans="2:8" ht="13.5" x14ac:dyDescent="0.2">
      <c r="B26" s="12">
        <v>1993</v>
      </c>
      <c r="C26" s="13">
        <v>3834</v>
      </c>
      <c r="D26" s="13">
        <v>2634</v>
      </c>
      <c r="E26" s="13">
        <v>5444</v>
      </c>
      <c r="F26" s="13">
        <v>6206</v>
      </c>
      <c r="G26" s="13">
        <v>7149</v>
      </c>
      <c r="H26" s="13">
        <v>2589</v>
      </c>
    </row>
    <row r="27" spans="2:8" ht="13.5" x14ac:dyDescent="0.2">
      <c r="B27" s="12">
        <v>1994</v>
      </c>
      <c r="C27" s="13">
        <v>2424</v>
      </c>
      <c r="D27" s="13">
        <v>2156</v>
      </c>
      <c r="E27" s="13">
        <v>4458</v>
      </c>
      <c r="F27" s="13">
        <v>4366</v>
      </c>
      <c r="G27" s="13">
        <v>5268</v>
      </c>
      <c r="H27" s="13">
        <v>1406</v>
      </c>
    </row>
    <row r="28" spans="2:8" ht="13.5" x14ac:dyDescent="0.2">
      <c r="B28" s="12">
        <v>1995</v>
      </c>
      <c r="C28" s="13">
        <v>2895</v>
      </c>
      <c r="D28" s="13">
        <v>1141</v>
      </c>
      <c r="E28" s="13">
        <v>4149</v>
      </c>
      <c r="F28" s="13">
        <v>4652</v>
      </c>
      <c r="G28" s="13">
        <v>4311</v>
      </c>
      <c r="H28" s="13">
        <v>778</v>
      </c>
    </row>
    <row r="29" spans="2:8" ht="13.5" x14ac:dyDescent="0.2">
      <c r="B29" s="12">
        <v>1996</v>
      </c>
      <c r="C29" s="13">
        <v>3946</v>
      </c>
      <c r="D29" s="13">
        <v>1110</v>
      </c>
      <c r="E29" s="13">
        <v>4431</v>
      </c>
      <c r="F29" s="13">
        <v>3508</v>
      </c>
      <c r="G29" s="13">
        <v>3149</v>
      </c>
      <c r="H29" s="13">
        <v>350</v>
      </c>
    </row>
    <row r="30" spans="2:8" ht="13.5" x14ac:dyDescent="0.2">
      <c r="B30" s="59">
        <v>1997</v>
      </c>
      <c r="C30" s="60">
        <v>2345</v>
      </c>
      <c r="D30" s="60">
        <v>1093</v>
      </c>
      <c r="E30" s="60">
        <v>3943</v>
      </c>
      <c r="F30" s="60">
        <v>3838</v>
      </c>
      <c r="G30" s="60">
        <v>4035</v>
      </c>
      <c r="H30" s="60">
        <v>474</v>
      </c>
    </row>
    <row r="31" spans="2:8" ht="13.5" x14ac:dyDescent="0.2">
      <c r="B31" s="12">
        <v>1998</v>
      </c>
      <c r="C31" s="13">
        <v>2465</v>
      </c>
      <c r="D31" s="13">
        <v>1382</v>
      </c>
      <c r="E31" s="13">
        <v>4828</v>
      </c>
      <c r="F31" s="13">
        <v>4603</v>
      </c>
      <c r="G31" s="13">
        <v>4649</v>
      </c>
      <c r="H31" s="13">
        <v>311</v>
      </c>
    </row>
    <row r="32" spans="2:8" ht="13.5" x14ac:dyDescent="0.2">
      <c r="B32" s="12">
        <v>1999</v>
      </c>
      <c r="C32" s="13">
        <v>1164</v>
      </c>
      <c r="D32" s="13">
        <v>878</v>
      </c>
      <c r="E32" s="13">
        <v>3958</v>
      </c>
      <c r="F32" s="13">
        <v>4662</v>
      </c>
      <c r="G32" s="13">
        <v>2982</v>
      </c>
      <c r="H32" s="13">
        <v>527</v>
      </c>
    </row>
    <row r="33" spans="2:8" ht="13.5" x14ac:dyDescent="0.2">
      <c r="B33" s="12">
        <v>2000</v>
      </c>
      <c r="C33" s="13">
        <v>1678</v>
      </c>
      <c r="D33" s="13">
        <v>771</v>
      </c>
      <c r="E33" s="13">
        <v>3536</v>
      </c>
      <c r="F33" s="13">
        <v>5928</v>
      </c>
      <c r="G33" s="13">
        <v>5174</v>
      </c>
      <c r="H33" s="13">
        <v>556</v>
      </c>
    </row>
    <row r="34" spans="2:8" ht="13.5" x14ac:dyDescent="0.2">
      <c r="B34" s="12">
        <v>2001</v>
      </c>
      <c r="C34" s="13">
        <v>4338</v>
      </c>
      <c r="D34" s="13">
        <v>892</v>
      </c>
      <c r="E34" s="13">
        <v>3425</v>
      </c>
      <c r="F34" s="13">
        <v>5157</v>
      </c>
      <c r="G34" s="13">
        <v>4523</v>
      </c>
      <c r="H34" s="13">
        <v>931</v>
      </c>
    </row>
    <row r="35" spans="2:8" s="11" customFormat="1" ht="13.5" x14ac:dyDescent="0.2">
      <c r="B35" s="12">
        <v>2002</v>
      </c>
      <c r="C35" s="13">
        <v>2890</v>
      </c>
      <c r="D35" s="13">
        <v>684</v>
      </c>
      <c r="E35" s="13">
        <v>1974</v>
      </c>
      <c r="F35" s="13">
        <v>5181</v>
      </c>
      <c r="G35" s="13">
        <v>4830</v>
      </c>
      <c r="H35" s="13">
        <v>1026</v>
      </c>
    </row>
    <row r="36" spans="2:8" s="11" customFormat="1" ht="13.5" x14ac:dyDescent="0.2">
      <c r="B36" s="12">
        <v>2003</v>
      </c>
      <c r="C36" s="13">
        <v>2057</v>
      </c>
      <c r="D36" s="13">
        <v>800</v>
      </c>
      <c r="E36" s="13">
        <v>3511</v>
      </c>
      <c r="F36" s="13">
        <v>4853</v>
      </c>
      <c r="G36" s="13">
        <v>5678</v>
      </c>
      <c r="H36" s="13">
        <v>1300</v>
      </c>
    </row>
    <row r="37" spans="2:8" s="11" customFormat="1" ht="13.5" x14ac:dyDescent="0.2">
      <c r="B37" s="12">
        <v>2004</v>
      </c>
      <c r="C37" s="13">
        <v>1462</v>
      </c>
      <c r="D37" s="13">
        <v>719</v>
      </c>
      <c r="E37" s="13">
        <v>1679</v>
      </c>
      <c r="F37" s="13">
        <v>6226</v>
      </c>
      <c r="G37" s="13">
        <v>6743</v>
      </c>
      <c r="H37" s="13">
        <v>1983</v>
      </c>
    </row>
    <row r="38" spans="2:8" s="11" customFormat="1" ht="13.5" x14ac:dyDescent="0.2">
      <c r="B38" s="12">
        <v>2005</v>
      </c>
      <c r="C38" s="13">
        <v>2034</v>
      </c>
      <c r="D38" s="13">
        <v>858</v>
      </c>
      <c r="E38" s="13">
        <v>1039</v>
      </c>
      <c r="F38" s="13">
        <v>5342</v>
      </c>
      <c r="G38" s="13">
        <v>6623</v>
      </c>
      <c r="H38" s="13">
        <v>1708</v>
      </c>
    </row>
    <row r="39" spans="2:8" s="11" customFormat="1" ht="13.5" x14ac:dyDescent="0.2">
      <c r="B39" s="12">
        <v>2006</v>
      </c>
      <c r="C39" s="13">
        <v>2252</v>
      </c>
      <c r="D39" s="13">
        <v>676</v>
      </c>
      <c r="E39" s="13">
        <v>1911</v>
      </c>
      <c r="F39" s="13">
        <v>5510</v>
      </c>
      <c r="G39" s="13">
        <v>5174</v>
      </c>
      <c r="H39" s="13">
        <v>1799</v>
      </c>
    </row>
    <row r="40" spans="2:8" s="11" customFormat="1" ht="13.5" x14ac:dyDescent="0.2">
      <c r="B40" s="12">
        <v>2007</v>
      </c>
      <c r="C40" s="13">
        <v>2374</v>
      </c>
      <c r="D40" s="13">
        <v>727</v>
      </c>
      <c r="E40" s="13">
        <v>1754</v>
      </c>
      <c r="F40" s="13">
        <v>3287</v>
      </c>
      <c r="G40" s="13">
        <v>5475</v>
      </c>
      <c r="H40" s="13">
        <v>2900</v>
      </c>
    </row>
    <row r="41" spans="2:8" s="11" customFormat="1" ht="13.5" x14ac:dyDescent="0.2">
      <c r="B41" s="12">
        <v>2008</v>
      </c>
      <c r="C41" s="13">
        <v>2881</v>
      </c>
      <c r="D41" s="13">
        <v>806</v>
      </c>
      <c r="E41" s="13">
        <v>760</v>
      </c>
      <c r="F41" s="13">
        <v>4133</v>
      </c>
      <c r="G41" s="13">
        <v>5214</v>
      </c>
      <c r="H41" s="13">
        <v>1893</v>
      </c>
    </row>
    <row r="42" spans="2:8" s="11" customFormat="1" ht="13.5" x14ac:dyDescent="0.2">
      <c r="B42" s="12">
        <v>2009</v>
      </c>
      <c r="C42" s="13">
        <v>3828</v>
      </c>
      <c r="D42" s="13">
        <v>705</v>
      </c>
      <c r="E42" s="13">
        <v>1459</v>
      </c>
      <c r="F42" s="13">
        <v>4458</v>
      </c>
      <c r="G42" s="13">
        <v>5735</v>
      </c>
      <c r="H42" s="13">
        <v>1439</v>
      </c>
    </row>
    <row r="43" spans="2:8" ht="13.5" x14ac:dyDescent="0.2">
      <c r="B43" s="12">
        <v>2010</v>
      </c>
      <c r="C43" s="13">
        <v>3020</v>
      </c>
      <c r="D43" s="13">
        <v>415</v>
      </c>
      <c r="E43" s="13">
        <v>820</v>
      </c>
      <c r="F43" s="13">
        <v>3640</v>
      </c>
      <c r="G43" s="13">
        <v>4744</v>
      </c>
      <c r="H43" s="13">
        <v>1687</v>
      </c>
    </row>
    <row r="44" spans="2:8" ht="13.5" x14ac:dyDescent="0.2">
      <c r="B44" s="12">
        <v>2011</v>
      </c>
      <c r="C44" s="13">
        <v>3016</v>
      </c>
      <c r="D44" s="13">
        <v>356</v>
      </c>
      <c r="E44" s="13">
        <v>421</v>
      </c>
      <c r="F44" s="13">
        <v>1910</v>
      </c>
      <c r="G44" s="13">
        <v>737</v>
      </c>
      <c r="H44" s="13">
        <v>889</v>
      </c>
    </row>
    <row r="45" spans="2:8" ht="13.5" x14ac:dyDescent="0.2">
      <c r="B45" s="12">
        <v>2012</v>
      </c>
      <c r="C45" s="13">
        <v>2612</v>
      </c>
      <c r="D45" s="13">
        <v>933</v>
      </c>
      <c r="E45" s="13">
        <v>500</v>
      </c>
      <c r="F45" s="13">
        <v>3150</v>
      </c>
      <c r="G45" s="13">
        <v>207</v>
      </c>
      <c r="H45" s="13">
        <v>606</v>
      </c>
    </row>
    <row r="46" spans="2:8" ht="13.5" x14ac:dyDescent="0.2">
      <c r="B46" s="12">
        <v>2013</v>
      </c>
      <c r="C46" s="13">
        <v>1867</v>
      </c>
      <c r="D46" s="13">
        <v>763</v>
      </c>
      <c r="E46" s="13">
        <v>346</v>
      </c>
      <c r="F46" s="13">
        <v>1553</v>
      </c>
      <c r="G46" s="13">
        <v>135</v>
      </c>
      <c r="H46" s="13">
        <v>471</v>
      </c>
    </row>
    <row r="47" spans="2:8" ht="13.5" x14ac:dyDescent="0.2">
      <c r="B47" s="12">
        <v>2014</v>
      </c>
      <c r="C47" s="13">
        <v>2516</v>
      </c>
      <c r="D47" s="13">
        <v>980</v>
      </c>
      <c r="E47" s="13">
        <v>492</v>
      </c>
      <c r="F47" s="13">
        <v>891</v>
      </c>
      <c r="G47" s="13">
        <v>92</v>
      </c>
      <c r="H47" s="13">
        <v>891</v>
      </c>
    </row>
    <row r="48" spans="2:8" ht="13.5" x14ac:dyDescent="0.2">
      <c r="B48" s="12">
        <v>2015</v>
      </c>
      <c r="C48" s="13">
        <v>4006</v>
      </c>
      <c r="D48" s="13">
        <v>1196</v>
      </c>
      <c r="E48" s="13">
        <v>588</v>
      </c>
      <c r="F48" s="13">
        <v>1211</v>
      </c>
      <c r="G48" s="13">
        <v>135</v>
      </c>
      <c r="H48" s="13">
        <v>460</v>
      </c>
    </row>
    <row r="49" spans="2:8" ht="13.5" x14ac:dyDescent="0.2">
      <c r="B49" s="12">
        <v>2016</v>
      </c>
      <c r="C49" s="13">
        <v>2789</v>
      </c>
      <c r="D49" s="13">
        <v>1145</v>
      </c>
      <c r="E49" s="13">
        <v>606</v>
      </c>
      <c r="F49" s="13">
        <v>1354</v>
      </c>
      <c r="G49" s="13">
        <v>162</v>
      </c>
      <c r="H49" s="13">
        <v>462</v>
      </c>
    </row>
    <row r="50" spans="2:8" ht="13.5" x14ac:dyDescent="0.2">
      <c r="B50" s="12">
        <v>2017</v>
      </c>
      <c r="C50" s="13">
        <v>2021</v>
      </c>
      <c r="D50" s="13">
        <v>1085</v>
      </c>
      <c r="E50" s="13">
        <v>671</v>
      </c>
      <c r="F50" s="13">
        <v>1404</v>
      </c>
      <c r="G50" s="13">
        <v>132</v>
      </c>
      <c r="H50" s="13">
        <v>345</v>
      </c>
    </row>
    <row r="51" spans="2:8" ht="13.5" x14ac:dyDescent="0.2">
      <c r="B51" s="12">
        <v>2018</v>
      </c>
      <c r="C51" s="13">
        <v>2747</v>
      </c>
      <c r="D51" s="13">
        <v>960</v>
      </c>
      <c r="E51" s="13">
        <v>478</v>
      </c>
      <c r="F51" s="13">
        <v>1604</v>
      </c>
      <c r="G51" s="13">
        <v>130</v>
      </c>
      <c r="H51" s="13">
        <v>502</v>
      </c>
    </row>
    <row r="52" spans="2:8" ht="13.5" x14ac:dyDescent="0.2">
      <c r="B52" s="33">
        <v>2019</v>
      </c>
      <c r="C52" s="14">
        <v>2190</v>
      </c>
      <c r="D52" s="14">
        <v>871</v>
      </c>
      <c r="E52" s="14">
        <v>388</v>
      </c>
      <c r="F52" s="14">
        <v>971</v>
      </c>
      <c r="G52" s="14">
        <v>156</v>
      </c>
      <c r="H52" s="14">
        <v>319</v>
      </c>
    </row>
    <row r="53" spans="2:8" ht="13.5" x14ac:dyDescent="0.2">
      <c r="B53" s="61" t="s">
        <v>61</v>
      </c>
      <c r="C53" s="62"/>
      <c r="D53" s="62"/>
      <c r="E53" s="62"/>
      <c r="F53" s="62"/>
      <c r="G53" s="62"/>
      <c r="H53" s="62"/>
    </row>
  </sheetData>
  <mergeCells count="1">
    <mergeCell ref="B3:B4"/>
  </mergeCells>
  <phoneticPr fontId="4"/>
  <pageMargins left="0.75" right="0.75" top="1" bottom="1" header="0.51200000000000001" footer="0.51200000000000001"/>
  <pageSetup paperSize="9" orientation="portrait"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P53"/>
  <sheetViews>
    <sheetView showGridLines="0" workbookViewId="0">
      <selection activeCell="K15" sqref="K15"/>
    </sheetView>
  </sheetViews>
  <sheetFormatPr defaultColWidth="9" defaultRowHeight="12.75" x14ac:dyDescent="0.2"/>
  <cols>
    <col min="1" max="1" width="9" style="10"/>
    <col min="2" max="2" width="7.375" style="15" customWidth="1"/>
    <col min="3" max="8" width="11" style="21" customWidth="1"/>
    <col min="9" max="9" width="10.125" style="18" bestFit="1" customWidth="1"/>
    <col min="10" max="16384" width="9" style="10"/>
  </cols>
  <sheetData>
    <row r="2" spans="1:16" s="18" customFormat="1" ht="13.5" x14ac:dyDescent="0.2">
      <c r="A2" s="10"/>
      <c r="B2" s="8" t="s">
        <v>50</v>
      </c>
      <c r="C2" s="17"/>
      <c r="D2" s="17"/>
      <c r="E2" s="17"/>
      <c r="F2" s="17"/>
      <c r="G2" s="17"/>
      <c r="H2" s="17"/>
      <c r="J2" s="10"/>
      <c r="K2" s="10"/>
      <c r="L2" s="10"/>
      <c r="M2" s="10"/>
      <c r="N2" s="10"/>
      <c r="O2" s="10"/>
      <c r="P2" s="10"/>
    </row>
    <row r="3" spans="1:16" s="18" customFormat="1" ht="13.5" x14ac:dyDescent="0.2">
      <c r="A3" s="10"/>
      <c r="B3" s="119" t="s">
        <v>49</v>
      </c>
      <c r="C3" s="55" t="s">
        <v>4</v>
      </c>
      <c r="D3" s="55" t="s">
        <v>52</v>
      </c>
      <c r="E3" s="55" t="s">
        <v>52</v>
      </c>
      <c r="F3" s="55" t="s">
        <v>3</v>
      </c>
      <c r="G3" s="55" t="s">
        <v>53</v>
      </c>
      <c r="H3" s="55" t="s">
        <v>54</v>
      </c>
      <c r="J3" s="10"/>
      <c r="K3" s="10"/>
      <c r="L3" s="10"/>
      <c r="M3" s="10"/>
      <c r="N3" s="10"/>
      <c r="O3" s="10"/>
      <c r="P3" s="10"/>
    </row>
    <row r="4" spans="1:16" s="18" customFormat="1" ht="13.5" x14ac:dyDescent="0.2">
      <c r="A4" s="10"/>
      <c r="B4" s="120"/>
      <c r="C4" s="56" t="s">
        <v>57</v>
      </c>
      <c r="D4" s="56" t="s">
        <v>57</v>
      </c>
      <c r="E4" s="57" t="s">
        <v>58</v>
      </c>
      <c r="F4" s="58" t="s">
        <v>34</v>
      </c>
      <c r="G4" s="58" t="s">
        <v>34</v>
      </c>
      <c r="H4" s="58" t="s">
        <v>34</v>
      </c>
      <c r="J4" s="10"/>
      <c r="K4" s="10"/>
      <c r="L4" s="10"/>
      <c r="M4" s="10"/>
      <c r="N4" s="10"/>
      <c r="O4" s="10"/>
      <c r="P4" s="10"/>
    </row>
    <row r="5" spans="1:16" s="18" customFormat="1" ht="13.5" x14ac:dyDescent="0.2">
      <c r="A5" s="10"/>
      <c r="B5" s="12">
        <v>1972</v>
      </c>
      <c r="C5" s="19">
        <v>44.1</v>
      </c>
      <c r="D5" s="19">
        <v>41.4</v>
      </c>
      <c r="E5" s="19">
        <v>100.6</v>
      </c>
      <c r="F5" s="19">
        <v>59.3</v>
      </c>
      <c r="G5" s="19">
        <v>53.1</v>
      </c>
      <c r="H5" s="19">
        <v>49.1</v>
      </c>
      <c r="J5" s="22"/>
      <c r="K5" s="22"/>
      <c r="L5" s="22"/>
      <c r="M5" s="22"/>
      <c r="N5" s="10"/>
      <c r="O5" s="10"/>
      <c r="P5" s="10"/>
    </row>
    <row r="6" spans="1:16" s="18" customFormat="1" ht="13.5" x14ac:dyDescent="0.2">
      <c r="A6" s="10"/>
      <c r="B6" s="12">
        <v>1973</v>
      </c>
      <c r="C6" s="19">
        <v>45.6</v>
      </c>
      <c r="D6" s="19">
        <v>46.8</v>
      </c>
      <c r="E6" s="19">
        <v>123.4</v>
      </c>
      <c r="F6" s="19">
        <v>50.2</v>
      </c>
      <c r="G6" s="19">
        <v>39.299999999999997</v>
      </c>
      <c r="H6" s="19">
        <v>40.6</v>
      </c>
      <c r="J6" s="10"/>
      <c r="K6" s="10"/>
      <c r="L6" s="10"/>
      <c r="M6" s="10"/>
      <c r="N6" s="10"/>
      <c r="O6" s="10"/>
      <c r="P6" s="10"/>
    </row>
    <row r="7" spans="1:16" s="18" customFormat="1" ht="13.5" x14ac:dyDescent="0.2">
      <c r="A7" s="10"/>
      <c r="B7" s="12">
        <v>1974</v>
      </c>
      <c r="C7" s="19">
        <v>48.8</v>
      </c>
      <c r="D7" s="19">
        <v>31.2</v>
      </c>
      <c r="E7" s="19">
        <v>90.7</v>
      </c>
      <c r="F7" s="19">
        <v>44.4</v>
      </c>
      <c r="G7" s="19">
        <v>42.1</v>
      </c>
      <c r="H7" s="19">
        <v>53.4</v>
      </c>
      <c r="J7" s="10"/>
      <c r="K7" s="10"/>
      <c r="L7" s="10"/>
      <c r="M7" s="10"/>
      <c r="N7" s="10"/>
      <c r="O7" s="10"/>
      <c r="P7" s="10"/>
    </row>
    <row r="8" spans="1:16" s="18" customFormat="1" ht="13.5" x14ac:dyDescent="0.2">
      <c r="A8" s="10"/>
      <c r="B8" s="12">
        <v>1975</v>
      </c>
      <c r="C8" s="19">
        <v>55.2</v>
      </c>
      <c r="D8" s="19">
        <v>32.9</v>
      </c>
      <c r="E8" s="19">
        <v>120.8</v>
      </c>
      <c r="F8" s="19">
        <v>64.099999999999994</v>
      </c>
      <c r="G8" s="19">
        <v>51.6</v>
      </c>
      <c r="H8" s="19">
        <v>55.2</v>
      </c>
      <c r="J8" s="10"/>
      <c r="K8" s="10"/>
      <c r="L8" s="10"/>
      <c r="M8" s="10"/>
      <c r="N8" s="10"/>
      <c r="O8" s="10"/>
      <c r="P8" s="10"/>
    </row>
    <row r="9" spans="1:16" s="18" customFormat="1" ht="13.5" x14ac:dyDescent="0.2">
      <c r="A9" s="10"/>
      <c r="B9" s="12">
        <v>1976</v>
      </c>
      <c r="C9" s="19">
        <v>37</v>
      </c>
      <c r="D9" s="19">
        <v>37.5</v>
      </c>
      <c r="E9" s="19">
        <v>98.2</v>
      </c>
      <c r="F9" s="19">
        <v>68</v>
      </c>
      <c r="G9" s="19">
        <v>42.8</v>
      </c>
      <c r="H9" s="19">
        <v>52.6</v>
      </c>
      <c r="J9" s="10"/>
      <c r="K9" s="10"/>
      <c r="L9" s="10"/>
      <c r="M9" s="10"/>
      <c r="N9" s="10"/>
      <c r="O9" s="10"/>
      <c r="P9" s="10"/>
    </row>
    <row r="10" spans="1:16" s="18" customFormat="1" ht="13.5" x14ac:dyDescent="0.2">
      <c r="A10" s="10"/>
      <c r="B10" s="12">
        <v>1977</v>
      </c>
      <c r="C10" s="19">
        <v>34.1</v>
      </c>
      <c r="D10" s="19">
        <v>55.3</v>
      </c>
      <c r="E10" s="19">
        <v>96.2</v>
      </c>
      <c r="F10" s="19">
        <v>49.1</v>
      </c>
      <c r="G10" s="19">
        <v>50.9</v>
      </c>
      <c r="H10" s="19">
        <v>47.6</v>
      </c>
      <c r="J10" s="10"/>
      <c r="K10" s="10"/>
      <c r="L10" s="10"/>
      <c r="M10" s="10"/>
      <c r="N10" s="10"/>
      <c r="O10" s="10"/>
      <c r="P10" s="10"/>
    </row>
    <row r="11" spans="1:16" s="18" customFormat="1" ht="13.5" x14ac:dyDescent="0.2">
      <c r="A11" s="10"/>
      <c r="B11" s="12">
        <v>1978</v>
      </c>
      <c r="C11" s="19">
        <v>59.8</v>
      </c>
      <c r="D11" s="19">
        <v>30.9</v>
      </c>
      <c r="E11" s="19">
        <v>105.6</v>
      </c>
      <c r="F11" s="19">
        <v>47.2</v>
      </c>
      <c r="G11" s="19">
        <v>54.5</v>
      </c>
      <c r="H11" s="19">
        <v>57.5</v>
      </c>
      <c r="J11" s="10"/>
      <c r="K11" s="10"/>
      <c r="L11" s="10"/>
      <c r="M11" s="10"/>
      <c r="N11" s="10"/>
      <c r="O11" s="10"/>
      <c r="P11" s="10"/>
    </row>
    <row r="12" spans="1:16" s="18" customFormat="1" ht="13.5" x14ac:dyDescent="0.2">
      <c r="A12" s="10"/>
      <c r="B12" s="12">
        <v>1979</v>
      </c>
      <c r="C12" s="19">
        <v>22</v>
      </c>
      <c r="D12" s="19">
        <v>27.6</v>
      </c>
      <c r="E12" s="19">
        <v>88.2</v>
      </c>
      <c r="F12" s="19">
        <v>39.4</v>
      </c>
      <c r="G12" s="19">
        <v>40.799999999999997</v>
      </c>
      <c r="H12" s="19">
        <v>40.700000000000003</v>
      </c>
      <c r="J12" s="10"/>
      <c r="K12" s="10"/>
      <c r="L12" s="10"/>
      <c r="M12" s="10"/>
      <c r="N12" s="10"/>
      <c r="O12" s="10"/>
      <c r="P12" s="10"/>
    </row>
    <row r="13" spans="1:16" s="18" customFormat="1" ht="13.5" x14ac:dyDescent="0.2">
      <c r="A13" s="10"/>
      <c r="B13" s="12">
        <v>1980</v>
      </c>
      <c r="C13" s="19">
        <v>34.6</v>
      </c>
      <c r="D13" s="19">
        <v>31.6</v>
      </c>
      <c r="E13" s="19">
        <v>115.1</v>
      </c>
      <c r="F13" s="19">
        <v>44.7</v>
      </c>
      <c r="G13" s="19">
        <v>43.1</v>
      </c>
      <c r="H13" s="19">
        <v>29.5</v>
      </c>
      <c r="J13" s="10"/>
      <c r="K13" s="10"/>
      <c r="L13" s="10"/>
      <c r="M13" s="10"/>
      <c r="N13" s="10"/>
      <c r="O13" s="10"/>
      <c r="P13" s="10"/>
    </row>
    <row r="14" spans="1:16" s="18" customFormat="1" ht="13.5" x14ac:dyDescent="0.2">
      <c r="A14" s="10"/>
      <c r="B14" s="12">
        <v>1981</v>
      </c>
      <c r="C14" s="19">
        <v>27.4</v>
      </c>
      <c r="D14" s="19">
        <v>25.5</v>
      </c>
      <c r="E14" s="19">
        <v>90.7</v>
      </c>
      <c r="F14" s="19">
        <v>43.9</v>
      </c>
      <c r="G14" s="19">
        <v>49.8</v>
      </c>
      <c r="H14" s="19">
        <v>39</v>
      </c>
      <c r="J14" s="10"/>
      <c r="K14" s="10"/>
      <c r="L14" s="10"/>
      <c r="M14" s="10"/>
      <c r="N14" s="10"/>
      <c r="O14" s="10"/>
      <c r="P14" s="10"/>
    </row>
    <row r="15" spans="1:16" s="18" customFormat="1" ht="13.5" x14ac:dyDescent="0.2">
      <c r="A15" s="10"/>
      <c r="B15" s="12">
        <v>1982</v>
      </c>
      <c r="C15" s="19">
        <v>39</v>
      </c>
      <c r="D15" s="19">
        <v>21.3</v>
      </c>
      <c r="E15" s="19">
        <v>81.400000000000006</v>
      </c>
      <c r="F15" s="19">
        <v>36.9</v>
      </c>
      <c r="G15" s="19">
        <v>39.700000000000003</v>
      </c>
      <c r="H15" s="19">
        <v>30.1</v>
      </c>
      <c r="J15" s="10"/>
      <c r="K15" s="10"/>
      <c r="L15" s="10"/>
      <c r="M15" s="10"/>
      <c r="N15" s="10"/>
      <c r="O15" s="10"/>
      <c r="P15" s="10"/>
    </row>
    <row r="16" spans="1:16" s="18" customFormat="1" ht="13.5" x14ac:dyDescent="0.2">
      <c r="A16" s="10"/>
      <c r="B16" s="12">
        <v>1983</v>
      </c>
      <c r="C16" s="19">
        <v>37.1</v>
      </c>
      <c r="D16" s="19">
        <v>16.899999999999999</v>
      </c>
      <c r="E16" s="19">
        <v>71.099999999999994</v>
      </c>
      <c r="F16" s="19">
        <v>38.299999999999997</v>
      </c>
      <c r="G16" s="19">
        <v>33.299999999999997</v>
      </c>
      <c r="H16" s="19">
        <v>26.2</v>
      </c>
      <c r="J16" s="10"/>
      <c r="K16" s="10"/>
      <c r="L16" s="10"/>
      <c r="M16" s="10"/>
      <c r="N16" s="10"/>
      <c r="O16" s="10"/>
      <c r="P16" s="10"/>
    </row>
    <row r="17" spans="1:16" s="18" customFormat="1" ht="13.5" x14ac:dyDescent="0.2">
      <c r="A17" s="10"/>
      <c r="B17" s="12">
        <v>1984</v>
      </c>
      <c r="C17" s="19">
        <v>32</v>
      </c>
      <c r="D17" s="19">
        <v>12.2</v>
      </c>
      <c r="E17" s="19">
        <v>45.3</v>
      </c>
      <c r="F17" s="19">
        <v>38.6</v>
      </c>
      <c r="G17" s="19">
        <v>37.9</v>
      </c>
      <c r="H17" s="19">
        <v>34.200000000000003</v>
      </c>
      <c r="J17" s="10"/>
      <c r="K17" s="10"/>
      <c r="L17" s="10"/>
      <c r="M17" s="10"/>
      <c r="N17" s="10"/>
      <c r="O17" s="10"/>
      <c r="P17" s="10"/>
    </row>
    <row r="18" spans="1:16" s="18" customFormat="1" ht="13.5" x14ac:dyDescent="0.2">
      <c r="A18" s="10"/>
      <c r="B18" s="12">
        <v>1985</v>
      </c>
      <c r="C18" s="19">
        <v>24.7</v>
      </c>
      <c r="D18" s="19">
        <v>14.7</v>
      </c>
      <c r="E18" s="19">
        <v>40.799999999999997</v>
      </c>
      <c r="F18" s="19">
        <v>35.799999999999997</v>
      </c>
      <c r="G18" s="19">
        <v>32.9</v>
      </c>
      <c r="H18" s="19">
        <v>33.799999999999997</v>
      </c>
      <c r="J18" s="10"/>
      <c r="K18" s="10"/>
      <c r="L18" s="10"/>
      <c r="M18" s="10"/>
      <c r="N18" s="10"/>
      <c r="O18" s="10"/>
      <c r="P18" s="10"/>
    </row>
    <row r="19" spans="1:16" s="18" customFormat="1" ht="13.5" x14ac:dyDescent="0.2">
      <c r="A19" s="10"/>
      <c r="B19" s="12">
        <v>1986</v>
      </c>
      <c r="C19" s="19">
        <v>31.4</v>
      </c>
      <c r="D19" s="19">
        <v>14</v>
      </c>
      <c r="E19" s="19">
        <v>44.4</v>
      </c>
      <c r="F19" s="19">
        <v>34.4</v>
      </c>
      <c r="G19" s="19">
        <v>27.2</v>
      </c>
      <c r="H19" s="19">
        <v>24.7</v>
      </c>
      <c r="J19" s="10"/>
      <c r="K19" s="10"/>
      <c r="L19" s="10"/>
      <c r="M19" s="10"/>
      <c r="N19" s="10"/>
      <c r="O19" s="10"/>
      <c r="P19" s="10"/>
    </row>
    <row r="20" spans="1:16" s="18" customFormat="1" ht="13.5" x14ac:dyDescent="0.2">
      <c r="A20" s="10"/>
      <c r="B20" s="12">
        <v>1987</v>
      </c>
      <c r="C20" s="19">
        <v>16.5</v>
      </c>
      <c r="D20" s="19">
        <v>13.6</v>
      </c>
      <c r="E20" s="19">
        <v>42.1</v>
      </c>
      <c r="F20" s="19">
        <v>49.8</v>
      </c>
      <c r="G20" s="19">
        <v>45.2</v>
      </c>
      <c r="H20" s="19">
        <v>25.3</v>
      </c>
      <c r="J20" s="10"/>
      <c r="K20" s="10"/>
      <c r="L20" s="10"/>
      <c r="M20" s="10"/>
      <c r="N20" s="10"/>
      <c r="O20" s="10"/>
      <c r="P20" s="10"/>
    </row>
    <row r="21" spans="1:16" s="18" customFormat="1" ht="13.5" x14ac:dyDescent="0.2">
      <c r="A21" s="10"/>
      <c r="B21" s="12">
        <v>1988</v>
      </c>
      <c r="C21" s="19">
        <v>13.9</v>
      </c>
      <c r="D21" s="19">
        <v>9.6</v>
      </c>
      <c r="E21" s="19">
        <v>29.5</v>
      </c>
      <c r="F21" s="19">
        <v>35.6</v>
      </c>
      <c r="G21" s="19">
        <v>29.4</v>
      </c>
      <c r="H21" s="19">
        <v>28.3</v>
      </c>
      <c r="J21" s="10"/>
      <c r="K21" s="10"/>
      <c r="L21" s="10"/>
      <c r="M21" s="10"/>
      <c r="N21" s="10"/>
      <c r="O21" s="10"/>
      <c r="P21" s="10"/>
    </row>
    <row r="22" spans="1:16" s="18" customFormat="1" ht="13.5" x14ac:dyDescent="0.2">
      <c r="A22" s="10"/>
      <c r="B22" s="12">
        <v>1989</v>
      </c>
      <c r="C22" s="19">
        <v>19.2</v>
      </c>
      <c r="D22" s="19">
        <v>5.9</v>
      </c>
      <c r="E22" s="19">
        <v>30.6</v>
      </c>
      <c r="F22" s="19">
        <v>18.600000000000001</v>
      </c>
      <c r="G22" s="19">
        <v>28.5</v>
      </c>
      <c r="H22" s="19">
        <v>23.1</v>
      </c>
      <c r="J22" s="10"/>
      <c r="K22" s="10"/>
      <c r="L22" s="10"/>
      <c r="M22" s="10"/>
      <c r="N22" s="10"/>
      <c r="O22" s="10"/>
      <c r="P22" s="10"/>
    </row>
    <row r="23" spans="1:16" s="18" customFormat="1" ht="13.5" x14ac:dyDescent="0.2">
      <c r="A23" s="10"/>
      <c r="B23" s="12">
        <v>1990</v>
      </c>
      <c r="C23" s="19">
        <v>16.5</v>
      </c>
      <c r="D23" s="19">
        <v>7.5</v>
      </c>
      <c r="E23" s="19">
        <v>23.2</v>
      </c>
      <c r="F23" s="19">
        <v>17.8</v>
      </c>
      <c r="G23" s="19">
        <v>20.3</v>
      </c>
      <c r="H23" s="19">
        <v>25.6</v>
      </c>
      <c r="J23" s="10"/>
      <c r="K23" s="10"/>
      <c r="L23" s="10"/>
      <c r="M23" s="10"/>
      <c r="N23" s="10"/>
      <c r="O23" s="10"/>
      <c r="P23" s="10"/>
    </row>
    <row r="24" spans="1:16" s="18" customFormat="1" ht="13.5" x14ac:dyDescent="0.2">
      <c r="A24" s="10"/>
      <c r="B24" s="12">
        <v>1991</v>
      </c>
      <c r="C24" s="19">
        <v>15.5</v>
      </c>
      <c r="D24" s="19">
        <v>7.2</v>
      </c>
      <c r="E24" s="19">
        <v>25.1</v>
      </c>
      <c r="F24" s="19">
        <v>16.399999999999999</v>
      </c>
      <c r="G24" s="19">
        <v>20.399999999999999</v>
      </c>
      <c r="H24" s="19">
        <v>22.2</v>
      </c>
      <c r="J24" s="10"/>
      <c r="K24" s="10"/>
      <c r="L24" s="10"/>
      <c r="M24" s="10"/>
      <c r="N24" s="10"/>
      <c r="O24" s="10"/>
      <c r="P24" s="10"/>
    </row>
    <row r="25" spans="1:16" s="18" customFormat="1" ht="13.5" x14ac:dyDescent="0.2">
      <c r="A25" s="10"/>
      <c r="B25" s="12">
        <v>1992</v>
      </c>
      <c r="C25" s="19">
        <v>19.2</v>
      </c>
      <c r="D25" s="19">
        <v>9</v>
      </c>
      <c r="E25" s="19">
        <v>21</v>
      </c>
      <c r="F25" s="19">
        <v>16.3</v>
      </c>
      <c r="G25" s="19">
        <v>23.3</v>
      </c>
      <c r="H25" s="19">
        <v>18.2</v>
      </c>
      <c r="J25" s="10"/>
      <c r="K25" s="10"/>
      <c r="L25" s="10"/>
      <c r="M25" s="10"/>
      <c r="N25" s="10"/>
      <c r="O25" s="10"/>
      <c r="P25" s="10"/>
    </row>
    <row r="26" spans="1:16" s="18" customFormat="1" ht="13.5" x14ac:dyDescent="0.2">
      <c r="A26" s="10"/>
      <c r="B26" s="12">
        <v>1993</v>
      </c>
      <c r="C26" s="19">
        <v>17.100000000000001</v>
      </c>
      <c r="D26" s="19">
        <v>8</v>
      </c>
      <c r="E26" s="19">
        <v>25.4</v>
      </c>
      <c r="F26" s="19">
        <v>19.7</v>
      </c>
      <c r="G26" s="19">
        <v>18</v>
      </c>
      <c r="H26" s="19">
        <v>16.2</v>
      </c>
      <c r="J26" s="10"/>
      <c r="K26" s="10"/>
      <c r="L26" s="10"/>
      <c r="M26" s="10"/>
      <c r="N26" s="10"/>
      <c r="O26" s="10"/>
      <c r="P26" s="10"/>
    </row>
    <row r="27" spans="1:16" s="18" customFormat="1" ht="13.5" x14ac:dyDescent="0.2">
      <c r="A27" s="10"/>
      <c r="B27" s="12">
        <v>1994</v>
      </c>
      <c r="C27" s="19">
        <v>15.7</v>
      </c>
      <c r="D27" s="19">
        <v>9.6999999999999993</v>
      </c>
      <c r="E27" s="19">
        <v>32.1</v>
      </c>
      <c r="F27" s="19">
        <v>23.3</v>
      </c>
      <c r="G27" s="19">
        <v>18.100000000000001</v>
      </c>
      <c r="H27" s="19">
        <v>17.8</v>
      </c>
      <c r="J27" s="10"/>
      <c r="K27" s="10"/>
      <c r="L27" s="10"/>
      <c r="M27" s="10"/>
      <c r="N27" s="10"/>
      <c r="O27" s="10"/>
      <c r="P27" s="10"/>
    </row>
    <row r="28" spans="1:16" s="18" customFormat="1" ht="13.5" x14ac:dyDescent="0.2">
      <c r="A28" s="10"/>
      <c r="B28" s="12">
        <v>1995</v>
      </c>
      <c r="C28" s="19">
        <v>18.600000000000001</v>
      </c>
      <c r="D28" s="19">
        <v>14</v>
      </c>
      <c r="E28" s="19">
        <v>25.5</v>
      </c>
      <c r="F28" s="19">
        <v>16.100000000000001</v>
      </c>
      <c r="G28" s="19">
        <v>21.4</v>
      </c>
      <c r="H28" s="19">
        <v>18.5</v>
      </c>
      <c r="J28" s="10"/>
      <c r="K28" s="10"/>
      <c r="L28" s="10"/>
      <c r="M28" s="10"/>
      <c r="N28" s="10"/>
      <c r="O28" s="10"/>
      <c r="P28" s="10"/>
    </row>
    <row r="29" spans="1:16" s="18" customFormat="1" ht="13.5" x14ac:dyDescent="0.2">
      <c r="A29" s="10"/>
      <c r="B29" s="12">
        <v>1996</v>
      </c>
      <c r="C29" s="19">
        <v>19.3</v>
      </c>
      <c r="D29" s="19">
        <v>13</v>
      </c>
      <c r="E29" s="19">
        <v>25.8</v>
      </c>
      <c r="F29" s="19">
        <v>16.399999999999999</v>
      </c>
      <c r="G29" s="19">
        <v>16.8</v>
      </c>
      <c r="H29" s="19">
        <v>13.2</v>
      </c>
      <c r="J29" s="10"/>
      <c r="K29" s="10"/>
      <c r="L29" s="10"/>
      <c r="M29" s="10"/>
      <c r="N29" s="10"/>
      <c r="O29" s="10"/>
      <c r="P29" s="10"/>
    </row>
    <row r="30" spans="1:16" ht="13.5" x14ac:dyDescent="0.2">
      <c r="B30" s="63">
        <v>1997</v>
      </c>
      <c r="C30" s="64">
        <v>17</v>
      </c>
      <c r="D30" s="64">
        <v>7.9</v>
      </c>
      <c r="E30" s="64">
        <v>21.2</v>
      </c>
      <c r="F30" s="64">
        <v>12.4</v>
      </c>
      <c r="G30" s="64">
        <v>11.2</v>
      </c>
      <c r="H30" s="64">
        <v>8.1999999999999993</v>
      </c>
    </row>
    <row r="31" spans="1:16" ht="13.5" x14ac:dyDescent="0.2">
      <c r="B31" s="12">
        <v>1998</v>
      </c>
      <c r="C31" s="19">
        <v>16</v>
      </c>
      <c r="D31" s="19">
        <v>5.6</v>
      </c>
      <c r="E31" s="19">
        <v>23.3</v>
      </c>
      <c r="F31" s="19">
        <v>13.9</v>
      </c>
      <c r="G31" s="19">
        <v>12.6</v>
      </c>
      <c r="H31" s="19">
        <v>9.6</v>
      </c>
    </row>
    <row r="32" spans="1:16" ht="13.5" x14ac:dyDescent="0.2">
      <c r="B32" s="12">
        <v>1999</v>
      </c>
      <c r="C32" s="65">
        <v>17.399999999999999</v>
      </c>
      <c r="D32" s="65">
        <v>5.9</v>
      </c>
      <c r="E32" s="65">
        <v>29.2</v>
      </c>
      <c r="F32" s="65">
        <v>8.6999999999999993</v>
      </c>
      <c r="G32" s="65">
        <v>14.6</v>
      </c>
      <c r="H32" s="65">
        <v>12.2</v>
      </c>
    </row>
    <row r="33" spans="2:8" ht="13.5" x14ac:dyDescent="0.2">
      <c r="B33" s="12">
        <v>2000</v>
      </c>
      <c r="C33" s="19">
        <v>20.8</v>
      </c>
      <c r="D33" s="19">
        <v>6.4</v>
      </c>
      <c r="E33" s="19">
        <v>29</v>
      </c>
      <c r="F33" s="19">
        <v>10.199999999999999</v>
      </c>
      <c r="G33" s="19">
        <v>13.5</v>
      </c>
      <c r="H33" s="19">
        <v>16.399999999999999</v>
      </c>
    </row>
    <row r="34" spans="2:8" ht="13.5" x14ac:dyDescent="0.2">
      <c r="B34" s="12">
        <v>2001</v>
      </c>
      <c r="C34" s="19">
        <v>18.5</v>
      </c>
      <c r="D34" s="19">
        <v>6.6</v>
      </c>
      <c r="E34" s="19">
        <v>26.1</v>
      </c>
      <c r="F34" s="19">
        <v>11.1</v>
      </c>
      <c r="G34" s="19">
        <v>13.6</v>
      </c>
      <c r="H34" s="19">
        <v>10</v>
      </c>
    </row>
    <row r="35" spans="2:8" ht="13.5" x14ac:dyDescent="0.2">
      <c r="B35" s="12">
        <v>2002</v>
      </c>
      <c r="C35" s="19">
        <v>20.7</v>
      </c>
      <c r="D35" s="19">
        <v>7</v>
      </c>
      <c r="E35" s="19">
        <v>26</v>
      </c>
      <c r="F35" s="19">
        <v>11.5</v>
      </c>
      <c r="G35" s="19">
        <v>21</v>
      </c>
      <c r="H35" s="19">
        <v>11.7</v>
      </c>
    </row>
    <row r="36" spans="2:8" ht="13.5" x14ac:dyDescent="0.2">
      <c r="B36" s="12">
        <v>2003</v>
      </c>
      <c r="C36" s="19">
        <v>23.2</v>
      </c>
      <c r="D36" s="19">
        <v>9.6999999999999993</v>
      </c>
      <c r="E36" s="19">
        <v>37</v>
      </c>
      <c r="F36" s="19">
        <v>25.1</v>
      </c>
      <c r="G36" s="19">
        <v>32.200000000000003</v>
      </c>
      <c r="H36" s="19">
        <v>18.600000000000001</v>
      </c>
    </row>
    <row r="37" spans="2:8" ht="13.5" x14ac:dyDescent="0.2">
      <c r="B37" s="12">
        <v>2004</v>
      </c>
      <c r="C37" s="19">
        <v>9</v>
      </c>
      <c r="D37" s="19">
        <v>6.9</v>
      </c>
      <c r="E37" s="19">
        <v>28.2</v>
      </c>
      <c r="F37" s="19">
        <v>13.6</v>
      </c>
      <c r="G37" s="19">
        <v>24.7</v>
      </c>
      <c r="H37" s="19">
        <v>19.100000000000001</v>
      </c>
    </row>
    <row r="38" spans="2:8" ht="13.5" x14ac:dyDescent="0.2">
      <c r="B38" s="12">
        <v>2005</v>
      </c>
      <c r="C38" s="19">
        <v>21.7</v>
      </c>
      <c r="D38" s="19">
        <v>8</v>
      </c>
      <c r="E38" s="19">
        <v>38</v>
      </c>
      <c r="F38" s="19">
        <v>21.6</v>
      </c>
      <c r="G38" s="19">
        <v>24.6</v>
      </c>
      <c r="H38" s="19">
        <v>31.8</v>
      </c>
    </row>
    <row r="39" spans="2:8" ht="13.5" x14ac:dyDescent="0.2">
      <c r="B39" s="12">
        <v>2006</v>
      </c>
      <c r="C39" s="19">
        <v>20.8</v>
      </c>
      <c r="D39" s="19">
        <v>12.9</v>
      </c>
      <c r="E39" s="19">
        <v>34.799999999999997</v>
      </c>
      <c r="F39" s="19">
        <v>27.1</v>
      </c>
      <c r="G39" s="19">
        <v>41.3</v>
      </c>
      <c r="H39" s="19">
        <v>50.7</v>
      </c>
    </row>
    <row r="40" spans="2:8" ht="13.5" x14ac:dyDescent="0.2">
      <c r="B40" s="12">
        <v>2007</v>
      </c>
      <c r="C40" s="19">
        <v>15.4</v>
      </c>
      <c r="D40" s="19">
        <v>17.3</v>
      </c>
      <c r="E40" s="19">
        <v>41.7</v>
      </c>
      <c r="F40" s="19">
        <v>25.8</v>
      </c>
      <c r="G40" s="19">
        <v>41.3</v>
      </c>
      <c r="H40" s="19">
        <v>23.8</v>
      </c>
    </row>
    <row r="41" spans="2:8" ht="13.5" x14ac:dyDescent="0.2">
      <c r="B41" s="12">
        <v>2008</v>
      </c>
      <c r="C41" s="19">
        <v>15.8</v>
      </c>
      <c r="D41" s="19">
        <v>10.5</v>
      </c>
      <c r="E41" s="19">
        <v>51.5</v>
      </c>
      <c r="F41" s="19">
        <v>37.9</v>
      </c>
      <c r="G41" s="19">
        <v>48.3</v>
      </c>
      <c r="H41" s="19">
        <v>30.9</v>
      </c>
    </row>
    <row r="42" spans="2:8" ht="13.5" x14ac:dyDescent="0.2">
      <c r="B42" s="12">
        <v>2009</v>
      </c>
      <c r="C42" s="19">
        <v>21.3</v>
      </c>
      <c r="D42" s="19">
        <v>22.8</v>
      </c>
      <c r="E42" s="19">
        <v>70.2</v>
      </c>
      <c r="F42" s="19">
        <v>28.3</v>
      </c>
      <c r="G42" s="19">
        <v>44.6</v>
      </c>
      <c r="H42" s="19">
        <v>24.3</v>
      </c>
    </row>
    <row r="43" spans="2:8" ht="13.5" x14ac:dyDescent="0.2">
      <c r="B43" s="12">
        <v>2010</v>
      </c>
      <c r="C43" s="19">
        <v>21.9</v>
      </c>
      <c r="D43" s="19">
        <v>33.6</v>
      </c>
      <c r="E43" s="19">
        <v>92.2</v>
      </c>
      <c r="F43" s="19">
        <v>27.2</v>
      </c>
      <c r="G43" s="19">
        <v>49.8</v>
      </c>
      <c r="H43" s="19">
        <v>21.8</v>
      </c>
    </row>
    <row r="44" spans="2:8" ht="13.5" x14ac:dyDescent="0.2">
      <c r="B44" s="12">
        <v>2011</v>
      </c>
      <c r="C44" s="19">
        <v>29.5</v>
      </c>
      <c r="D44" s="19">
        <v>47.5</v>
      </c>
      <c r="E44" s="19">
        <v>105.8</v>
      </c>
      <c r="F44" s="19">
        <v>73.2</v>
      </c>
      <c r="G44" s="19">
        <v>64.8</v>
      </c>
      <c r="H44" s="19">
        <v>25.6</v>
      </c>
    </row>
    <row r="45" spans="2:8" ht="13.5" x14ac:dyDescent="0.2">
      <c r="B45" s="12">
        <v>2012</v>
      </c>
      <c r="C45" s="19">
        <v>33.200000000000003</v>
      </c>
      <c r="D45" s="19">
        <v>38.5</v>
      </c>
      <c r="E45" s="19">
        <v>199.5</v>
      </c>
      <c r="F45" s="19">
        <v>86.1</v>
      </c>
      <c r="G45" s="19">
        <v>46.8</v>
      </c>
      <c r="H45" s="19">
        <v>15.6</v>
      </c>
    </row>
    <row r="46" spans="2:8" ht="13.5" x14ac:dyDescent="0.2">
      <c r="B46" s="12">
        <v>2013</v>
      </c>
      <c r="C46" s="19">
        <v>34.200000000000003</v>
      </c>
      <c r="D46" s="19">
        <v>64.099999999999994</v>
      </c>
      <c r="E46" s="19">
        <v>168.2</v>
      </c>
      <c r="F46" s="19">
        <v>69.3</v>
      </c>
      <c r="G46" s="19">
        <v>30.7</v>
      </c>
      <c r="H46" s="19">
        <v>26.9</v>
      </c>
    </row>
    <row r="47" spans="2:8" ht="13.5" x14ac:dyDescent="0.2">
      <c r="B47" s="12">
        <v>2014</v>
      </c>
      <c r="C47" s="19">
        <v>26.8</v>
      </c>
      <c r="D47" s="19">
        <v>39.5</v>
      </c>
      <c r="E47" s="19">
        <v>225.9</v>
      </c>
      <c r="F47" s="19">
        <v>78</v>
      </c>
      <c r="G47" s="19">
        <v>37.6</v>
      </c>
      <c r="H47" s="19">
        <v>29.9</v>
      </c>
    </row>
    <row r="48" spans="2:8" ht="13.5" x14ac:dyDescent="0.2">
      <c r="B48" s="12">
        <v>2015</v>
      </c>
      <c r="C48" s="19">
        <v>25.6</v>
      </c>
      <c r="D48" s="19">
        <v>85.9</v>
      </c>
      <c r="E48" s="19">
        <v>226.6</v>
      </c>
      <c r="F48" s="19">
        <v>77.599999999999994</v>
      </c>
      <c r="G48" s="19">
        <v>39.6</v>
      </c>
      <c r="H48" s="19">
        <v>21.3</v>
      </c>
    </row>
    <row r="49" spans="2:8" ht="13.5" x14ac:dyDescent="0.2">
      <c r="B49" s="12">
        <v>2016</v>
      </c>
      <c r="C49" s="19">
        <v>23.1</v>
      </c>
      <c r="D49" s="19">
        <v>106.3</v>
      </c>
      <c r="E49" s="19">
        <v>261.7</v>
      </c>
      <c r="F49" s="19">
        <v>72.599999999999994</v>
      </c>
      <c r="G49" s="19">
        <v>43.5</v>
      </c>
      <c r="H49" s="19">
        <v>16.5</v>
      </c>
    </row>
    <row r="50" spans="2:8" ht="13.5" x14ac:dyDescent="0.2">
      <c r="B50" s="12">
        <v>2017</v>
      </c>
      <c r="C50" s="19">
        <v>17.600000000000001</v>
      </c>
      <c r="D50" s="19">
        <v>98.4</v>
      </c>
      <c r="E50" s="19">
        <v>240</v>
      </c>
      <c r="F50" s="19">
        <v>74.900000000000006</v>
      </c>
      <c r="G50" s="19">
        <v>35</v>
      </c>
      <c r="H50" s="19">
        <v>40.4</v>
      </c>
    </row>
    <row r="51" spans="2:8" ht="13.5" x14ac:dyDescent="0.2">
      <c r="B51" s="12">
        <v>2018</v>
      </c>
      <c r="C51" s="19">
        <v>35.9</v>
      </c>
      <c r="D51" s="19">
        <v>121.8</v>
      </c>
      <c r="E51" s="19">
        <v>258.60000000000002</v>
      </c>
      <c r="F51" s="19">
        <v>90.8</v>
      </c>
      <c r="G51" s="19">
        <v>46.6</v>
      </c>
      <c r="H51" s="19">
        <v>90.9</v>
      </c>
    </row>
    <row r="52" spans="2:8" ht="13.5" x14ac:dyDescent="0.2">
      <c r="B52" s="33">
        <v>2019</v>
      </c>
      <c r="C52" s="20">
        <v>25.3</v>
      </c>
      <c r="D52" s="20">
        <v>77.7</v>
      </c>
      <c r="E52" s="20">
        <v>184.2</v>
      </c>
      <c r="F52" s="20">
        <v>144.69999999999999</v>
      </c>
      <c r="G52" s="20">
        <v>43.6</v>
      </c>
      <c r="H52" s="20">
        <v>69.400000000000006</v>
      </c>
    </row>
    <row r="53" spans="2:8" ht="13.5" x14ac:dyDescent="0.2">
      <c r="B53" s="61" t="s">
        <v>61</v>
      </c>
      <c r="C53" s="19"/>
      <c r="D53" s="19"/>
      <c r="E53" s="19"/>
      <c r="F53" s="19"/>
      <c r="G53" s="19"/>
      <c r="H53" s="19"/>
    </row>
  </sheetData>
  <mergeCells count="1">
    <mergeCell ref="B3:B4"/>
  </mergeCells>
  <phoneticPr fontId="4"/>
  <pageMargins left="0.75" right="0.75" top="1" bottom="1" header="0.51200000000000001" footer="0.51200000000000001"/>
  <pageSetup paperSize="9" orientation="portrait"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K41"/>
  <sheetViews>
    <sheetView showGridLines="0" zoomScale="75" workbookViewId="0">
      <selection activeCell="B4" sqref="B4"/>
    </sheetView>
  </sheetViews>
  <sheetFormatPr defaultColWidth="8.875" defaultRowHeight="14.25" x14ac:dyDescent="0.15"/>
  <cols>
    <col min="1" max="1" width="9" style="23"/>
    <col min="2" max="2" width="26.125" style="23" customWidth="1"/>
    <col min="3" max="10" width="9.375" style="23" customWidth="1"/>
    <col min="11" max="249" width="9" style="23"/>
    <col min="250" max="250" width="26.125" style="23" customWidth="1"/>
    <col min="251" max="257" width="7" style="23" customWidth="1"/>
    <col min="258" max="263" width="9" style="23" bestFit="1" customWidth="1"/>
    <col min="264" max="505" width="9" style="23"/>
    <col min="506" max="506" width="26.125" style="23" customWidth="1"/>
    <col min="507" max="513" width="7" style="23" customWidth="1"/>
    <col min="514" max="519" width="9" style="23" bestFit="1" customWidth="1"/>
    <col min="520" max="761" width="9" style="23"/>
    <col min="762" max="762" width="26.125" style="23" customWidth="1"/>
    <col min="763" max="769" width="7" style="23" customWidth="1"/>
    <col min="770" max="775" width="9" style="23" bestFit="1" customWidth="1"/>
    <col min="776" max="1017" width="9" style="23"/>
    <col min="1018" max="1018" width="26.125" style="23" customWidth="1"/>
    <col min="1019" max="1025" width="7" style="23" customWidth="1"/>
    <col min="1026" max="1031" width="9" style="23" bestFit="1" customWidth="1"/>
    <col min="1032" max="1273" width="9" style="23"/>
    <col min="1274" max="1274" width="26.125" style="23" customWidth="1"/>
    <col min="1275" max="1281" width="7" style="23" customWidth="1"/>
    <col min="1282" max="1287" width="9" style="23" bestFit="1" customWidth="1"/>
    <col min="1288" max="1529" width="9" style="23"/>
    <col min="1530" max="1530" width="26.125" style="23" customWidth="1"/>
    <col min="1531" max="1537" width="7" style="23" customWidth="1"/>
    <col min="1538" max="1543" width="9" style="23" bestFit="1" customWidth="1"/>
    <col min="1544" max="1785" width="9" style="23"/>
    <col min="1786" max="1786" width="26.125" style="23" customWidth="1"/>
    <col min="1787" max="1793" width="7" style="23" customWidth="1"/>
    <col min="1794" max="1799" width="9" style="23" bestFit="1" customWidth="1"/>
    <col min="1800" max="2041" width="9" style="23"/>
    <col min="2042" max="2042" width="26.125" style="23" customWidth="1"/>
    <col min="2043" max="2049" width="7" style="23" customWidth="1"/>
    <col min="2050" max="2055" width="9" style="23" bestFit="1" customWidth="1"/>
    <col min="2056" max="2297" width="9" style="23"/>
    <col min="2298" max="2298" width="26.125" style="23" customWidth="1"/>
    <col min="2299" max="2305" width="7" style="23" customWidth="1"/>
    <col min="2306" max="2311" width="9" style="23" bestFit="1" customWidth="1"/>
    <col min="2312" max="2553" width="9" style="23"/>
    <col min="2554" max="2554" width="26.125" style="23" customWidth="1"/>
    <col min="2555" max="2561" width="7" style="23" customWidth="1"/>
    <col min="2562" max="2567" width="9" style="23" bestFit="1" customWidth="1"/>
    <col min="2568" max="2809" width="9" style="23"/>
    <col min="2810" max="2810" width="26.125" style="23" customWidth="1"/>
    <col min="2811" max="2817" width="7" style="23" customWidth="1"/>
    <col min="2818" max="2823" width="9" style="23" bestFit="1" customWidth="1"/>
    <col min="2824" max="3065" width="9" style="23"/>
    <col min="3066" max="3066" width="26.125" style="23" customWidth="1"/>
    <col min="3067" max="3073" width="7" style="23" customWidth="1"/>
    <col min="3074" max="3079" width="9" style="23" bestFit="1" customWidth="1"/>
    <col min="3080" max="3321" width="9" style="23"/>
    <col min="3322" max="3322" width="26.125" style="23" customWidth="1"/>
    <col min="3323" max="3329" width="7" style="23" customWidth="1"/>
    <col min="3330" max="3335" width="9" style="23" bestFit="1" customWidth="1"/>
    <col min="3336" max="3577" width="9" style="23"/>
    <col min="3578" max="3578" width="26.125" style="23" customWidth="1"/>
    <col min="3579" max="3585" width="7" style="23" customWidth="1"/>
    <col min="3586" max="3591" width="9" style="23" bestFit="1" customWidth="1"/>
    <col min="3592" max="3833" width="9" style="23"/>
    <col min="3834" max="3834" width="26.125" style="23" customWidth="1"/>
    <col min="3835" max="3841" width="7" style="23" customWidth="1"/>
    <col min="3842" max="3847" width="9" style="23" bestFit="1" customWidth="1"/>
    <col min="3848" max="4089" width="9" style="23"/>
    <col min="4090" max="4090" width="26.125" style="23" customWidth="1"/>
    <col min="4091" max="4097" width="7" style="23" customWidth="1"/>
    <col min="4098" max="4103" width="9" style="23" bestFit="1" customWidth="1"/>
    <col min="4104" max="4345" width="9" style="23"/>
    <col min="4346" max="4346" width="26.125" style="23" customWidth="1"/>
    <col min="4347" max="4353" width="7" style="23" customWidth="1"/>
    <col min="4354" max="4359" width="9" style="23" bestFit="1" customWidth="1"/>
    <col min="4360" max="4601" width="9" style="23"/>
    <col min="4602" max="4602" width="26.125" style="23" customWidth="1"/>
    <col min="4603" max="4609" width="7" style="23" customWidth="1"/>
    <col min="4610" max="4615" width="9" style="23" bestFit="1" customWidth="1"/>
    <col min="4616" max="4857" width="9" style="23"/>
    <col min="4858" max="4858" width="26.125" style="23" customWidth="1"/>
    <col min="4859" max="4865" width="7" style="23" customWidth="1"/>
    <col min="4866" max="4871" width="9" style="23" bestFit="1" customWidth="1"/>
    <col min="4872" max="5113" width="9" style="23"/>
    <col min="5114" max="5114" width="26.125" style="23" customWidth="1"/>
    <col min="5115" max="5121" width="7" style="23" customWidth="1"/>
    <col min="5122" max="5127" width="9" style="23" bestFit="1" customWidth="1"/>
    <col min="5128" max="5369" width="9" style="23"/>
    <col min="5370" max="5370" width="26.125" style="23" customWidth="1"/>
    <col min="5371" max="5377" width="7" style="23" customWidth="1"/>
    <col min="5378" max="5383" width="9" style="23" bestFit="1" customWidth="1"/>
    <col min="5384" max="5625" width="9" style="23"/>
    <col min="5626" max="5626" width="26.125" style="23" customWidth="1"/>
    <col min="5627" max="5633" width="7" style="23" customWidth="1"/>
    <col min="5634" max="5639" width="9" style="23" bestFit="1" customWidth="1"/>
    <col min="5640" max="5881" width="9" style="23"/>
    <col min="5882" max="5882" width="26.125" style="23" customWidth="1"/>
    <col min="5883" max="5889" width="7" style="23" customWidth="1"/>
    <col min="5890" max="5895" width="9" style="23" bestFit="1" customWidth="1"/>
    <col min="5896" max="6137" width="9" style="23"/>
    <col min="6138" max="6138" width="26.125" style="23" customWidth="1"/>
    <col min="6139" max="6145" width="7" style="23" customWidth="1"/>
    <col min="6146" max="6151" width="9" style="23" bestFit="1" customWidth="1"/>
    <col min="6152" max="6393" width="9" style="23"/>
    <col min="6394" max="6394" width="26.125" style="23" customWidth="1"/>
    <col min="6395" max="6401" width="7" style="23" customWidth="1"/>
    <col min="6402" max="6407" width="9" style="23" bestFit="1" customWidth="1"/>
    <col min="6408" max="6649" width="9" style="23"/>
    <col min="6650" max="6650" width="26.125" style="23" customWidth="1"/>
    <col min="6651" max="6657" width="7" style="23" customWidth="1"/>
    <col min="6658" max="6663" width="9" style="23" bestFit="1" customWidth="1"/>
    <col min="6664" max="6905" width="9" style="23"/>
    <col min="6906" max="6906" width="26.125" style="23" customWidth="1"/>
    <col min="6907" max="6913" width="7" style="23" customWidth="1"/>
    <col min="6914" max="6919" width="9" style="23" bestFit="1" customWidth="1"/>
    <col min="6920" max="7161" width="9" style="23"/>
    <col min="7162" max="7162" width="26.125" style="23" customWidth="1"/>
    <col min="7163" max="7169" width="7" style="23" customWidth="1"/>
    <col min="7170" max="7175" width="9" style="23" bestFit="1" customWidth="1"/>
    <col min="7176" max="7417" width="9" style="23"/>
    <col min="7418" max="7418" width="26.125" style="23" customWidth="1"/>
    <col min="7419" max="7425" width="7" style="23" customWidth="1"/>
    <col min="7426" max="7431" width="9" style="23" bestFit="1" customWidth="1"/>
    <col min="7432" max="7673" width="9" style="23"/>
    <col min="7674" max="7674" width="26.125" style="23" customWidth="1"/>
    <col min="7675" max="7681" width="7" style="23" customWidth="1"/>
    <col min="7682" max="7687" width="9" style="23" bestFit="1" customWidth="1"/>
    <col min="7688" max="7929" width="9" style="23"/>
    <col min="7930" max="7930" width="26.125" style="23" customWidth="1"/>
    <col min="7931" max="7937" width="7" style="23" customWidth="1"/>
    <col min="7938" max="7943" width="9" style="23" bestFit="1" customWidth="1"/>
    <col min="7944" max="8185" width="9" style="23"/>
    <col min="8186" max="8186" width="26.125" style="23" customWidth="1"/>
    <col min="8187" max="8193" width="7" style="23" customWidth="1"/>
    <col min="8194" max="8199" width="9" style="23" bestFit="1" customWidth="1"/>
    <col min="8200" max="8441" width="9" style="23"/>
    <col min="8442" max="8442" width="26.125" style="23" customWidth="1"/>
    <col min="8443" max="8449" width="7" style="23" customWidth="1"/>
    <col min="8450" max="8455" width="9" style="23" bestFit="1" customWidth="1"/>
    <col min="8456" max="8697" width="9" style="23"/>
    <col min="8698" max="8698" width="26.125" style="23" customWidth="1"/>
    <col min="8699" max="8705" width="7" style="23" customWidth="1"/>
    <col min="8706" max="8711" width="9" style="23" bestFit="1" customWidth="1"/>
    <col min="8712" max="8953" width="9" style="23"/>
    <col min="8954" max="8954" width="26.125" style="23" customWidth="1"/>
    <col min="8955" max="8961" width="7" style="23" customWidth="1"/>
    <col min="8962" max="8967" width="9" style="23" bestFit="1" customWidth="1"/>
    <col min="8968" max="9209" width="9" style="23"/>
    <col min="9210" max="9210" width="26.125" style="23" customWidth="1"/>
    <col min="9211" max="9217" width="7" style="23" customWidth="1"/>
    <col min="9218" max="9223" width="9" style="23" bestFit="1" customWidth="1"/>
    <col min="9224" max="9465" width="9" style="23"/>
    <col min="9466" max="9466" width="26.125" style="23" customWidth="1"/>
    <col min="9467" max="9473" width="7" style="23" customWidth="1"/>
    <col min="9474" max="9479" width="9" style="23" bestFit="1" customWidth="1"/>
    <col min="9480" max="9721" width="9" style="23"/>
    <col min="9722" max="9722" width="26.125" style="23" customWidth="1"/>
    <col min="9723" max="9729" width="7" style="23" customWidth="1"/>
    <col min="9730" max="9735" width="9" style="23" bestFit="1" customWidth="1"/>
    <col min="9736" max="9977" width="9" style="23"/>
    <col min="9978" max="9978" width="26.125" style="23" customWidth="1"/>
    <col min="9979" max="9985" width="7" style="23" customWidth="1"/>
    <col min="9986" max="9991" width="9" style="23" bestFit="1" customWidth="1"/>
    <col min="9992" max="10233" width="9" style="23"/>
    <col min="10234" max="10234" width="26.125" style="23" customWidth="1"/>
    <col min="10235" max="10241" width="7" style="23" customWidth="1"/>
    <col min="10242" max="10247" width="9" style="23" bestFit="1" customWidth="1"/>
    <col min="10248" max="10489" width="9" style="23"/>
    <col min="10490" max="10490" width="26.125" style="23" customWidth="1"/>
    <col min="10491" max="10497" width="7" style="23" customWidth="1"/>
    <col min="10498" max="10503" width="9" style="23" bestFit="1" customWidth="1"/>
    <col min="10504" max="10745" width="9" style="23"/>
    <col min="10746" max="10746" width="26.125" style="23" customWidth="1"/>
    <col min="10747" max="10753" width="7" style="23" customWidth="1"/>
    <col min="10754" max="10759" width="9" style="23" bestFit="1" customWidth="1"/>
    <col min="10760" max="11001" width="9" style="23"/>
    <col min="11002" max="11002" width="26.125" style="23" customWidth="1"/>
    <col min="11003" max="11009" width="7" style="23" customWidth="1"/>
    <col min="11010" max="11015" width="9" style="23" bestFit="1" customWidth="1"/>
    <col min="11016" max="11257" width="9" style="23"/>
    <col min="11258" max="11258" width="26.125" style="23" customWidth="1"/>
    <col min="11259" max="11265" width="7" style="23" customWidth="1"/>
    <col min="11266" max="11271" width="9" style="23" bestFit="1" customWidth="1"/>
    <col min="11272" max="11513" width="9" style="23"/>
    <col min="11514" max="11514" width="26.125" style="23" customWidth="1"/>
    <col min="11515" max="11521" width="7" style="23" customWidth="1"/>
    <col min="11522" max="11527" width="9" style="23" bestFit="1" customWidth="1"/>
    <col min="11528" max="11769" width="9" style="23"/>
    <col min="11770" max="11770" width="26.125" style="23" customWidth="1"/>
    <col min="11771" max="11777" width="7" style="23" customWidth="1"/>
    <col min="11778" max="11783" width="9" style="23" bestFit="1" customWidth="1"/>
    <col min="11784" max="12025" width="9" style="23"/>
    <col min="12026" max="12026" width="26.125" style="23" customWidth="1"/>
    <col min="12027" max="12033" width="7" style="23" customWidth="1"/>
    <col min="12034" max="12039" width="9" style="23" bestFit="1" customWidth="1"/>
    <col min="12040" max="12281" width="9" style="23"/>
    <col min="12282" max="12282" width="26.125" style="23" customWidth="1"/>
    <col min="12283" max="12289" width="7" style="23" customWidth="1"/>
    <col min="12290" max="12295" width="9" style="23" bestFit="1" customWidth="1"/>
    <col min="12296" max="12537" width="9" style="23"/>
    <col min="12538" max="12538" width="26.125" style="23" customWidth="1"/>
    <col min="12539" max="12545" width="7" style="23" customWidth="1"/>
    <col min="12546" max="12551" width="9" style="23" bestFit="1" customWidth="1"/>
    <col min="12552" max="12793" width="9" style="23"/>
    <col min="12794" max="12794" width="26.125" style="23" customWidth="1"/>
    <col min="12795" max="12801" width="7" style="23" customWidth="1"/>
    <col min="12802" max="12807" width="9" style="23" bestFit="1" customWidth="1"/>
    <col min="12808" max="13049" width="9" style="23"/>
    <col min="13050" max="13050" width="26.125" style="23" customWidth="1"/>
    <col min="13051" max="13057" width="7" style="23" customWidth="1"/>
    <col min="13058" max="13063" width="9" style="23" bestFit="1" customWidth="1"/>
    <col min="13064" max="13305" width="9" style="23"/>
    <col min="13306" max="13306" width="26.125" style="23" customWidth="1"/>
    <col min="13307" max="13313" width="7" style="23" customWidth="1"/>
    <col min="13314" max="13319" width="9" style="23" bestFit="1" customWidth="1"/>
    <col min="13320" max="13561" width="9" style="23"/>
    <col min="13562" max="13562" width="26.125" style="23" customWidth="1"/>
    <col min="13563" max="13569" width="7" style="23" customWidth="1"/>
    <col min="13570" max="13575" width="9" style="23" bestFit="1" customWidth="1"/>
    <col min="13576" max="13817" width="9" style="23"/>
    <col min="13818" max="13818" width="26.125" style="23" customWidth="1"/>
    <col min="13819" max="13825" width="7" style="23" customWidth="1"/>
    <col min="13826" max="13831" width="9" style="23" bestFit="1" customWidth="1"/>
    <col min="13832" max="14073" width="9" style="23"/>
    <col min="14074" max="14074" width="26.125" style="23" customWidth="1"/>
    <col min="14075" max="14081" width="7" style="23" customWidth="1"/>
    <col min="14082" max="14087" width="9" style="23" bestFit="1" customWidth="1"/>
    <col min="14088" max="14329" width="9" style="23"/>
    <col min="14330" max="14330" width="26.125" style="23" customWidth="1"/>
    <col min="14331" max="14337" width="7" style="23" customWidth="1"/>
    <col min="14338" max="14343" width="9" style="23" bestFit="1" customWidth="1"/>
    <col min="14344" max="14585" width="9" style="23"/>
    <col min="14586" max="14586" width="26.125" style="23" customWidth="1"/>
    <col min="14587" max="14593" width="7" style="23" customWidth="1"/>
    <col min="14594" max="14599" width="9" style="23" bestFit="1" customWidth="1"/>
    <col min="14600" max="14841" width="9" style="23"/>
    <col min="14842" max="14842" width="26.125" style="23" customWidth="1"/>
    <col min="14843" max="14849" width="7" style="23" customWidth="1"/>
    <col min="14850" max="14855" width="9" style="23" bestFit="1" customWidth="1"/>
    <col min="14856" max="15097" width="9" style="23"/>
    <col min="15098" max="15098" width="26.125" style="23" customWidth="1"/>
    <col min="15099" max="15105" width="7" style="23" customWidth="1"/>
    <col min="15106" max="15111" width="9" style="23" bestFit="1" customWidth="1"/>
    <col min="15112" max="15353" width="9" style="23"/>
    <col min="15354" max="15354" width="26.125" style="23" customWidth="1"/>
    <col min="15355" max="15361" width="7" style="23" customWidth="1"/>
    <col min="15362" max="15367" width="9" style="23" bestFit="1" customWidth="1"/>
    <col min="15368" max="15609" width="9" style="23"/>
    <col min="15610" max="15610" width="26.125" style="23" customWidth="1"/>
    <col min="15611" max="15617" width="7" style="23" customWidth="1"/>
    <col min="15618" max="15623" width="9" style="23" bestFit="1" customWidth="1"/>
    <col min="15624" max="15865" width="9" style="23"/>
    <col min="15866" max="15866" width="26.125" style="23" customWidth="1"/>
    <col min="15867" max="15873" width="7" style="23" customWidth="1"/>
    <col min="15874" max="15879" width="9" style="23" bestFit="1" customWidth="1"/>
    <col min="15880" max="16121" width="9" style="23"/>
    <col min="16122" max="16122" width="26.125" style="23" customWidth="1"/>
    <col min="16123" max="16129" width="7" style="23" customWidth="1"/>
    <col min="16130" max="16135" width="9" style="23" bestFit="1" customWidth="1"/>
    <col min="16136" max="16384" width="9" style="23"/>
  </cols>
  <sheetData>
    <row r="2" spans="2:11" ht="20.100000000000001" customHeight="1" x14ac:dyDescent="0.15">
      <c r="B2" s="121" t="s">
        <v>65</v>
      </c>
      <c r="C2" s="122"/>
      <c r="D2" s="122"/>
      <c r="E2" s="122"/>
      <c r="F2" s="122"/>
      <c r="G2" s="122"/>
      <c r="H2" s="122"/>
      <c r="I2" s="123"/>
      <c r="J2" s="123"/>
    </row>
    <row r="3" spans="2:11" ht="20.100000000000001" customHeight="1" x14ac:dyDescent="0.15">
      <c r="B3" s="122"/>
      <c r="C3" s="122"/>
      <c r="D3" s="122"/>
      <c r="E3" s="122"/>
      <c r="F3" s="122"/>
      <c r="G3" s="122"/>
      <c r="H3" s="122"/>
      <c r="I3" s="124"/>
      <c r="J3" s="123"/>
    </row>
    <row r="4" spans="2:11" x14ac:dyDescent="0.15">
      <c r="B4" s="66"/>
      <c r="C4" s="67">
        <v>1995</v>
      </c>
      <c r="D4" s="67">
        <v>1996</v>
      </c>
      <c r="E4" s="67">
        <v>1997</v>
      </c>
      <c r="F4" s="67">
        <v>1998</v>
      </c>
      <c r="G4" s="67">
        <v>1999</v>
      </c>
      <c r="H4" s="67">
        <v>2000</v>
      </c>
      <c r="I4" s="67">
        <v>2001</v>
      </c>
      <c r="J4" s="67">
        <v>2002</v>
      </c>
      <c r="K4" s="67">
        <v>2003</v>
      </c>
    </row>
    <row r="5" spans="2:11" x14ac:dyDescent="0.15">
      <c r="B5" s="68" t="s">
        <v>35</v>
      </c>
      <c r="C5" s="69">
        <v>57</v>
      </c>
      <c r="D5" s="69">
        <v>57</v>
      </c>
      <c r="E5" s="69">
        <v>60</v>
      </c>
      <c r="F5" s="69">
        <v>61</v>
      </c>
      <c r="G5" s="69">
        <v>59</v>
      </c>
      <c r="H5" s="69">
        <v>74</v>
      </c>
      <c r="I5" s="69">
        <v>71</v>
      </c>
      <c r="J5" s="69">
        <v>75</v>
      </c>
      <c r="K5" s="69">
        <v>100</v>
      </c>
    </row>
    <row r="6" spans="2:11" x14ac:dyDescent="0.15">
      <c r="B6" s="68" t="s">
        <v>36</v>
      </c>
      <c r="C6" s="70">
        <v>1422</v>
      </c>
      <c r="D6" s="70">
        <v>1523</v>
      </c>
      <c r="E6" s="70">
        <v>1824</v>
      </c>
      <c r="F6" s="70">
        <v>1597</v>
      </c>
      <c r="G6" s="70">
        <v>2503</v>
      </c>
      <c r="H6" s="70">
        <v>2588</v>
      </c>
      <c r="I6" s="70">
        <v>2564</v>
      </c>
      <c r="J6" s="70">
        <v>3082</v>
      </c>
      <c r="K6" s="70">
        <v>3212</v>
      </c>
    </row>
    <row r="7" spans="2:11" x14ac:dyDescent="0.15">
      <c r="B7" s="68" t="s">
        <v>37</v>
      </c>
      <c r="C7" s="71">
        <v>0.18</v>
      </c>
      <c r="D7" s="71">
        <v>0.18</v>
      </c>
      <c r="E7" s="71">
        <v>0.09</v>
      </c>
      <c r="F7" s="71">
        <v>0.13</v>
      </c>
      <c r="G7" s="71">
        <v>0.14000000000000001</v>
      </c>
      <c r="H7" s="71">
        <v>0.17</v>
      </c>
      <c r="I7" s="71">
        <v>0.13</v>
      </c>
      <c r="J7" s="71">
        <v>0.15</v>
      </c>
      <c r="K7" s="71">
        <v>0.12</v>
      </c>
    </row>
    <row r="8" spans="2:11" x14ac:dyDescent="0.15">
      <c r="B8" s="68" t="s">
        <v>38</v>
      </c>
      <c r="C8" s="70">
        <v>256</v>
      </c>
      <c r="D8" s="70">
        <v>271</v>
      </c>
      <c r="E8" s="70">
        <v>168</v>
      </c>
      <c r="F8" s="70">
        <v>212</v>
      </c>
      <c r="G8" s="70">
        <v>355</v>
      </c>
      <c r="H8" s="70">
        <v>434</v>
      </c>
      <c r="I8" s="70">
        <v>340</v>
      </c>
      <c r="J8" s="70">
        <v>453</v>
      </c>
      <c r="K8" s="70">
        <v>399</v>
      </c>
    </row>
    <row r="9" spans="2:11" x14ac:dyDescent="0.15">
      <c r="B9" s="72" t="s">
        <v>39</v>
      </c>
      <c r="C9" s="70">
        <v>2760</v>
      </c>
      <c r="D9" s="70">
        <v>2941</v>
      </c>
      <c r="E9" s="70">
        <v>2591</v>
      </c>
      <c r="F9" s="70">
        <v>2629</v>
      </c>
      <c r="G9" s="70">
        <v>4257</v>
      </c>
      <c r="H9" s="70">
        <v>4805</v>
      </c>
      <c r="I9" s="70">
        <v>4213</v>
      </c>
      <c r="J9" s="70">
        <v>5322</v>
      </c>
      <c r="K9" s="70">
        <v>5108</v>
      </c>
    </row>
    <row r="10" spans="2:11" x14ac:dyDescent="0.15">
      <c r="B10" s="72" t="s">
        <v>40</v>
      </c>
      <c r="C10" s="70">
        <v>636</v>
      </c>
      <c r="D10" s="70">
        <v>685</v>
      </c>
      <c r="E10" s="70">
        <v>1239</v>
      </c>
      <c r="F10" s="70">
        <v>900</v>
      </c>
      <c r="G10" s="70">
        <v>1349</v>
      </c>
      <c r="H10" s="70">
        <v>1236</v>
      </c>
      <c r="I10" s="70">
        <v>1450</v>
      </c>
      <c r="J10" s="70">
        <v>1630</v>
      </c>
      <c r="K10" s="70">
        <v>1896</v>
      </c>
    </row>
    <row r="11" spans="2:11" x14ac:dyDescent="0.15">
      <c r="B11" s="68" t="s">
        <v>41</v>
      </c>
      <c r="C11" s="70">
        <v>9973</v>
      </c>
      <c r="D11" s="70">
        <v>11277</v>
      </c>
      <c r="E11" s="70">
        <v>14273</v>
      </c>
      <c r="F11" s="70">
        <v>10780</v>
      </c>
      <c r="G11" s="70">
        <v>19426</v>
      </c>
      <c r="H11" s="70">
        <v>24878</v>
      </c>
      <c r="I11" s="70">
        <v>37433</v>
      </c>
      <c r="J11" s="70">
        <v>58117</v>
      </c>
      <c r="K11" s="70">
        <v>55001</v>
      </c>
    </row>
    <row r="12" spans="2:11" x14ac:dyDescent="0.15">
      <c r="B12" s="68" t="s">
        <v>42</v>
      </c>
      <c r="C12" s="71">
        <v>0.21</v>
      </c>
      <c r="D12" s="71">
        <v>0.27</v>
      </c>
      <c r="E12" s="71">
        <v>0.14000000000000001</v>
      </c>
      <c r="F12" s="71">
        <v>0.16</v>
      </c>
      <c r="G12" s="71">
        <v>0.16</v>
      </c>
      <c r="H12" s="71">
        <v>0.2</v>
      </c>
      <c r="I12" s="71">
        <v>0.18</v>
      </c>
      <c r="J12" s="71">
        <v>0.21</v>
      </c>
      <c r="K12" s="71">
        <v>0.13</v>
      </c>
    </row>
    <row r="13" spans="2:11" x14ac:dyDescent="0.15">
      <c r="B13" s="68" t="s">
        <v>43</v>
      </c>
      <c r="C13" s="70">
        <v>2122</v>
      </c>
      <c r="D13" s="70">
        <v>3059</v>
      </c>
      <c r="E13" s="70">
        <v>2036</v>
      </c>
      <c r="F13" s="70">
        <v>1697</v>
      </c>
      <c r="G13" s="70">
        <v>3165</v>
      </c>
      <c r="H13" s="70">
        <v>4934</v>
      </c>
      <c r="I13" s="70">
        <v>6669</v>
      </c>
      <c r="J13" s="70">
        <v>12408</v>
      </c>
      <c r="K13" s="70">
        <v>7246</v>
      </c>
    </row>
    <row r="14" spans="2:11" x14ac:dyDescent="0.15">
      <c r="B14" s="72" t="s">
        <v>44</v>
      </c>
      <c r="C14" s="70">
        <v>21614</v>
      </c>
      <c r="D14" s="70">
        <v>29770</v>
      </c>
      <c r="E14" s="70">
        <v>24331</v>
      </c>
      <c r="F14" s="70">
        <v>19351</v>
      </c>
      <c r="G14" s="70">
        <v>35563</v>
      </c>
      <c r="H14" s="70">
        <v>51279</v>
      </c>
      <c r="I14" s="70">
        <v>72053</v>
      </c>
      <c r="J14" s="70">
        <v>126104</v>
      </c>
      <c r="K14" s="70">
        <v>89861</v>
      </c>
    </row>
    <row r="15" spans="2:11" x14ac:dyDescent="0.15">
      <c r="B15" s="73" t="s">
        <v>45</v>
      </c>
      <c r="C15" s="70">
        <v>3758</v>
      </c>
      <c r="D15" s="70">
        <v>2974</v>
      </c>
      <c r="E15" s="70">
        <v>7674</v>
      </c>
      <c r="F15" s="70">
        <v>5396</v>
      </c>
      <c r="G15" s="70">
        <v>9454</v>
      </c>
      <c r="H15" s="70">
        <v>10165</v>
      </c>
      <c r="I15" s="74">
        <v>16962</v>
      </c>
      <c r="J15" s="74">
        <v>21880</v>
      </c>
      <c r="K15" s="74">
        <v>31353</v>
      </c>
    </row>
    <row r="16" spans="2:11" x14ac:dyDescent="0.15">
      <c r="B16" s="75"/>
      <c r="C16" s="75"/>
      <c r="D16" s="75"/>
      <c r="E16" s="75"/>
      <c r="F16" s="75"/>
      <c r="G16" s="75"/>
      <c r="H16" s="75"/>
      <c r="I16" s="76"/>
      <c r="J16" s="76"/>
    </row>
    <row r="17" spans="2:11" x14ac:dyDescent="0.15">
      <c r="B17" s="66" t="s">
        <v>46</v>
      </c>
      <c r="C17" s="67">
        <v>2004</v>
      </c>
      <c r="D17" s="67">
        <v>2005</v>
      </c>
      <c r="E17" s="67">
        <v>2006</v>
      </c>
      <c r="F17" s="67">
        <v>2007</v>
      </c>
      <c r="G17" s="67">
        <v>2008</v>
      </c>
      <c r="H17" s="67">
        <v>2009</v>
      </c>
      <c r="I17" s="67">
        <v>2010</v>
      </c>
      <c r="J17" s="67">
        <v>2011</v>
      </c>
      <c r="K17" s="67">
        <v>2012</v>
      </c>
    </row>
    <row r="18" spans="2:11" x14ac:dyDescent="0.15">
      <c r="B18" s="68" t="s">
        <v>35</v>
      </c>
      <c r="C18" s="69">
        <v>145</v>
      </c>
      <c r="D18" s="69">
        <v>150</v>
      </c>
      <c r="E18" s="69">
        <v>146</v>
      </c>
      <c r="F18" s="69">
        <v>150</v>
      </c>
      <c r="G18" s="69">
        <v>148</v>
      </c>
      <c r="H18" s="69">
        <v>134</v>
      </c>
      <c r="I18" s="69">
        <v>124</v>
      </c>
      <c r="J18" s="69">
        <v>124</v>
      </c>
      <c r="K18" s="69">
        <v>101</v>
      </c>
    </row>
    <row r="19" spans="2:11" x14ac:dyDescent="0.15">
      <c r="B19" s="68" t="s">
        <v>36</v>
      </c>
      <c r="C19" s="70">
        <v>2915</v>
      </c>
      <c r="D19" s="70">
        <v>3771</v>
      </c>
      <c r="E19" s="70">
        <v>3616</v>
      </c>
      <c r="F19" s="70">
        <v>4698</v>
      </c>
      <c r="G19" s="70">
        <v>5231</v>
      </c>
      <c r="H19" s="70">
        <v>5167</v>
      </c>
      <c r="I19" s="70">
        <v>6419</v>
      </c>
      <c r="J19" s="70">
        <v>6233</v>
      </c>
      <c r="K19" s="70">
        <v>5930</v>
      </c>
    </row>
    <row r="20" spans="2:11" x14ac:dyDescent="0.15">
      <c r="B20" s="68" t="s">
        <v>37</v>
      </c>
      <c r="C20" s="71">
        <v>0.11</v>
      </c>
      <c r="D20" s="71">
        <v>0.09</v>
      </c>
      <c r="E20" s="71">
        <v>0.11</v>
      </c>
      <c r="F20" s="71">
        <v>0.1</v>
      </c>
      <c r="G20" s="71">
        <v>7.0000000000000007E-2</v>
      </c>
      <c r="H20" s="71">
        <v>7.0000000000000007E-2</v>
      </c>
      <c r="I20" s="71">
        <v>0.08</v>
      </c>
      <c r="J20" s="71">
        <v>0.08</v>
      </c>
      <c r="K20" s="71">
        <v>0.09</v>
      </c>
    </row>
    <row r="21" spans="2:11" x14ac:dyDescent="0.15">
      <c r="B21" s="68" t="s">
        <v>38</v>
      </c>
      <c r="C21" s="70">
        <v>313</v>
      </c>
      <c r="D21" s="70">
        <v>344</v>
      </c>
      <c r="E21" s="70">
        <v>401</v>
      </c>
      <c r="F21" s="70">
        <v>485</v>
      </c>
      <c r="G21" s="70">
        <v>355</v>
      </c>
      <c r="H21" s="70">
        <v>376</v>
      </c>
      <c r="I21" s="70">
        <v>486</v>
      </c>
      <c r="J21" s="70">
        <v>526</v>
      </c>
      <c r="K21" s="70">
        <v>552</v>
      </c>
    </row>
    <row r="22" spans="2:11" x14ac:dyDescent="0.15">
      <c r="B22" s="72" t="s">
        <v>39</v>
      </c>
      <c r="C22" s="70">
        <v>4353</v>
      </c>
      <c r="D22" s="70">
        <v>5314</v>
      </c>
      <c r="E22" s="70">
        <v>5474</v>
      </c>
      <c r="F22" s="70">
        <v>6917</v>
      </c>
      <c r="G22" s="70">
        <v>6770</v>
      </c>
      <c r="H22" s="70">
        <v>6820</v>
      </c>
      <c r="I22" s="70">
        <v>8565</v>
      </c>
      <c r="J22" s="70">
        <v>8585</v>
      </c>
      <c r="K22" s="70">
        <v>8438</v>
      </c>
    </row>
    <row r="23" spans="2:11" x14ac:dyDescent="0.15">
      <c r="B23" s="72" t="s">
        <v>40</v>
      </c>
      <c r="C23" s="70">
        <v>1865</v>
      </c>
      <c r="D23" s="70">
        <v>2590</v>
      </c>
      <c r="E23" s="70">
        <v>2276</v>
      </c>
      <c r="F23" s="70">
        <v>3059</v>
      </c>
      <c r="G23" s="70">
        <v>3971</v>
      </c>
      <c r="H23" s="70">
        <v>3833</v>
      </c>
      <c r="I23" s="70">
        <v>4702</v>
      </c>
      <c r="J23" s="70">
        <v>4398</v>
      </c>
      <c r="K23" s="70">
        <v>4024</v>
      </c>
    </row>
    <row r="24" spans="2:11" x14ac:dyDescent="0.15">
      <c r="B24" s="68" t="s">
        <v>41</v>
      </c>
      <c r="C24" s="70">
        <v>55657</v>
      </c>
      <c r="D24" s="70">
        <v>65457</v>
      </c>
      <c r="E24" s="70">
        <v>59473</v>
      </c>
      <c r="F24" s="70">
        <v>68385</v>
      </c>
      <c r="G24" s="70">
        <v>70484</v>
      </c>
      <c r="H24" s="70">
        <v>64991</v>
      </c>
      <c r="I24" s="70">
        <v>68312</v>
      </c>
      <c r="J24" s="70">
        <v>57113</v>
      </c>
      <c r="K24" s="70">
        <v>53050</v>
      </c>
    </row>
    <row r="25" spans="2:11" x14ac:dyDescent="0.15">
      <c r="B25" s="68" t="s">
        <v>42</v>
      </c>
      <c r="C25" s="71">
        <v>0.15</v>
      </c>
      <c r="D25" s="71">
        <v>0.12</v>
      </c>
      <c r="E25" s="71">
        <v>0.13</v>
      </c>
      <c r="F25" s="71">
        <v>0.13</v>
      </c>
      <c r="G25" s="71">
        <v>0.08</v>
      </c>
      <c r="H25" s="71">
        <v>0.08</v>
      </c>
      <c r="I25" s="71">
        <v>0.08</v>
      </c>
      <c r="J25" s="71">
        <v>0.1</v>
      </c>
      <c r="K25" s="71">
        <v>0.09</v>
      </c>
    </row>
    <row r="26" spans="2:11" x14ac:dyDescent="0.15">
      <c r="B26" s="68" t="s">
        <v>43</v>
      </c>
      <c r="C26" s="70">
        <v>8529</v>
      </c>
      <c r="D26" s="70">
        <v>7882</v>
      </c>
      <c r="E26" s="70">
        <v>8027</v>
      </c>
      <c r="F26" s="70">
        <v>8613</v>
      </c>
      <c r="G26" s="70">
        <v>5874</v>
      </c>
      <c r="H26" s="70">
        <v>5233</v>
      </c>
      <c r="I26" s="70">
        <v>5652</v>
      </c>
      <c r="J26" s="70">
        <v>5497</v>
      </c>
      <c r="K26" s="70">
        <v>4664</v>
      </c>
    </row>
    <row r="27" spans="2:11" x14ac:dyDescent="0.15">
      <c r="B27" s="72" t="s">
        <v>44</v>
      </c>
      <c r="C27" s="70">
        <v>96644</v>
      </c>
      <c r="D27" s="70">
        <v>102441</v>
      </c>
      <c r="E27" s="70">
        <v>97979</v>
      </c>
      <c r="F27" s="70">
        <v>109142</v>
      </c>
      <c r="G27" s="70">
        <v>96546</v>
      </c>
      <c r="H27" s="70">
        <v>88237</v>
      </c>
      <c r="I27" s="70">
        <v>93519</v>
      </c>
      <c r="J27" s="70">
        <v>82135</v>
      </c>
      <c r="K27" s="70">
        <v>74063</v>
      </c>
    </row>
    <row r="28" spans="2:11" x14ac:dyDescent="0.15">
      <c r="B28" s="73" t="s">
        <v>45</v>
      </c>
      <c r="C28" s="74">
        <v>29162</v>
      </c>
      <c r="D28" s="74">
        <v>39496</v>
      </c>
      <c r="E28" s="74">
        <v>33574</v>
      </c>
      <c r="F28" s="74">
        <v>40237</v>
      </c>
      <c r="G28" s="74">
        <v>50084</v>
      </c>
      <c r="H28" s="74">
        <v>46651</v>
      </c>
      <c r="I28" s="74">
        <v>48556</v>
      </c>
      <c r="J28" s="74">
        <v>38267</v>
      </c>
      <c r="K28" s="74">
        <v>36834</v>
      </c>
    </row>
    <row r="29" spans="2:11" x14ac:dyDescent="0.15">
      <c r="B29" s="75"/>
      <c r="C29" s="75"/>
      <c r="D29" s="72"/>
      <c r="E29" s="72"/>
      <c r="F29" s="72"/>
      <c r="G29" s="72"/>
      <c r="H29" s="72"/>
      <c r="I29" s="76"/>
      <c r="J29" s="76"/>
    </row>
    <row r="30" spans="2:11" x14ac:dyDescent="0.15">
      <c r="B30" s="66" t="s">
        <v>46</v>
      </c>
      <c r="C30" s="67">
        <v>2013</v>
      </c>
      <c r="D30" s="67">
        <v>2014</v>
      </c>
      <c r="E30" s="67">
        <v>2015</v>
      </c>
      <c r="F30" s="67">
        <v>2016</v>
      </c>
      <c r="G30" s="67">
        <v>2017</v>
      </c>
      <c r="H30" s="67">
        <v>2018</v>
      </c>
      <c r="I30" s="67">
        <v>2019</v>
      </c>
      <c r="J30" s="69"/>
    </row>
    <row r="31" spans="2:11" x14ac:dyDescent="0.15">
      <c r="B31" s="68" t="s">
        <v>35</v>
      </c>
      <c r="C31" s="69">
        <v>113</v>
      </c>
      <c r="D31" s="69">
        <v>110</v>
      </c>
      <c r="E31" s="69">
        <v>122</v>
      </c>
      <c r="F31" s="69">
        <v>121</v>
      </c>
      <c r="G31" s="69">
        <v>101</v>
      </c>
      <c r="H31" s="69">
        <v>107</v>
      </c>
      <c r="I31" s="69">
        <v>107</v>
      </c>
      <c r="J31" s="69"/>
    </row>
    <row r="32" spans="2:11" x14ac:dyDescent="0.15">
      <c r="B32" s="68" t="s">
        <v>36</v>
      </c>
      <c r="C32" s="70">
        <v>6470</v>
      </c>
      <c r="D32" s="70">
        <v>8460</v>
      </c>
      <c r="E32" s="70">
        <v>9739</v>
      </c>
      <c r="F32" s="70">
        <v>8693</v>
      </c>
      <c r="G32" s="70">
        <v>8665</v>
      </c>
      <c r="H32" s="70">
        <v>7441</v>
      </c>
      <c r="I32" s="70">
        <v>9928</v>
      </c>
      <c r="J32" s="70"/>
    </row>
    <row r="33" spans="2:10" x14ac:dyDescent="0.15">
      <c r="B33" s="68" t="s">
        <v>37</v>
      </c>
      <c r="C33" s="71">
        <v>7.0000000000000007E-2</v>
      </c>
      <c r="D33" s="71">
        <v>0.1</v>
      </c>
      <c r="E33" s="71">
        <v>0.11</v>
      </c>
      <c r="F33" s="71">
        <v>0.1</v>
      </c>
      <c r="G33" s="71">
        <v>0.08</v>
      </c>
      <c r="H33" s="71">
        <v>0.09</v>
      </c>
      <c r="I33" s="71">
        <v>0.11</v>
      </c>
      <c r="J33" s="71"/>
    </row>
    <row r="34" spans="2:10" x14ac:dyDescent="0.15">
      <c r="B34" s="68" t="s">
        <v>38</v>
      </c>
      <c r="C34" s="70">
        <v>475</v>
      </c>
      <c r="D34" s="70">
        <v>852</v>
      </c>
      <c r="E34" s="70">
        <v>1083</v>
      </c>
      <c r="F34" s="70">
        <v>858</v>
      </c>
      <c r="G34" s="70">
        <v>655</v>
      </c>
      <c r="H34" s="70">
        <v>696</v>
      </c>
      <c r="I34" s="70">
        <v>1139</v>
      </c>
      <c r="J34" s="70"/>
    </row>
    <row r="35" spans="2:10" x14ac:dyDescent="0.15">
      <c r="B35" s="72" t="s">
        <v>39</v>
      </c>
      <c r="C35" s="70">
        <v>8558</v>
      </c>
      <c r="D35" s="70">
        <v>12369</v>
      </c>
      <c r="E35" s="70">
        <v>14786</v>
      </c>
      <c r="F35" s="70">
        <v>12612</v>
      </c>
      <c r="G35" s="70">
        <v>11562</v>
      </c>
      <c r="H35" s="70">
        <v>10605</v>
      </c>
      <c r="I35" s="70">
        <v>15265</v>
      </c>
      <c r="J35" s="70"/>
    </row>
    <row r="36" spans="2:10" x14ac:dyDescent="0.15">
      <c r="B36" s="72" t="s">
        <v>40</v>
      </c>
      <c r="C36" s="70">
        <v>4787</v>
      </c>
      <c r="D36" s="70">
        <v>5555</v>
      </c>
      <c r="E36" s="70">
        <v>6101</v>
      </c>
      <c r="F36" s="70">
        <v>5763</v>
      </c>
      <c r="G36" s="70">
        <v>6348</v>
      </c>
      <c r="H36" s="70">
        <v>5040</v>
      </c>
      <c r="I36" s="70">
        <v>6121</v>
      </c>
      <c r="J36" s="70"/>
    </row>
    <row r="37" spans="2:10" x14ac:dyDescent="0.15">
      <c r="B37" s="68" t="s">
        <v>41</v>
      </c>
      <c r="C37" s="70">
        <v>54354</v>
      </c>
      <c r="D37" s="70">
        <v>61381</v>
      </c>
      <c r="E37" s="70">
        <v>67816</v>
      </c>
      <c r="F37" s="70">
        <v>70670</v>
      </c>
      <c r="G37" s="70">
        <v>60193</v>
      </c>
      <c r="H37" s="70">
        <v>51264</v>
      </c>
      <c r="I37" s="70">
        <v>61204</v>
      </c>
      <c r="J37" s="70"/>
    </row>
    <row r="38" spans="2:10" x14ac:dyDescent="0.15">
      <c r="B38" s="68" t="s">
        <v>42</v>
      </c>
      <c r="C38" s="71">
        <v>0.09</v>
      </c>
      <c r="D38" s="71">
        <v>0.08</v>
      </c>
      <c r="E38" s="71">
        <v>0.11</v>
      </c>
      <c r="F38" s="71">
        <v>0.16</v>
      </c>
      <c r="G38" s="71">
        <v>0.09</v>
      </c>
      <c r="H38" s="71">
        <v>0.1</v>
      </c>
      <c r="I38" s="71">
        <v>0.1</v>
      </c>
      <c r="J38" s="71"/>
    </row>
    <row r="39" spans="2:10" x14ac:dyDescent="0.15">
      <c r="B39" s="68" t="s">
        <v>43</v>
      </c>
      <c r="C39" s="70">
        <v>4772</v>
      </c>
      <c r="D39" s="70">
        <v>5082</v>
      </c>
      <c r="E39" s="70">
        <v>7625</v>
      </c>
      <c r="F39" s="70">
        <v>11442</v>
      </c>
      <c r="G39" s="70">
        <v>5556</v>
      </c>
      <c r="H39" s="70">
        <v>5199</v>
      </c>
      <c r="I39" s="70">
        <v>6330</v>
      </c>
      <c r="J39" s="70"/>
    </row>
    <row r="40" spans="2:10" x14ac:dyDescent="0.15">
      <c r="B40" s="72" t="s">
        <v>44</v>
      </c>
      <c r="C40" s="70">
        <v>75813</v>
      </c>
      <c r="D40" s="70">
        <v>84078</v>
      </c>
      <c r="E40" s="70">
        <v>103429</v>
      </c>
      <c r="F40" s="70">
        <v>128211</v>
      </c>
      <c r="G40" s="70">
        <v>85369</v>
      </c>
      <c r="H40" s="70">
        <v>75175</v>
      </c>
      <c r="I40" s="70">
        <v>90373</v>
      </c>
      <c r="J40" s="70"/>
    </row>
    <row r="41" spans="2:10" x14ac:dyDescent="0.15">
      <c r="B41" s="73" t="s">
        <v>45</v>
      </c>
      <c r="C41" s="74">
        <v>37786</v>
      </c>
      <c r="D41" s="74">
        <v>43597</v>
      </c>
      <c r="E41" s="74">
        <v>42245</v>
      </c>
      <c r="F41" s="74">
        <v>34942</v>
      </c>
      <c r="G41" s="74">
        <v>41011</v>
      </c>
      <c r="H41" s="74">
        <v>33531</v>
      </c>
      <c r="I41" s="74">
        <v>39696</v>
      </c>
      <c r="J41" s="70"/>
    </row>
  </sheetData>
  <mergeCells count="1">
    <mergeCell ref="B2:J3"/>
  </mergeCells>
  <phoneticPr fontId="4"/>
  <pageMargins left="0.75" right="0.75" top="1" bottom="1" header="0.51200000000000001" footer="0.51200000000000001"/>
  <pageSetup paperSize="9" scale="96" orientation="portrait"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AC121"/>
  <sheetViews>
    <sheetView showGridLines="0" zoomScale="67" zoomScaleNormal="100" workbookViewId="0">
      <selection activeCell="AC69" sqref="AC69"/>
    </sheetView>
  </sheetViews>
  <sheetFormatPr defaultColWidth="9" defaultRowHeight="12.75" x14ac:dyDescent="0.2"/>
  <cols>
    <col min="1" max="1" width="3.5" style="32" customWidth="1"/>
    <col min="2" max="17" width="7.5" style="18" customWidth="1"/>
    <col min="18" max="27" width="7.5" style="32" customWidth="1"/>
    <col min="28" max="16384" width="9" style="32"/>
  </cols>
  <sheetData>
    <row r="2" spans="2:27" s="24" customFormat="1" x14ac:dyDescent="0.2">
      <c r="B2" s="77" t="s">
        <v>5</v>
      </c>
      <c r="C2" s="78"/>
      <c r="D2" s="78"/>
      <c r="E2" s="78"/>
      <c r="F2" s="78"/>
      <c r="G2" s="78"/>
      <c r="H2" s="78"/>
      <c r="I2" s="78"/>
      <c r="J2" s="78"/>
      <c r="K2" s="78"/>
      <c r="L2" s="78"/>
      <c r="M2" s="78"/>
      <c r="N2" s="78"/>
      <c r="O2" s="78"/>
      <c r="P2" s="78"/>
      <c r="Q2" s="78"/>
      <c r="R2" s="79"/>
      <c r="S2" s="79"/>
      <c r="T2" s="79"/>
      <c r="U2" s="79"/>
      <c r="V2" s="79"/>
      <c r="W2" s="79"/>
      <c r="X2" s="79"/>
      <c r="Y2" s="79"/>
      <c r="Z2" s="79"/>
    </row>
    <row r="3" spans="2:27" s="24" customFormat="1" x14ac:dyDescent="0.2">
      <c r="B3" s="80" t="s">
        <v>6</v>
      </c>
      <c r="C3" s="31">
        <v>1995</v>
      </c>
      <c r="D3" s="31">
        <v>1996</v>
      </c>
      <c r="E3" s="31">
        <v>1997</v>
      </c>
      <c r="F3" s="31">
        <v>1998</v>
      </c>
      <c r="G3" s="31">
        <v>1999</v>
      </c>
      <c r="H3" s="31">
        <v>2000</v>
      </c>
      <c r="I3" s="31">
        <v>2001</v>
      </c>
      <c r="J3" s="31">
        <v>2002</v>
      </c>
      <c r="K3" s="31">
        <v>2003</v>
      </c>
      <c r="L3" s="31">
        <v>2004</v>
      </c>
      <c r="M3" s="31">
        <v>2005</v>
      </c>
      <c r="N3" s="31">
        <v>2006</v>
      </c>
      <c r="O3" s="31">
        <v>2007</v>
      </c>
      <c r="P3" s="31">
        <v>2008</v>
      </c>
      <c r="Q3" s="31">
        <v>2009</v>
      </c>
      <c r="R3" s="31">
        <v>2010</v>
      </c>
      <c r="S3" s="31">
        <v>2011</v>
      </c>
      <c r="T3" s="31">
        <v>2012</v>
      </c>
      <c r="U3" s="31">
        <v>2013</v>
      </c>
      <c r="V3" s="31">
        <v>2014</v>
      </c>
      <c r="W3" s="31">
        <v>2015</v>
      </c>
      <c r="X3" s="31">
        <v>2016</v>
      </c>
      <c r="Y3" s="31">
        <v>2017</v>
      </c>
      <c r="Z3" s="31">
        <v>2018</v>
      </c>
      <c r="AA3" s="31">
        <v>2019</v>
      </c>
    </row>
    <row r="4" spans="2:27" s="24" customFormat="1" x14ac:dyDescent="0.2">
      <c r="B4" s="25">
        <v>1</v>
      </c>
      <c r="C4" s="81">
        <v>710</v>
      </c>
      <c r="D4" s="81">
        <v>537</v>
      </c>
      <c r="E4" s="81">
        <v>304</v>
      </c>
      <c r="F4" s="81">
        <v>1065</v>
      </c>
      <c r="G4" s="81">
        <v>3759</v>
      </c>
      <c r="H4" s="81">
        <v>7838</v>
      </c>
      <c r="I4" s="81">
        <v>11868</v>
      </c>
      <c r="J4" s="81">
        <v>7284</v>
      </c>
      <c r="K4" s="81">
        <v>3745</v>
      </c>
      <c r="L4" s="81">
        <v>628</v>
      </c>
      <c r="M4" s="81">
        <v>834</v>
      </c>
      <c r="N4" s="81">
        <v>376</v>
      </c>
      <c r="O4" s="81">
        <v>229</v>
      </c>
      <c r="P4" s="81">
        <v>241</v>
      </c>
      <c r="Q4" s="81">
        <v>123</v>
      </c>
      <c r="R4" s="81">
        <v>123</v>
      </c>
      <c r="S4" s="81">
        <v>132</v>
      </c>
      <c r="T4" s="81">
        <v>173</v>
      </c>
      <c r="U4" s="81">
        <v>481</v>
      </c>
      <c r="V4" s="81">
        <v>711</v>
      </c>
      <c r="W4" s="81">
        <v>356</v>
      </c>
      <c r="X4" s="81">
        <v>420</v>
      </c>
      <c r="Y4" s="81">
        <v>190</v>
      </c>
      <c r="Z4" s="81">
        <v>88</v>
      </c>
      <c r="AA4" s="81">
        <v>35</v>
      </c>
    </row>
    <row r="5" spans="2:27" s="24" customFormat="1" x14ac:dyDescent="0.2">
      <c r="B5" s="25">
        <v>2</v>
      </c>
      <c r="C5" s="81">
        <v>3109</v>
      </c>
      <c r="D5" s="81">
        <v>2964</v>
      </c>
      <c r="E5" s="81">
        <v>2177</v>
      </c>
      <c r="F5" s="81">
        <v>1415</v>
      </c>
      <c r="G5" s="81">
        <v>2482</v>
      </c>
      <c r="H5" s="81">
        <v>4380</v>
      </c>
      <c r="I5" s="81">
        <v>14701</v>
      </c>
      <c r="J5" s="81">
        <v>26215</v>
      </c>
      <c r="K5" s="81">
        <v>19633</v>
      </c>
      <c r="L5" s="81">
        <v>19766</v>
      </c>
      <c r="M5" s="81">
        <v>7331</v>
      </c>
      <c r="N5" s="81">
        <v>1887</v>
      </c>
      <c r="O5" s="81">
        <v>1457</v>
      </c>
      <c r="P5" s="81">
        <v>1598</v>
      </c>
      <c r="Q5" s="81">
        <v>702</v>
      </c>
      <c r="R5" s="81">
        <v>424</v>
      </c>
      <c r="S5" s="81">
        <v>292</v>
      </c>
      <c r="T5" s="81">
        <v>441</v>
      </c>
      <c r="U5" s="81">
        <v>521</v>
      </c>
      <c r="V5" s="81">
        <v>1116</v>
      </c>
      <c r="W5" s="81">
        <v>961</v>
      </c>
      <c r="X5" s="81">
        <v>1911</v>
      </c>
      <c r="Y5" s="81">
        <v>527</v>
      </c>
      <c r="Z5" s="81">
        <v>131</v>
      </c>
      <c r="AA5" s="81">
        <v>177</v>
      </c>
    </row>
    <row r="6" spans="2:27" s="24" customFormat="1" x14ac:dyDescent="0.2">
      <c r="B6" s="25">
        <v>3</v>
      </c>
      <c r="C6" s="81">
        <v>3157</v>
      </c>
      <c r="D6" s="81">
        <v>2107</v>
      </c>
      <c r="E6" s="81">
        <v>2901</v>
      </c>
      <c r="F6" s="81">
        <v>1224</v>
      </c>
      <c r="G6" s="81">
        <v>2241</v>
      </c>
      <c r="H6" s="81">
        <v>5354</v>
      </c>
      <c r="I6" s="81">
        <v>2891</v>
      </c>
      <c r="J6" s="81">
        <v>13827</v>
      </c>
      <c r="K6" s="81">
        <v>12265</v>
      </c>
      <c r="L6" s="81">
        <v>16999</v>
      </c>
      <c r="M6" s="81">
        <v>22385</v>
      </c>
      <c r="N6" s="81">
        <v>4510</v>
      </c>
      <c r="O6" s="81">
        <v>3381</v>
      </c>
      <c r="P6" s="81">
        <v>2194</v>
      </c>
      <c r="Q6" s="81">
        <v>1504</v>
      </c>
      <c r="R6" s="81">
        <v>917</v>
      </c>
      <c r="S6" s="81">
        <v>413</v>
      </c>
      <c r="T6" s="81">
        <v>410</v>
      </c>
      <c r="U6" s="81">
        <v>373</v>
      </c>
      <c r="V6" s="81">
        <v>1140</v>
      </c>
      <c r="W6" s="81">
        <v>1083</v>
      </c>
      <c r="X6" s="81">
        <v>2577</v>
      </c>
      <c r="Y6" s="81">
        <v>647</v>
      </c>
      <c r="Z6" s="81">
        <v>344</v>
      </c>
      <c r="AA6" s="81">
        <v>403</v>
      </c>
    </row>
    <row r="7" spans="2:27" s="24" customFormat="1" x14ac:dyDescent="0.2">
      <c r="B7" s="25">
        <v>4</v>
      </c>
      <c r="C7" s="81">
        <v>2009</v>
      </c>
      <c r="D7" s="81">
        <v>2725</v>
      </c>
      <c r="E7" s="81">
        <v>4781</v>
      </c>
      <c r="F7" s="81">
        <v>2557</v>
      </c>
      <c r="G7" s="81">
        <v>3829</v>
      </c>
      <c r="H7" s="81">
        <v>3903</v>
      </c>
      <c r="I7" s="81">
        <v>3489</v>
      </c>
      <c r="J7" s="81">
        <v>2612</v>
      </c>
      <c r="K7" s="81">
        <v>9852</v>
      </c>
      <c r="L7" s="81">
        <v>10527</v>
      </c>
      <c r="M7" s="81">
        <v>18813</v>
      </c>
      <c r="N7" s="81">
        <v>32080</v>
      </c>
      <c r="O7" s="81">
        <v>12185</v>
      </c>
      <c r="P7" s="81">
        <v>10027</v>
      </c>
      <c r="Q7" s="81">
        <v>2534</v>
      </c>
      <c r="R7" s="81">
        <v>1352</v>
      </c>
      <c r="S7" s="81">
        <v>490</v>
      </c>
      <c r="T7" s="81">
        <v>453</v>
      </c>
      <c r="U7" s="81">
        <v>430</v>
      </c>
      <c r="V7" s="81">
        <v>651</v>
      </c>
      <c r="W7" s="81">
        <v>1026</v>
      </c>
      <c r="X7" s="81">
        <v>3351</v>
      </c>
      <c r="Y7" s="81">
        <v>2271</v>
      </c>
      <c r="Z7" s="81">
        <v>700</v>
      </c>
      <c r="AA7" s="81">
        <v>488</v>
      </c>
    </row>
    <row r="8" spans="2:27" s="24" customFormat="1" x14ac:dyDescent="0.2">
      <c r="B8" s="25">
        <v>5</v>
      </c>
      <c r="C8" s="81">
        <v>988</v>
      </c>
      <c r="D8" s="81">
        <v>2943</v>
      </c>
      <c r="E8" s="81">
        <v>4103</v>
      </c>
      <c r="F8" s="81">
        <v>4519</v>
      </c>
      <c r="G8" s="81">
        <v>7079</v>
      </c>
      <c r="H8" s="81">
        <v>3404</v>
      </c>
      <c r="I8" s="81">
        <v>4483</v>
      </c>
      <c r="J8" s="81">
        <v>8179</v>
      </c>
      <c r="K8" s="81">
        <v>9505</v>
      </c>
      <c r="L8" s="81">
        <v>14115</v>
      </c>
      <c r="M8" s="81">
        <v>16090</v>
      </c>
      <c r="N8" s="81">
        <v>10520</v>
      </c>
      <c r="O8" s="81">
        <v>25551</v>
      </c>
      <c r="P8" s="81">
        <v>20118</v>
      </c>
      <c r="Q8" s="81">
        <v>4192</v>
      </c>
      <c r="R8" s="81">
        <v>2811</v>
      </c>
      <c r="S8" s="81">
        <v>1020</v>
      </c>
      <c r="T8" s="81">
        <v>795</v>
      </c>
      <c r="U8" s="81">
        <v>1031</v>
      </c>
      <c r="V8" s="81">
        <v>372</v>
      </c>
      <c r="W8" s="81">
        <v>745</v>
      </c>
      <c r="X8" s="81">
        <v>1527</v>
      </c>
      <c r="Y8" s="81">
        <v>1242</v>
      </c>
      <c r="Z8" s="81">
        <v>1134</v>
      </c>
      <c r="AA8" s="81">
        <v>528</v>
      </c>
    </row>
    <row r="9" spans="2:27" s="24" customFormat="1" x14ac:dyDescent="0.2">
      <c r="B9" s="25">
        <v>6</v>
      </c>
      <c r="C9" s="81"/>
      <c r="D9" s="81"/>
      <c r="E9" s="81"/>
      <c r="F9" s="81"/>
      <c r="G9" s="81"/>
      <c r="H9" s="81"/>
      <c r="I9" s="81"/>
      <c r="J9" s="81"/>
      <c r="K9" s="81"/>
      <c r="L9" s="81"/>
      <c r="M9" s="81"/>
      <c r="N9" s="81">
        <v>1916</v>
      </c>
      <c r="O9" s="81">
        <v>10645</v>
      </c>
      <c r="P9" s="81">
        <v>15402</v>
      </c>
      <c r="Q9" s="81">
        <v>6615</v>
      </c>
      <c r="R9" s="81">
        <v>3998</v>
      </c>
      <c r="S9" s="81">
        <v>1478</v>
      </c>
      <c r="T9" s="81">
        <v>1838</v>
      </c>
      <c r="U9" s="81">
        <v>1384</v>
      </c>
      <c r="V9" s="81">
        <v>465</v>
      </c>
      <c r="W9" s="81">
        <v>364</v>
      </c>
      <c r="X9" s="81">
        <v>1098</v>
      </c>
      <c r="Y9" s="81">
        <v>764</v>
      </c>
      <c r="Z9" s="81">
        <v>1516</v>
      </c>
      <c r="AA9" s="81">
        <v>642</v>
      </c>
    </row>
    <row r="10" spans="2:27" s="24" customFormat="1" x14ac:dyDescent="0.2">
      <c r="B10" s="25">
        <v>7</v>
      </c>
      <c r="C10" s="81"/>
      <c r="D10" s="81"/>
      <c r="E10" s="81"/>
      <c r="F10" s="81"/>
      <c r="G10" s="81"/>
      <c r="H10" s="81"/>
      <c r="I10" s="81"/>
      <c r="J10" s="81"/>
      <c r="K10" s="81"/>
      <c r="L10" s="81"/>
      <c r="M10" s="81"/>
      <c r="N10" s="81">
        <v>2784</v>
      </c>
      <c r="O10" s="81">
        <v>5547</v>
      </c>
      <c r="P10" s="81">
        <v>9053</v>
      </c>
      <c r="Q10" s="81">
        <v>23619</v>
      </c>
      <c r="R10" s="81">
        <v>6438</v>
      </c>
      <c r="S10" s="81">
        <v>2937</v>
      </c>
      <c r="T10" s="81">
        <v>1688</v>
      </c>
      <c r="U10" s="81">
        <v>1048</v>
      </c>
      <c r="V10" s="81">
        <v>629</v>
      </c>
      <c r="W10" s="81">
        <v>296</v>
      </c>
      <c r="X10" s="81">
        <v>788</v>
      </c>
      <c r="Y10" s="81">
        <v>1076</v>
      </c>
      <c r="Z10" s="81">
        <v>1691</v>
      </c>
      <c r="AA10" s="81">
        <v>758</v>
      </c>
    </row>
    <row r="11" spans="2:27" s="24" customFormat="1" x14ac:dyDescent="0.2">
      <c r="B11" s="25">
        <v>8</v>
      </c>
      <c r="C11" s="81"/>
      <c r="D11" s="81"/>
      <c r="E11" s="81"/>
      <c r="F11" s="81"/>
      <c r="G11" s="81"/>
      <c r="H11" s="81"/>
      <c r="I11" s="81"/>
      <c r="J11" s="81"/>
      <c r="K11" s="81"/>
      <c r="L11" s="81"/>
      <c r="M11" s="81"/>
      <c r="N11" s="81">
        <v>1499</v>
      </c>
      <c r="O11" s="81">
        <v>3264</v>
      </c>
      <c r="P11" s="81">
        <v>4003</v>
      </c>
      <c r="Q11" s="81">
        <v>13618</v>
      </c>
      <c r="R11" s="81">
        <v>23540</v>
      </c>
      <c r="S11" s="81">
        <v>6514</v>
      </c>
      <c r="T11" s="81">
        <v>2676</v>
      </c>
      <c r="U11" s="81">
        <v>1139</v>
      </c>
      <c r="V11" s="81">
        <v>876</v>
      </c>
      <c r="W11" s="81">
        <v>439</v>
      </c>
      <c r="X11" s="81">
        <v>1046</v>
      </c>
      <c r="Y11" s="81">
        <v>794</v>
      </c>
      <c r="Z11" s="81">
        <v>1741</v>
      </c>
      <c r="AA11" s="81">
        <v>1163</v>
      </c>
    </row>
    <row r="12" spans="2:27" s="24" customFormat="1" x14ac:dyDescent="0.2">
      <c r="B12" s="25">
        <v>9</v>
      </c>
      <c r="C12" s="81"/>
      <c r="D12" s="81"/>
      <c r="E12" s="81"/>
      <c r="F12" s="81"/>
      <c r="G12" s="81"/>
      <c r="H12" s="81"/>
      <c r="I12" s="81"/>
      <c r="J12" s="81"/>
      <c r="K12" s="81"/>
      <c r="L12" s="81"/>
      <c r="M12" s="81"/>
      <c r="N12" s="81">
        <v>577</v>
      </c>
      <c r="O12" s="81">
        <v>1772</v>
      </c>
      <c r="P12" s="81">
        <v>1637</v>
      </c>
      <c r="Q12" s="81">
        <v>4442</v>
      </c>
      <c r="R12" s="81">
        <v>13345</v>
      </c>
      <c r="S12" s="81">
        <v>24946</v>
      </c>
      <c r="T12" s="81">
        <v>5412</v>
      </c>
      <c r="U12" s="81">
        <v>3192</v>
      </c>
      <c r="V12" s="81">
        <v>1755</v>
      </c>
      <c r="W12" s="81">
        <v>960</v>
      </c>
      <c r="X12" s="81">
        <v>936</v>
      </c>
      <c r="Y12" s="81">
        <v>1164</v>
      </c>
      <c r="Z12" s="81">
        <v>2662</v>
      </c>
      <c r="AA12" s="81">
        <v>1108</v>
      </c>
    </row>
    <row r="13" spans="2:27" s="24" customFormat="1" x14ac:dyDescent="0.2">
      <c r="B13" s="25" t="s">
        <v>48</v>
      </c>
      <c r="C13" s="81"/>
      <c r="D13" s="81"/>
      <c r="E13" s="81"/>
      <c r="F13" s="81"/>
      <c r="G13" s="81"/>
      <c r="H13" s="81"/>
      <c r="I13" s="81"/>
      <c r="J13" s="81"/>
      <c r="K13" s="81"/>
      <c r="L13" s="81"/>
      <c r="M13" s="81"/>
      <c r="N13" s="81">
        <v>3324</v>
      </c>
      <c r="O13" s="81">
        <v>4353</v>
      </c>
      <c r="P13" s="81">
        <v>6189</v>
      </c>
      <c r="Q13" s="81">
        <v>7639</v>
      </c>
      <c r="R13" s="81">
        <v>15362</v>
      </c>
      <c r="S13" s="81">
        <v>18865</v>
      </c>
      <c r="T13" s="81">
        <v>39056</v>
      </c>
      <c r="U13" s="81">
        <v>44756</v>
      </c>
      <c r="V13" s="81">
        <v>53666</v>
      </c>
      <c r="W13" s="81">
        <v>61585</v>
      </c>
      <c r="X13" s="81">
        <v>57017</v>
      </c>
      <c r="Y13" s="81">
        <v>51517</v>
      </c>
      <c r="Z13" s="81">
        <v>41258</v>
      </c>
      <c r="AA13" s="81">
        <v>55902</v>
      </c>
    </row>
    <row r="14" spans="2:27" s="24" customFormat="1" x14ac:dyDescent="0.2">
      <c r="B14" s="82" t="s">
        <v>7</v>
      </c>
      <c r="C14" s="83">
        <v>9973</v>
      </c>
      <c r="D14" s="83">
        <v>11277</v>
      </c>
      <c r="E14" s="83">
        <v>14265</v>
      </c>
      <c r="F14" s="83">
        <v>10780</v>
      </c>
      <c r="G14" s="83">
        <v>19390</v>
      </c>
      <c r="H14" s="83">
        <v>24878</v>
      </c>
      <c r="I14" s="83">
        <v>37431</v>
      </c>
      <c r="J14" s="83">
        <v>58117</v>
      </c>
      <c r="K14" s="83">
        <v>55001</v>
      </c>
      <c r="L14" s="83">
        <v>62035</v>
      </c>
      <c r="M14" s="83">
        <v>65453</v>
      </c>
      <c r="N14" s="83">
        <v>59472</v>
      </c>
      <c r="O14" s="83">
        <v>68385</v>
      </c>
      <c r="P14" s="83">
        <v>70462</v>
      </c>
      <c r="Q14" s="83">
        <v>64987</v>
      </c>
      <c r="R14" s="83">
        <v>68309</v>
      </c>
      <c r="S14" s="83">
        <v>57087</v>
      </c>
      <c r="T14" s="83">
        <v>52942</v>
      </c>
      <c r="U14" s="83">
        <v>54354</v>
      </c>
      <c r="V14" s="83">
        <v>61381</v>
      </c>
      <c r="W14" s="83">
        <v>67816</v>
      </c>
      <c r="X14" s="83">
        <v>70670</v>
      </c>
      <c r="Y14" s="83">
        <v>60193</v>
      </c>
      <c r="Z14" s="83">
        <v>51264</v>
      </c>
      <c r="AA14" s="83">
        <v>61204</v>
      </c>
    </row>
    <row r="15" spans="2:27" s="24" customFormat="1" x14ac:dyDescent="0.2">
      <c r="B15" s="84" t="s">
        <v>8</v>
      </c>
      <c r="C15" s="85"/>
      <c r="D15" s="85"/>
      <c r="E15" s="85"/>
      <c r="F15" s="85"/>
      <c r="G15" s="85"/>
      <c r="H15" s="85"/>
      <c r="I15" s="85"/>
      <c r="J15" s="85"/>
      <c r="K15" s="85"/>
      <c r="L15" s="85"/>
      <c r="M15" s="85"/>
      <c r="N15" s="85"/>
      <c r="O15" s="85"/>
      <c r="P15" s="78"/>
      <c r="Q15" s="78"/>
      <c r="R15" s="79"/>
      <c r="S15" s="79"/>
      <c r="T15" s="79"/>
      <c r="U15" s="79"/>
      <c r="V15" s="79"/>
      <c r="W15" s="79"/>
      <c r="X15" s="79"/>
      <c r="Y15" s="79"/>
      <c r="Z15" s="79"/>
    </row>
    <row r="16" spans="2:27" s="24" customFormat="1" x14ac:dyDescent="0.2">
      <c r="B16" s="84"/>
      <c r="C16" s="85"/>
      <c r="D16" s="85"/>
      <c r="E16" s="85"/>
      <c r="F16" s="85"/>
      <c r="G16" s="85"/>
      <c r="H16" s="85"/>
      <c r="I16" s="85"/>
      <c r="J16" s="85"/>
      <c r="K16" s="85"/>
      <c r="L16" s="85"/>
      <c r="M16" s="85"/>
      <c r="N16" s="85"/>
      <c r="O16" s="85"/>
      <c r="P16" s="78"/>
      <c r="Q16" s="78"/>
      <c r="R16" s="79"/>
      <c r="S16" s="79"/>
      <c r="T16" s="79"/>
      <c r="U16" s="79"/>
      <c r="V16" s="79"/>
      <c r="W16" s="79"/>
      <c r="X16" s="79"/>
      <c r="Y16" s="79"/>
      <c r="Z16" s="79"/>
    </row>
    <row r="17" spans="2:27" s="24" customFormat="1" x14ac:dyDescent="0.2">
      <c r="B17" s="86" t="s">
        <v>9</v>
      </c>
      <c r="C17" s="87"/>
      <c r="D17" s="87"/>
      <c r="E17" s="87"/>
      <c r="F17" s="87"/>
      <c r="G17" s="87"/>
      <c r="H17" s="87"/>
      <c r="I17" s="87"/>
      <c r="J17" s="87"/>
      <c r="K17" s="87"/>
      <c r="L17" s="87"/>
      <c r="M17" s="87"/>
      <c r="N17" s="87"/>
      <c r="O17" s="87"/>
      <c r="P17" s="87"/>
      <c r="Q17" s="87"/>
      <c r="R17" s="79"/>
      <c r="S17" s="79"/>
      <c r="T17" s="79"/>
      <c r="U17" s="79"/>
      <c r="V17" s="79"/>
      <c r="W17" s="79"/>
      <c r="X17" s="79"/>
      <c r="Y17" s="79"/>
      <c r="Z17" s="79"/>
    </row>
    <row r="18" spans="2:27" s="24" customFormat="1" x14ac:dyDescent="0.2">
      <c r="B18" s="88" t="s">
        <v>6</v>
      </c>
      <c r="C18" s="31">
        <v>1995</v>
      </c>
      <c r="D18" s="31">
        <v>1996</v>
      </c>
      <c r="E18" s="31">
        <v>1997</v>
      </c>
      <c r="F18" s="31">
        <v>1998</v>
      </c>
      <c r="G18" s="31">
        <v>1999</v>
      </c>
      <c r="H18" s="31">
        <v>2000</v>
      </c>
      <c r="I18" s="31">
        <v>2001</v>
      </c>
      <c r="J18" s="31">
        <v>2002</v>
      </c>
      <c r="K18" s="31">
        <v>2003</v>
      </c>
      <c r="L18" s="31">
        <v>2004</v>
      </c>
      <c r="M18" s="31">
        <v>2005</v>
      </c>
      <c r="N18" s="31">
        <v>2006</v>
      </c>
      <c r="O18" s="31">
        <v>2007</v>
      </c>
      <c r="P18" s="31">
        <v>2008</v>
      </c>
      <c r="Q18" s="31">
        <v>2009</v>
      </c>
      <c r="R18" s="31">
        <v>2010</v>
      </c>
      <c r="S18" s="31">
        <v>2011</v>
      </c>
      <c r="T18" s="31">
        <v>2012</v>
      </c>
      <c r="U18" s="31">
        <v>2013</v>
      </c>
      <c r="V18" s="31">
        <v>2014</v>
      </c>
      <c r="W18" s="31">
        <v>2015</v>
      </c>
      <c r="X18" s="31">
        <v>2016</v>
      </c>
      <c r="Y18" s="31">
        <v>2017</v>
      </c>
      <c r="Z18" s="31">
        <v>2018</v>
      </c>
      <c r="AA18" s="31">
        <v>2019</v>
      </c>
    </row>
    <row r="19" spans="2:27" s="24" customFormat="1" x14ac:dyDescent="0.2">
      <c r="B19" s="26"/>
      <c r="C19" s="89"/>
      <c r="D19" s="89"/>
      <c r="E19" s="89"/>
      <c r="F19" s="89"/>
      <c r="G19" s="89"/>
      <c r="H19" s="89"/>
      <c r="I19" s="89"/>
      <c r="J19" s="89"/>
      <c r="K19" s="89"/>
      <c r="L19" s="87"/>
      <c r="M19" s="87"/>
      <c r="N19" s="87"/>
      <c r="O19" s="87"/>
      <c r="P19" s="87"/>
      <c r="Q19" s="87"/>
      <c r="R19" s="87"/>
      <c r="S19" s="87"/>
      <c r="T19" s="87"/>
      <c r="U19" s="87"/>
      <c r="V19" s="87"/>
      <c r="W19" s="87"/>
      <c r="X19" s="87"/>
      <c r="Y19" s="87"/>
      <c r="Z19" s="87"/>
      <c r="AA19" s="87"/>
    </row>
    <row r="20" spans="2:27" s="24" customFormat="1" x14ac:dyDescent="0.2">
      <c r="B20" s="25">
        <v>2</v>
      </c>
      <c r="C20" s="89">
        <v>125</v>
      </c>
      <c r="D20" s="89">
        <v>116</v>
      </c>
      <c r="E20" s="89">
        <v>116</v>
      </c>
      <c r="F20" s="89">
        <v>107</v>
      </c>
      <c r="G20" s="89">
        <v>100</v>
      </c>
      <c r="H20" s="90">
        <v>108</v>
      </c>
      <c r="I20" s="90">
        <v>96</v>
      </c>
      <c r="J20" s="89">
        <v>89</v>
      </c>
      <c r="K20" s="90">
        <v>85</v>
      </c>
      <c r="L20" s="90">
        <v>83</v>
      </c>
      <c r="M20" s="90">
        <v>87</v>
      </c>
      <c r="N20" s="90">
        <v>81</v>
      </c>
      <c r="O20" s="89">
        <v>80</v>
      </c>
      <c r="P20" s="89">
        <v>85</v>
      </c>
      <c r="Q20" s="89">
        <v>83</v>
      </c>
      <c r="R20" s="89">
        <v>82</v>
      </c>
      <c r="S20" s="89">
        <v>78</v>
      </c>
      <c r="T20" s="89">
        <v>72</v>
      </c>
      <c r="U20" s="89">
        <v>73</v>
      </c>
      <c r="V20" s="89">
        <v>76</v>
      </c>
      <c r="W20" s="89">
        <v>76</v>
      </c>
      <c r="X20" s="89">
        <v>81</v>
      </c>
      <c r="Y20" s="89">
        <v>77</v>
      </c>
      <c r="Z20" s="89">
        <v>66</v>
      </c>
      <c r="AA20" s="89">
        <v>71</v>
      </c>
    </row>
    <row r="21" spans="2:27" s="24" customFormat="1" x14ac:dyDescent="0.2">
      <c r="B21" s="25">
        <v>3</v>
      </c>
      <c r="C21" s="89">
        <v>168</v>
      </c>
      <c r="D21" s="89">
        <v>141</v>
      </c>
      <c r="E21" s="89">
        <v>145</v>
      </c>
      <c r="F21" s="89">
        <v>139</v>
      </c>
      <c r="G21" s="89">
        <v>138</v>
      </c>
      <c r="H21" s="89">
        <v>158</v>
      </c>
      <c r="I21" s="89">
        <v>153</v>
      </c>
      <c r="J21" s="89">
        <v>112</v>
      </c>
      <c r="K21" s="90">
        <v>102</v>
      </c>
      <c r="L21" s="90">
        <v>100</v>
      </c>
      <c r="M21" s="90">
        <v>95</v>
      </c>
      <c r="N21" s="90">
        <v>96</v>
      </c>
      <c r="O21" s="89">
        <v>92</v>
      </c>
      <c r="P21" s="89">
        <v>92</v>
      </c>
      <c r="Q21" s="89">
        <v>91</v>
      </c>
      <c r="R21" s="89">
        <v>90</v>
      </c>
      <c r="S21" s="89">
        <v>87</v>
      </c>
      <c r="T21" s="89">
        <v>85</v>
      </c>
      <c r="U21" s="89">
        <v>85</v>
      </c>
      <c r="V21" s="89">
        <v>85</v>
      </c>
      <c r="W21" s="89">
        <v>84</v>
      </c>
      <c r="X21" s="89">
        <v>85</v>
      </c>
      <c r="Y21" s="89">
        <v>86</v>
      </c>
      <c r="Z21" s="89">
        <v>85</v>
      </c>
      <c r="AA21" s="89">
        <v>83</v>
      </c>
    </row>
    <row r="22" spans="2:27" s="24" customFormat="1" x14ac:dyDescent="0.2">
      <c r="B22" s="25">
        <v>4</v>
      </c>
      <c r="C22" s="89">
        <v>197</v>
      </c>
      <c r="D22" s="89">
        <v>168</v>
      </c>
      <c r="E22" s="89">
        <v>166</v>
      </c>
      <c r="F22" s="89">
        <v>168</v>
      </c>
      <c r="G22" s="89">
        <v>167</v>
      </c>
      <c r="H22" s="89">
        <v>185</v>
      </c>
      <c r="I22" s="89">
        <v>178</v>
      </c>
      <c r="J22" s="89">
        <v>156</v>
      </c>
      <c r="K22" s="90">
        <v>124</v>
      </c>
      <c r="L22" s="90">
        <v>113</v>
      </c>
      <c r="M22" s="90">
        <v>109</v>
      </c>
      <c r="N22" s="90">
        <v>108</v>
      </c>
      <c r="O22" s="89">
        <v>103</v>
      </c>
      <c r="P22" s="89">
        <v>109</v>
      </c>
      <c r="Q22" s="89">
        <v>97</v>
      </c>
      <c r="R22" s="89">
        <v>100</v>
      </c>
      <c r="S22" s="89">
        <v>94</v>
      </c>
      <c r="T22" s="89">
        <v>105</v>
      </c>
      <c r="U22" s="89">
        <v>97</v>
      </c>
      <c r="V22" s="89">
        <v>96</v>
      </c>
      <c r="W22" s="89">
        <v>94</v>
      </c>
      <c r="X22" s="89">
        <v>94</v>
      </c>
      <c r="Y22" s="89">
        <v>92</v>
      </c>
      <c r="Z22" s="89">
        <v>88</v>
      </c>
      <c r="AA22" s="89">
        <v>91</v>
      </c>
    </row>
    <row r="23" spans="2:27" s="24" customFormat="1" x14ac:dyDescent="0.2">
      <c r="B23" s="25">
        <v>5</v>
      </c>
      <c r="C23" s="89">
        <v>222</v>
      </c>
      <c r="D23" s="89">
        <v>209</v>
      </c>
      <c r="E23" s="89">
        <v>207</v>
      </c>
      <c r="F23" s="89">
        <v>209</v>
      </c>
      <c r="G23" s="89">
        <v>207</v>
      </c>
      <c r="H23" s="89">
        <v>227</v>
      </c>
      <c r="I23" s="89">
        <v>218</v>
      </c>
      <c r="J23" s="89">
        <v>198</v>
      </c>
      <c r="K23" s="89">
        <v>198</v>
      </c>
      <c r="L23" s="89">
        <v>175</v>
      </c>
      <c r="M23" s="89">
        <v>171</v>
      </c>
      <c r="N23" s="89">
        <v>128</v>
      </c>
      <c r="O23" s="89">
        <v>118</v>
      </c>
      <c r="P23" s="89">
        <v>110</v>
      </c>
      <c r="Q23" s="89">
        <v>113</v>
      </c>
      <c r="R23" s="89">
        <v>107</v>
      </c>
      <c r="S23" s="89">
        <v>104</v>
      </c>
      <c r="T23" s="89">
        <v>107</v>
      </c>
      <c r="U23" s="89">
        <v>109</v>
      </c>
      <c r="V23" s="89">
        <v>104</v>
      </c>
      <c r="W23" s="89">
        <v>102</v>
      </c>
      <c r="X23" s="89">
        <v>102</v>
      </c>
      <c r="Y23" s="89">
        <v>99</v>
      </c>
      <c r="Z23" s="89">
        <v>95</v>
      </c>
      <c r="AA23" s="89">
        <v>98</v>
      </c>
    </row>
    <row r="24" spans="2:27" s="24" customFormat="1" x14ac:dyDescent="0.2">
      <c r="B24" s="25">
        <v>6</v>
      </c>
      <c r="C24" s="89"/>
      <c r="D24" s="89"/>
      <c r="E24" s="89"/>
      <c r="F24" s="89"/>
      <c r="G24" s="89"/>
      <c r="H24" s="89"/>
      <c r="I24" s="89"/>
      <c r="J24" s="89"/>
      <c r="K24" s="89"/>
      <c r="L24" s="89"/>
      <c r="M24" s="89"/>
      <c r="N24" s="89">
        <v>149</v>
      </c>
      <c r="O24" s="89">
        <v>137</v>
      </c>
      <c r="P24" s="89">
        <v>124</v>
      </c>
      <c r="Q24" s="89">
        <v>117</v>
      </c>
      <c r="R24" s="89">
        <v>113</v>
      </c>
      <c r="S24" s="89">
        <v>109</v>
      </c>
      <c r="T24" s="89">
        <v>114</v>
      </c>
      <c r="U24" s="89">
        <v>115</v>
      </c>
      <c r="V24" s="89">
        <v>113</v>
      </c>
      <c r="W24" s="89">
        <v>112</v>
      </c>
      <c r="X24" s="89">
        <v>110</v>
      </c>
      <c r="Y24" s="89">
        <v>105</v>
      </c>
      <c r="Z24" s="89">
        <v>109</v>
      </c>
      <c r="AA24" s="89">
        <v>107</v>
      </c>
    </row>
    <row r="25" spans="2:27" s="24" customFormat="1" x14ac:dyDescent="0.2">
      <c r="B25" s="25">
        <v>7</v>
      </c>
      <c r="C25" s="89"/>
      <c r="D25" s="89"/>
      <c r="E25" s="89"/>
      <c r="F25" s="89"/>
      <c r="G25" s="89"/>
      <c r="H25" s="89"/>
      <c r="I25" s="89"/>
      <c r="J25" s="89"/>
      <c r="K25" s="89"/>
      <c r="L25" s="89"/>
      <c r="M25" s="89"/>
      <c r="N25" s="89">
        <v>164</v>
      </c>
      <c r="O25" s="89">
        <v>153</v>
      </c>
      <c r="P25" s="89">
        <v>147</v>
      </c>
      <c r="Q25" s="89">
        <v>129</v>
      </c>
      <c r="R25" s="89">
        <v>122</v>
      </c>
      <c r="S25" s="89">
        <v>116</v>
      </c>
      <c r="T25" s="89">
        <v>119</v>
      </c>
      <c r="U25" s="89">
        <v>117</v>
      </c>
      <c r="V25" s="89">
        <v>115</v>
      </c>
      <c r="W25" s="89">
        <v>115</v>
      </c>
      <c r="X25" s="89">
        <v>115</v>
      </c>
      <c r="Y25" s="89">
        <v>113</v>
      </c>
      <c r="Z25" s="89">
        <v>115</v>
      </c>
      <c r="AA25" s="89">
        <v>108</v>
      </c>
    </row>
    <row r="26" spans="2:27" s="24" customFormat="1" x14ac:dyDescent="0.2">
      <c r="B26" s="25">
        <v>8</v>
      </c>
      <c r="C26" s="89"/>
      <c r="D26" s="89"/>
      <c r="E26" s="89"/>
      <c r="F26" s="89"/>
      <c r="G26" s="89"/>
      <c r="H26" s="89"/>
      <c r="I26" s="89"/>
      <c r="J26" s="89"/>
      <c r="K26" s="89"/>
      <c r="L26" s="89"/>
      <c r="M26" s="89"/>
      <c r="N26" s="89">
        <v>184</v>
      </c>
      <c r="O26" s="89">
        <v>177</v>
      </c>
      <c r="P26" s="89">
        <v>167</v>
      </c>
      <c r="Q26" s="89">
        <v>150</v>
      </c>
      <c r="R26" s="89">
        <v>135</v>
      </c>
      <c r="S26" s="89">
        <v>129</v>
      </c>
      <c r="T26" s="89">
        <v>126</v>
      </c>
      <c r="U26" s="89">
        <v>124</v>
      </c>
      <c r="V26" s="89">
        <v>123</v>
      </c>
      <c r="W26" s="89">
        <v>120</v>
      </c>
      <c r="X26" s="89">
        <v>121</v>
      </c>
      <c r="Y26" s="89">
        <v>119</v>
      </c>
      <c r="Z26" s="89">
        <v>130</v>
      </c>
      <c r="AA26" s="89">
        <v>112</v>
      </c>
    </row>
    <row r="27" spans="2:27" s="24" customFormat="1" x14ac:dyDescent="0.2">
      <c r="B27" s="25">
        <v>9</v>
      </c>
      <c r="C27" s="89"/>
      <c r="D27" s="89"/>
      <c r="E27" s="89"/>
      <c r="F27" s="89"/>
      <c r="G27" s="89"/>
      <c r="H27" s="89"/>
      <c r="I27" s="89"/>
      <c r="J27" s="89"/>
      <c r="K27" s="89"/>
      <c r="L27" s="89"/>
      <c r="M27" s="89"/>
      <c r="N27" s="89">
        <v>192</v>
      </c>
      <c r="O27" s="89">
        <v>190</v>
      </c>
      <c r="P27" s="89">
        <v>180</v>
      </c>
      <c r="Q27" s="89">
        <v>168</v>
      </c>
      <c r="R27" s="89">
        <v>152</v>
      </c>
      <c r="S27" s="89">
        <v>140</v>
      </c>
      <c r="T27" s="89">
        <v>136</v>
      </c>
      <c r="U27" s="89">
        <v>130</v>
      </c>
      <c r="V27" s="89">
        <v>125</v>
      </c>
      <c r="W27" s="89">
        <v>127</v>
      </c>
      <c r="X27" s="89">
        <v>128</v>
      </c>
      <c r="Y27" s="89">
        <v>134</v>
      </c>
      <c r="Z27" s="89">
        <v>139</v>
      </c>
      <c r="AA27" s="89">
        <v>125</v>
      </c>
    </row>
    <row r="28" spans="2:27" s="24" customFormat="1" x14ac:dyDescent="0.2">
      <c r="B28" s="91" t="s">
        <v>48</v>
      </c>
      <c r="C28" s="27"/>
      <c r="D28" s="27"/>
      <c r="E28" s="27"/>
      <c r="F28" s="27"/>
      <c r="G28" s="27"/>
      <c r="H28" s="27"/>
      <c r="I28" s="27"/>
      <c r="J28" s="27"/>
      <c r="K28" s="27"/>
      <c r="L28" s="27"/>
      <c r="M28" s="27"/>
      <c r="N28" s="27">
        <v>224</v>
      </c>
      <c r="O28" s="27">
        <v>223</v>
      </c>
      <c r="P28" s="27">
        <v>215</v>
      </c>
      <c r="Q28" s="27">
        <v>209</v>
      </c>
      <c r="R28" s="27">
        <v>197</v>
      </c>
      <c r="S28" s="27">
        <v>189</v>
      </c>
      <c r="T28" s="27">
        <v>169</v>
      </c>
      <c r="U28" s="27">
        <v>168</v>
      </c>
      <c r="V28" s="27">
        <v>174</v>
      </c>
      <c r="W28" s="27">
        <v>176</v>
      </c>
      <c r="X28" s="27">
        <v>174</v>
      </c>
      <c r="Y28" s="27">
        <v>179</v>
      </c>
      <c r="Z28" s="27">
        <v>183</v>
      </c>
      <c r="AA28" s="27">
        <v>183</v>
      </c>
    </row>
    <row r="29" spans="2:27" s="24" customFormat="1" x14ac:dyDescent="0.2">
      <c r="B29" s="25"/>
      <c r="C29" s="89"/>
      <c r="D29" s="89"/>
      <c r="E29" s="89"/>
      <c r="F29" s="89"/>
      <c r="G29" s="89"/>
      <c r="H29" s="89"/>
      <c r="I29" s="89"/>
      <c r="J29" s="89"/>
      <c r="K29" s="89"/>
      <c r="L29" s="89"/>
      <c r="M29" s="89"/>
      <c r="N29" s="89"/>
      <c r="O29" s="89"/>
      <c r="P29" s="89"/>
      <c r="Q29" s="89"/>
      <c r="R29" s="89"/>
      <c r="S29" s="89"/>
      <c r="T29" s="89"/>
      <c r="U29" s="89"/>
      <c r="V29" s="89"/>
      <c r="W29" s="89"/>
      <c r="X29" s="89"/>
      <c r="Y29" s="79"/>
      <c r="Z29" s="79"/>
    </row>
    <row r="30" spans="2:27" s="24" customFormat="1" x14ac:dyDescent="0.2">
      <c r="B30" s="86" t="s">
        <v>10</v>
      </c>
      <c r="C30" s="87"/>
      <c r="D30" s="87"/>
      <c r="E30" s="87"/>
      <c r="F30" s="87"/>
      <c r="G30" s="87"/>
      <c r="H30" s="87"/>
      <c r="I30" s="87"/>
      <c r="J30" s="87"/>
      <c r="K30" s="87"/>
      <c r="L30" s="87"/>
      <c r="M30" s="87"/>
      <c r="N30" s="87"/>
      <c r="O30" s="87"/>
      <c r="P30" s="87"/>
      <c r="Q30" s="87"/>
      <c r="R30" s="79"/>
      <c r="S30" s="79"/>
      <c r="T30" s="79"/>
      <c r="U30" s="79"/>
      <c r="V30" s="79"/>
      <c r="W30" s="79"/>
      <c r="X30" s="79"/>
      <c r="Y30" s="79"/>
      <c r="Z30" s="79"/>
    </row>
    <row r="31" spans="2:27" s="24" customFormat="1" x14ac:dyDescent="0.2">
      <c r="B31" s="88" t="s">
        <v>6</v>
      </c>
      <c r="C31" s="31">
        <v>1995</v>
      </c>
      <c r="D31" s="31">
        <v>1996</v>
      </c>
      <c r="E31" s="31">
        <v>1997</v>
      </c>
      <c r="F31" s="31">
        <v>1998</v>
      </c>
      <c r="G31" s="31">
        <v>1999</v>
      </c>
      <c r="H31" s="31">
        <v>2000</v>
      </c>
      <c r="I31" s="31">
        <v>2001</v>
      </c>
      <c r="J31" s="31">
        <v>2002</v>
      </c>
      <c r="K31" s="31">
        <v>2003</v>
      </c>
      <c r="L31" s="31">
        <v>2004</v>
      </c>
      <c r="M31" s="31">
        <v>2005</v>
      </c>
      <c r="N31" s="31">
        <v>2006</v>
      </c>
      <c r="O31" s="31">
        <v>2007</v>
      </c>
      <c r="P31" s="31">
        <v>2008</v>
      </c>
      <c r="Q31" s="31">
        <v>2009</v>
      </c>
      <c r="R31" s="31">
        <v>2010</v>
      </c>
      <c r="S31" s="31">
        <v>2011</v>
      </c>
      <c r="T31" s="31">
        <v>2012</v>
      </c>
      <c r="U31" s="31">
        <v>2013</v>
      </c>
      <c r="V31" s="31">
        <v>2014</v>
      </c>
      <c r="W31" s="31">
        <v>2015</v>
      </c>
      <c r="X31" s="31">
        <v>2016</v>
      </c>
      <c r="Y31" s="31">
        <v>2017</v>
      </c>
      <c r="Z31" s="31">
        <v>2018</v>
      </c>
      <c r="AA31" s="31">
        <v>2019</v>
      </c>
    </row>
    <row r="32" spans="2:27" s="24" customFormat="1" x14ac:dyDescent="0.2">
      <c r="B32" s="26"/>
      <c r="C32" s="89"/>
      <c r="D32" s="89"/>
      <c r="E32" s="89"/>
      <c r="F32" s="89"/>
      <c r="G32" s="89"/>
      <c r="H32" s="89"/>
      <c r="I32" s="89"/>
      <c r="J32" s="89"/>
      <c r="K32" s="89"/>
      <c r="L32" s="87"/>
      <c r="M32" s="87"/>
      <c r="N32" s="87"/>
      <c r="O32" s="87"/>
      <c r="P32" s="87"/>
      <c r="Q32" s="87"/>
      <c r="R32" s="87"/>
      <c r="S32" s="87"/>
      <c r="T32" s="87"/>
      <c r="U32" s="87"/>
      <c r="V32" s="87"/>
      <c r="W32" s="87"/>
      <c r="X32" s="87"/>
      <c r="Y32" s="87"/>
      <c r="Z32" s="87"/>
      <c r="AA32" s="87"/>
    </row>
    <row r="33" spans="2:27" s="24" customFormat="1" x14ac:dyDescent="0.2">
      <c r="B33" s="25">
        <v>2</v>
      </c>
      <c r="C33" s="92">
        <v>51</v>
      </c>
      <c r="D33" s="92">
        <v>40</v>
      </c>
      <c r="E33" s="92">
        <v>40</v>
      </c>
      <c r="F33" s="92">
        <v>32</v>
      </c>
      <c r="G33" s="92">
        <v>26</v>
      </c>
      <c r="H33" s="92">
        <v>33</v>
      </c>
      <c r="I33" s="92">
        <v>22</v>
      </c>
      <c r="J33" s="92">
        <v>18</v>
      </c>
      <c r="K33" s="92">
        <v>16</v>
      </c>
      <c r="L33" s="92">
        <v>15</v>
      </c>
      <c r="M33" s="92">
        <v>16</v>
      </c>
      <c r="N33" s="92">
        <v>13</v>
      </c>
      <c r="O33" s="92">
        <v>13</v>
      </c>
      <c r="P33" s="92">
        <v>15</v>
      </c>
      <c r="Q33" s="92">
        <v>15</v>
      </c>
      <c r="R33" s="92">
        <v>14</v>
      </c>
      <c r="S33" s="92">
        <v>12</v>
      </c>
      <c r="T33" s="92">
        <v>9</v>
      </c>
      <c r="U33" s="92">
        <v>10</v>
      </c>
      <c r="V33" s="92">
        <v>11</v>
      </c>
      <c r="W33" s="92">
        <v>11</v>
      </c>
      <c r="X33" s="92">
        <v>13</v>
      </c>
      <c r="Y33" s="92">
        <v>11</v>
      </c>
      <c r="Z33" s="92">
        <v>7</v>
      </c>
      <c r="AA33" s="89">
        <v>9</v>
      </c>
    </row>
    <row r="34" spans="2:27" s="24" customFormat="1" x14ac:dyDescent="0.2">
      <c r="B34" s="25">
        <v>3</v>
      </c>
      <c r="C34" s="92">
        <v>125</v>
      </c>
      <c r="D34" s="92">
        <v>73</v>
      </c>
      <c r="E34" s="92">
        <v>79</v>
      </c>
      <c r="F34" s="92">
        <v>71</v>
      </c>
      <c r="G34" s="92">
        <v>69</v>
      </c>
      <c r="H34" s="92">
        <v>103</v>
      </c>
      <c r="I34" s="92">
        <v>93</v>
      </c>
      <c r="J34" s="92">
        <v>36</v>
      </c>
      <c r="K34" s="92">
        <v>27</v>
      </c>
      <c r="L34" s="92">
        <v>25</v>
      </c>
      <c r="M34" s="92">
        <v>22</v>
      </c>
      <c r="N34" s="92">
        <v>23</v>
      </c>
      <c r="O34" s="92">
        <v>20</v>
      </c>
      <c r="P34" s="92">
        <v>20</v>
      </c>
      <c r="Q34" s="92">
        <v>19</v>
      </c>
      <c r="R34" s="92">
        <v>18</v>
      </c>
      <c r="S34" s="92">
        <v>17</v>
      </c>
      <c r="T34" s="92">
        <v>16</v>
      </c>
      <c r="U34" s="92">
        <v>15</v>
      </c>
      <c r="V34" s="92">
        <v>15</v>
      </c>
      <c r="W34" s="92">
        <v>15</v>
      </c>
      <c r="X34" s="92">
        <v>16</v>
      </c>
      <c r="Y34" s="92">
        <v>16</v>
      </c>
      <c r="Z34" s="92">
        <v>15</v>
      </c>
      <c r="AA34" s="89">
        <v>15</v>
      </c>
    </row>
    <row r="35" spans="2:27" s="24" customFormat="1" x14ac:dyDescent="0.2">
      <c r="B35" s="25">
        <v>4</v>
      </c>
      <c r="C35" s="92">
        <v>206</v>
      </c>
      <c r="D35" s="92">
        <v>126</v>
      </c>
      <c r="E35" s="92">
        <v>122</v>
      </c>
      <c r="F35" s="92">
        <v>127</v>
      </c>
      <c r="G35" s="92">
        <v>124</v>
      </c>
      <c r="H35" s="92">
        <v>168</v>
      </c>
      <c r="I35" s="92">
        <v>150</v>
      </c>
      <c r="J35" s="92">
        <v>99</v>
      </c>
      <c r="K35" s="92">
        <v>49</v>
      </c>
      <c r="L35" s="92">
        <v>37</v>
      </c>
      <c r="M35" s="92">
        <v>33</v>
      </c>
      <c r="N35" s="92">
        <v>32</v>
      </c>
      <c r="O35" s="92">
        <v>28</v>
      </c>
      <c r="P35" s="92">
        <v>33</v>
      </c>
      <c r="Q35" s="92">
        <v>24</v>
      </c>
      <c r="R35" s="92">
        <v>26</v>
      </c>
      <c r="S35" s="92">
        <v>21</v>
      </c>
      <c r="T35" s="92">
        <v>29</v>
      </c>
      <c r="U35" s="92">
        <v>23</v>
      </c>
      <c r="V35" s="92">
        <v>22</v>
      </c>
      <c r="W35" s="92">
        <v>21</v>
      </c>
      <c r="X35" s="92">
        <v>21</v>
      </c>
      <c r="Y35" s="92">
        <v>20</v>
      </c>
      <c r="Z35" s="92">
        <v>17</v>
      </c>
      <c r="AA35" s="89">
        <v>19</v>
      </c>
    </row>
    <row r="36" spans="2:27" s="24" customFormat="1" x14ac:dyDescent="0.2">
      <c r="B36" s="25">
        <v>5</v>
      </c>
      <c r="C36" s="92">
        <v>294</v>
      </c>
      <c r="D36" s="92">
        <v>247</v>
      </c>
      <c r="E36" s="92">
        <v>238</v>
      </c>
      <c r="F36" s="92">
        <v>246</v>
      </c>
      <c r="G36" s="92">
        <v>238</v>
      </c>
      <c r="H36" s="92">
        <v>316</v>
      </c>
      <c r="I36" s="92">
        <v>278</v>
      </c>
      <c r="J36" s="92">
        <v>208</v>
      </c>
      <c r="K36" s="92">
        <v>207</v>
      </c>
      <c r="L36" s="92">
        <v>144</v>
      </c>
      <c r="M36" s="92">
        <v>134</v>
      </c>
      <c r="N36" s="92">
        <v>55</v>
      </c>
      <c r="O36" s="92">
        <v>43</v>
      </c>
      <c r="P36" s="92">
        <v>34</v>
      </c>
      <c r="Q36" s="92">
        <v>37</v>
      </c>
      <c r="R36" s="92">
        <v>31</v>
      </c>
      <c r="S36" s="92">
        <v>29</v>
      </c>
      <c r="T36" s="92">
        <v>31</v>
      </c>
      <c r="U36" s="92">
        <v>34</v>
      </c>
      <c r="V36" s="92">
        <v>29</v>
      </c>
      <c r="W36" s="92">
        <v>27</v>
      </c>
      <c r="X36" s="92">
        <v>27</v>
      </c>
      <c r="Y36" s="92">
        <v>24</v>
      </c>
      <c r="Z36" s="92">
        <v>22</v>
      </c>
      <c r="AA36" s="89">
        <v>24</v>
      </c>
    </row>
    <row r="37" spans="2:27" s="24" customFormat="1" x14ac:dyDescent="0.2">
      <c r="B37" s="25">
        <v>6</v>
      </c>
      <c r="C37" s="92"/>
      <c r="D37" s="92"/>
      <c r="E37" s="92"/>
      <c r="F37" s="92"/>
      <c r="G37" s="92"/>
      <c r="H37" s="92"/>
      <c r="I37" s="92"/>
      <c r="J37" s="92"/>
      <c r="K37" s="92"/>
      <c r="L37" s="92"/>
      <c r="M37" s="92"/>
      <c r="N37" s="92">
        <v>88</v>
      </c>
      <c r="O37" s="92">
        <v>67</v>
      </c>
      <c r="P37" s="92">
        <v>49</v>
      </c>
      <c r="Q37" s="92">
        <v>41</v>
      </c>
      <c r="R37" s="92">
        <v>37</v>
      </c>
      <c r="S37" s="92">
        <v>33</v>
      </c>
      <c r="T37" s="92">
        <v>38</v>
      </c>
      <c r="U37" s="92">
        <v>40</v>
      </c>
      <c r="V37" s="92">
        <v>38</v>
      </c>
      <c r="W37" s="92">
        <v>36</v>
      </c>
      <c r="X37" s="92">
        <v>35</v>
      </c>
      <c r="Y37" s="92">
        <v>29</v>
      </c>
      <c r="Z37" s="92">
        <v>33</v>
      </c>
      <c r="AA37" s="89">
        <v>31</v>
      </c>
    </row>
    <row r="38" spans="2:27" s="24" customFormat="1" x14ac:dyDescent="0.2">
      <c r="B38" s="25">
        <v>7</v>
      </c>
      <c r="C38" s="92"/>
      <c r="D38" s="92"/>
      <c r="E38" s="92"/>
      <c r="F38" s="92"/>
      <c r="G38" s="92"/>
      <c r="H38" s="92"/>
      <c r="I38" s="92"/>
      <c r="J38" s="92"/>
      <c r="K38" s="92"/>
      <c r="L38" s="92"/>
      <c r="M38" s="92"/>
      <c r="N38" s="92">
        <v>117</v>
      </c>
      <c r="O38" s="92">
        <v>95</v>
      </c>
      <c r="P38" s="92">
        <v>84</v>
      </c>
      <c r="Q38" s="92">
        <v>56</v>
      </c>
      <c r="R38" s="92">
        <v>48</v>
      </c>
      <c r="S38" s="92">
        <v>40</v>
      </c>
      <c r="T38" s="92">
        <v>43</v>
      </c>
      <c r="U38" s="92">
        <v>42</v>
      </c>
      <c r="V38" s="92">
        <v>39</v>
      </c>
      <c r="W38" s="92">
        <v>39</v>
      </c>
      <c r="X38" s="92">
        <v>39</v>
      </c>
      <c r="Y38" s="92">
        <v>38</v>
      </c>
      <c r="Z38" s="92">
        <v>39</v>
      </c>
      <c r="AA38" s="89">
        <v>32</v>
      </c>
    </row>
    <row r="39" spans="2:27" s="24" customFormat="1" x14ac:dyDescent="0.2">
      <c r="B39" s="25">
        <v>8</v>
      </c>
      <c r="C39" s="92"/>
      <c r="D39" s="92"/>
      <c r="E39" s="92"/>
      <c r="F39" s="92"/>
      <c r="G39" s="92"/>
      <c r="H39" s="92"/>
      <c r="I39" s="92"/>
      <c r="J39" s="92"/>
      <c r="K39" s="92"/>
      <c r="L39" s="92"/>
      <c r="M39" s="92"/>
      <c r="N39" s="92">
        <v>167</v>
      </c>
      <c r="O39" s="92">
        <v>147</v>
      </c>
      <c r="P39" s="92">
        <v>123</v>
      </c>
      <c r="Q39" s="92">
        <v>89</v>
      </c>
      <c r="R39" s="92">
        <v>64</v>
      </c>
      <c r="S39" s="92">
        <v>55</v>
      </c>
      <c r="T39" s="92">
        <v>52</v>
      </c>
      <c r="U39" s="92">
        <v>49</v>
      </c>
      <c r="V39" s="92">
        <v>49</v>
      </c>
      <c r="W39" s="92">
        <v>45</v>
      </c>
      <c r="X39" s="92">
        <v>46</v>
      </c>
      <c r="Y39" s="92">
        <v>44</v>
      </c>
      <c r="Z39" s="92">
        <v>57</v>
      </c>
      <c r="AA39" s="89">
        <v>36</v>
      </c>
    </row>
    <row r="40" spans="2:27" s="24" customFormat="1" x14ac:dyDescent="0.2">
      <c r="B40" s="25">
        <v>9</v>
      </c>
      <c r="C40" s="92"/>
      <c r="D40" s="92"/>
      <c r="E40" s="92"/>
      <c r="F40" s="92"/>
      <c r="G40" s="92"/>
      <c r="H40" s="92"/>
      <c r="I40" s="92"/>
      <c r="J40" s="92"/>
      <c r="K40" s="92"/>
      <c r="L40" s="92"/>
      <c r="M40" s="92"/>
      <c r="N40" s="92">
        <v>191</v>
      </c>
      <c r="O40" s="92">
        <v>182</v>
      </c>
      <c r="P40" s="92">
        <v>156</v>
      </c>
      <c r="Q40" s="92">
        <v>125</v>
      </c>
      <c r="R40" s="92">
        <v>92</v>
      </c>
      <c r="S40" s="92">
        <v>72</v>
      </c>
      <c r="T40" s="92">
        <v>66</v>
      </c>
      <c r="U40" s="92">
        <v>58</v>
      </c>
      <c r="V40" s="92">
        <v>50</v>
      </c>
      <c r="W40" s="92">
        <v>53</v>
      </c>
      <c r="X40" s="92">
        <v>55</v>
      </c>
      <c r="Y40" s="92">
        <v>63</v>
      </c>
      <c r="Z40" s="92">
        <v>70</v>
      </c>
      <c r="AA40" s="89">
        <v>51</v>
      </c>
    </row>
    <row r="41" spans="2:27" s="24" customFormat="1" x14ac:dyDescent="0.2">
      <c r="B41" s="91" t="s">
        <v>48</v>
      </c>
      <c r="C41" s="93"/>
      <c r="D41" s="93"/>
      <c r="E41" s="93"/>
      <c r="F41" s="93"/>
      <c r="G41" s="93"/>
      <c r="H41" s="93"/>
      <c r="I41" s="93"/>
      <c r="J41" s="93"/>
      <c r="K41" s="93"/>
      <c r="L41" s="93"/>
      <c r="M41" s="93"/>
      <c r="N41" s="93">
        <v>303</v>
      </c>
      <c r="O41" s="93">
        <v>301</v>
      </c>
      <c r="P41" s="93">
        <v>267</v>
      </c>
      <c r="Q41" s="93">
        <v>245</v>
      </c>
      <c r="R41" s="93">
        <v>206</v>
      </c>
      <c r="S41" s="93">
        <v>179</v>
      </c>
      <c r="T41" s="93">
        <v>129</v>
      </c>
      <c r="U41" s="93">
        <v>125</v>
      </c>
      <c r="V41" s="93">
        <v>141</v>
      </c>
      <c r="W41" s="93">
        <v>144</v>
      </c>
      <c r="X41" s="93">
        <v>140</v>
      </c>
      <c r="Y41" s="93">
        <v>151</v>
      </c>
      <c r="Z41" s="93">
        <v>165</v>
      </c>
      <c r="AA41" s="27">
        <v>163</v>
      </c>
    </row>
    <row r="42" spans="2:27" s="24" customFormat="1" x14ac:dyDescent="0.2">
      <c r="B42" s="25"/>
      <c r="C42" s="92"/>
      <c r="D42" s="92"/>
      <c r="E42" s="92"/>
      <c r="F42" s="92"/>
      <c r="G42" s="92"/>
      <c r="H42" s="92"/>
      <c r="I42" s="92"/>
      <c r="J42" s="92"/>
      <c r="K42" s="92"/>
      <c r="L42" s="92"/>
      <c r="M42" s="92"/>
      <c r="N42" s="92"/>
      <c r="O42" s="92"/>
      <c r="P42" s="92"/>
      <c r="Q42" s="92"/>
      <c r="R42" s="92"/>
      <c r="S42" s="92"/>
      <c r="T42" s="92"/>
      <c r="U42" s="92"/>
      <c r="V42" s="92"/>
      <c r="W42" s="92"/>
      <c r="X42" s="92"/>
      <c r="Y42" s="79"/>
      <c r="Z42" s="79"/>
    </row>
    <row r="43" spans="2:27" s="24" customFormat="1" x14ac:dyDescent="0.2">
      <c r="B43" s="86" t="s">
        <v>11</v>
      </c>
      <c r="C43" s="87"/>
      <c r="D43" s="87"/>
      <c r="E43" s="87"/>
      <c r="F43" s="87"/>
      <c r="G43" s="87"/>
      <c r="H43" s="87"/>
      <c r="I43" s="87"/>
      <c r="J43" s="87"/>
      <c r="K43" s="87"/>
      <c r="L43" s="87"/>
      <c r="M43" s="87"/>
      <c r="N43" s="87"/>
      <c r="O43" s="87"/>
      <c r="P43" s="87"/>
      <c r="Q43" s="87"/>
      <c r="R43" s="79"/>
      <c r="S43" s="79"/>
      <c r="T43" s="79"/>
      <c r="U43" s="79"/>
      <c r="V43" s="79"/>
      <c r="W43" s="79"/>
      <c r="X43" s="79"/>
      <c r="Y43" s="79"/>
      <c r="Z43" s="79"/>
    </row>
    <row r="44" spans="2:27" s="24" customFormat="1" x14ac:dyDescent="0.2">
      <c r="B44" s="88" t="s">
        <v>6</v>
      </c>
      <c r="C44" s="31">
        <v>1995</v>
      </c>
      <c r="D44" s="31">
        <v>1996</v>
      </c>
      <c r="E44" s="31">
        <v>1997</v>
      </c>
      <c r="F44" s="31">
        <v>1998</v>
      </c>
      <c r="G44" s="31">
        <v>1999</v>
      </c>
      <c r="H44" s="31">
        <v>2000</v>
      </c>
      <c r="I44" s="31">
        <v>2001</v>
      </c>
      <c r="J44" s="31">
        <v>2002</v>
      </c>
      <c r="K44" s="31">
        <v>2003</v>
      </c>
      <c r="L44" s="31">
        <v>2004</v>
      </c>
      <c r="M44" s="31">
        <v>2005</v>
      </c>
      <c r="N44" s="31">
        <v>2006</v>
      </c>
      <c r="O44" s="31">
        <v>2007</v>
      </c>
      <c r="P44" s="31">
        <v>2008</v>
      </c>
      <c r="Q44" s="31">
        <v>2009</v>
      </c>
      <c r="R44" s="31">
        <v>2010</v>
      </c>
      <c r="S44" s="31">
        <v>2011</v>
      </c>
      <c r="T44" s="31">
        <v>2012</v>
      </c>
      <c r="U44" s="31">
        <v>2013</v>
      </c>
      <c r="V44" s="31">
        <v>2014</v>
      </c>
      <c r="W44" s="31">
        <v>2015</v>
      </c>
      <c r="X44" s="31">
        <v>2016</v>
      </c>
      <c r="Y44" s="31">
        <v>2017</v>
      </c>
      <c r="Z44" s="31">
        <v>2018</v>
      </c>
      <c r="AA44" s="31">
        <v>2019</v>
      </c>
    </row>
    <row r="45" spans="2:27" s="24" customFormat="1" x14ac:dyDescent="0.2">
      <c r="B45" s="26"/>
      <c r="C45" s="89"/>
      <c r="D45" s="89"/>
      <c r="E45" s="89"/>
      <c r="F45" s="89"/>
      <c r="G45" s="89"/>
      <c r="H45" s="89"/>
      <c r="I45" s="89"/>
      <c r="J45" s="89"/>
      <c r="K45" s="89"/>
      <c r="L45" s="94"/>
      <c r="M45" s="94"/>
      <c r="N45" s="87"/>
      <c r="O45" s="87"/>
      <c r="P45" s="87"/>
      <c r="Q45" s="87"/>
      <c r="R45" s="87"/>
      <c r="S45" s="87"/>
      <c r="T45" s="87"/>
      <c r="U45" s="87"/>
      <c r="V45" s="87"/>
      <c r="W45" s="87"/>
      <c r="X45" s="87"/>
      <c r="Y45" s="87"/>
      <c r="Z45" s="87"/>
      <c r="AA45" s="87"/>
    </row>
    <row r="46" spans="2:27" s="24" customFormat="1" x14ac:dyDescent="0.2">
      <c r="B46" s="25">
        <v>2</v>
      </c>
      <c r="C46" s="95">
        <v>0.7</v>
      </c>
      <c r="D46" s="95">
        <v>0.67</v>
      </c>
      <c r="E46" s="95">
        <v>0.67</v>
      </c>
      <c r="F46" s="95">
        <v>0.6</v>
      </c>
      <c r="G46" s="95">
        <v>0.53</v>
      </c>
      <c r="H46" s="95">
        <v>0.61</v>
      </c>
      <c r="I46" s="95">
        <v>0.47</v>
      </c>
      <c r="J46" s="95">
        <v>0.37</v>
      </c>
      <c r="K46" s="95">
        <v>0.31</v>
      </c>
      <c r="L46" s="95">
        <v>0.28999999999999998</v>
      </c>
      <c r="M46" s="95">
        <v>0.33</v>
      </c>
      <c r="N46" s="95">
        <v>0.25</v>
      </c>
      <c r="O46" s="95">
        <v>0.24</v>
      </c>
      <c r="P46" s="95">
        <v>0.31</v>
      </c>
      <c r="Q46" s="95">
        <v>0.28000000000000003</v>
      </c>
      <c r="R46" s="95">
        <v>0.26</v>
      </c>
      <c r="S46" s="95">
        <v>0.21</v>
      </c>
      <c r="T46" s="95">
        <v>0.15</v>
      </c>
      <c r="U46" s="95">
        <v>0.16</v>
      </c>
      <c r="V46" s="95">
        <v>0.18</v>
      </c>
      <c r="W46" s="95">
        <v>0.19</v>
      </c>
      <c r="X46" s="95">
        <v>0.25</v>
      </c>
      <c r="Y46" s="95">
        <v>0.2</v>
      </c>
      <c r="Z46" s="95">
        <v>0.1</v>
      </c>
      <c r="AA46" s="95">
        <v>0.14000000000000001</v>
      </c>
    </row>
    <row r="47" spans="2:27" s="24" customFormat="1" x14ac:dyDescent="0.2">
      <c r="B47" s="25">
        <v>3</v>
      </c>
      <c r="C47" s="95">
        <v>0.74</v>
      </c>
      <c r="D47" s="95">
        <v>0.73</v>
      </c>
      <c r="E47" s="95">
        <v>0.73</v>
      </c>
      <c r="F47" s="95">
        <v>0.73</v>
      </c>
      <c r="G47" s="95">
        <v>0.73</v>
      </c>
      <c r="H47" s="95">
        <v>0.74</v>
      </c>
      <c r="I47" s="95">
        <v>0.73</v>
      </c>
      <c r="J47" s="95">
        <v>0.64</v>
      </c>
      <c r="K47" s="95">
        <v>0.55000000000000004</v>
      </c>
      <c r="L47" s="95">
        <v>0.52</v>
      </c>
      <c r="M47" s="95">
        <v>0.46</v>
      </c>
      <c r="N47" s="95">
        <v>0.48</v>
      </c>
      <c r="O47" s="95">
        <v>0.42</v>
      </c>
      <c r="P47" s="95">
        <v>0.42</v>
      </c>
      <c r="Q47" s="95">
        <v>0.4</v>
      </c>
      <c r="R47" s="95">
        <v>0.38</v>
      </c>
      <c r="S47" s="95">
        <v>0.35</v>
      </c>
      <c r="T47" s="95">
        <v>0.31</v>
      </c>
      <c r="U47" s="95">
        <v>0.3</v>
      </c>
      <c r="V47" s="95">
        <v>0.31</v>
      </c>
      <c r="W47" s="95">
        <v>0.28999999999999998</v>
      </c>
      <c r="X47" s="95">
        <v>0.31</v>
      </c>
      <c r="Y47" s="95">
        <v>0.33</v>
      </c>
      <c r="Z47" s="95">
        <v>0.31</v>
      </c>
      <c r="AA47" s="95">
        <v>0.28000000000000003</v>
      </c>
    </row>
    <row r="48" spans="2:27" s="24" customFormat="1" x14ac:dyDescent="0.2">
      <c r="B48" s="25">
        <v>4</v>
      </c>
      <c r="C48" s="95">
        <v>0.74</v>
      </c>
      <c r="D48" s="95">
        <v>0.74</v>
      </c>
      <c r="E48" s="95">
        <v>0.74</v>
      </c>
      <c r="F48" s="95">
        <v>0.74</v>
      </c>
      <c r="G48" s="95">
        <v>0.74</v>
      </c>
      <c r="H48" s="95">
        <v>0.74</v>
      </c>
      <c r="I48" s="95">
        <v>0.74</v>
      </c>
      <c r="J48" s="95">
        <v>0.74</v>
      </c>
      <c r="K48" s="95">
        <v>0.7</v>
      </c>
      <c r="L48" s="95">
        <v>0.65</v>
      </c>
      <c r="M48" s="95">
        <v>0.62</v>
      </c>
      <c r="N48" s="95">
        <v>0.61</v>
      </c>
      <c r="O48" s="95">
        <v>0.56000000000000005</v>
      </c>
      <c r="P48" s="95">
        <v>0.62</v>
      </c>
      <c r="Q48" s="95">
        <v>0.49</v>
      </c>
      <c r="R48" s="95">
        <v>0.53</v>
      </c>
      <c r="S48" s="95">
        <v>0.45</v>
      </c>
      <c r="T48" s="95">
        <v>0.57999999999999996</v>
      </c>
      <c r="U48" s="95">
        <v>0.48</v>
      </c>
      <c r="V48" s="95">
        <v>0.47</v>
      </c>
      <c r="W48" s="95">
        <v>0.45</v>
      </c>
      <c r="X48" s="95">
        <v>0.45</v>
      </c>
      <c r="Y48" s="95">
        <v>0.42</v>
      </c>
      <c r="Z48" s="95">
        <v>0.35</v>
      </c>
      <c r="AA48" s="95">
        <v>0.4</v>
      </c>
    </row>
    <row r="49" spans="2:27" s="24" customFormat="1" x14ac:dyDescent="0.2">
      <c r="B49" s="25">
        <v>5</v>
      </c>
      <c r="C49" s="95">
        <v>0.74</v>
      </c>
      <c r="D49" s="95">
        <v>0.74</v>
      </c>
      <c r="E49" s="95">
        <v>0.74</v>
      </c>
      <c r="F49" s="95">
        <v>0.74</v>
      </c>
      <c r="G49" s="95">
        <v>0.74</v>
      </c>
      <c r="H49" s="95">
        <v>0.74</v>
      </c>
      <c r="I49" s="95">
        <v>0.74</v>
      </c>
      <c r="J49" s="95">
        <v>0.74</v>
      </c>
      <c r="K49" s="95">
        <v>0.74</v>
      </c>
      <c r="L49" s="95">
        <v>0.74</v>
      </c>
      <c r="M49" s="95">
        <v>0.74</v>
      </c>
      <c r="N49" s="95">
        <v>0.71</v>
      </c>
      <c r="O49" s="95">
        <v>0.68</v>
      </c>
      <c r="P49" s="95">
        <v>0.62</v>
      </c>
      <c r="Q49" s="95">
        <v>0.65</v>
      </c>
      <c r="R49" s="95">
        <v>0.6</v>
      </c>
      <c r="S49" s="95">
        <v>0.56999999999999995</v>
      </c>
      <c r="T49" s="95">
        <v>0.6</v>
      </c>
      <c r="U49" s="95">
        <v>0.62</v>
      </c>
      <c r="V49" s="95">
        <v>0.56999999999999995</v>
      </c>
      <c r="W49" s="95">
        <v>0.55000000000000004</v>
      </c>
      <c r="X49" s="95">
        <v>0.55000000000000004</v>
      </c>
      <c r="Y49" s="95">
        <v>0.51</v>
      </c>
      <c r="Z49" s="95">
        <v>0.46</v>
      </c>
      <c r="AA49" s="95">
        <v>0.5</v>
      </c>
    </row>
    <row r="50" spans="2:27" s="24" customFormat="1" x14ac:dyDescent="0.2">
      <c r="B50" s="25">
        <v>6</v>
      </c>
      <c r="C50" s="95"/>
      <c r="D50" s="95"/>
      <c r="E50" s="95"/>
      <c r="F50" s="95"/>
      <c r="G50" s="95"/>
      <c r="H50" s="95"/>
      <c r="I50" s="95"/>
      <c r="J50" s="95"/>
      <c r="K50" s="95"/>
      <c r="L50" s="95"/>
      <c r="M50" s="95"/>
      <c r="N50" s="95">
        <v>0.73</v>
      </c>
      <c r="O50" s="95">
        <v>0.72</v>
      </c>
      <c r="P50" s="95">
        <v>0.7</v>
      </c>
      <c r="Q50" s="95">
        <v>0.67</v>
      </c>
      <c r="R50" s="95">
        <v>0.65</v>
      </c>
      <c r="S50" s="95">
        <v>0.62</v>
      </c>
      <c r="T50" s="95">
        <v>0.65</v>
      </c>
      <c r="U50" s="95">
        <v>0.66</v>
      </c>
      <c r="V50" s="95">
        <v>0.65</v>
      </c>
      <c r="W50" s="95">
        <v>0.64</v>
      </c>
      <c r="X50" s="95">
        <v>0.63</v>
      </c>
      <c r="Y50" s="95">
        <v>0.57999999999999996</v>
      </c>
      <c r="Z50" s="95">
        <v>0.62</v>
      </c>
      <c r="AA50" s="95">
        <v>0.6</v>
      </c>
    </row>
    <row r="51" spans="2:27" s="24" customFormat="1" x14ac:dyDescent="0.2">
      <c r="B51" s="25">
        <v>7</v>
      </c>
      <c r="C51" s="95"/>
      <c r="D51" s="95"/>
      <c r="E51" s="95"/>
      <c r="F51" s="95"/>
      <c r="G51" s="95"/>
      <c r="H51" s="95"/>
      <c r="I51" s="95"/>
      <c r="J51" s="95"/>
      <c r="K51" s="95"/>
      <c r="L51" s="95"/>
      <c r="M51" s="95"/>
      <c r="N51" s="95">
        <v>0.74</v>
      </c>
      <c r="O51" s="95">
        <v>0.73</v>
      </c>
      <c r="P51" s="95">
        <v>0.73</v>
      </c>
      <c r="Q51" s="95">
        <v>0.71</v>
      </c>
      <c r="R51" s="95">
        <v>0.69</v>
      </c>
      <c r="S51" s="95">
        <v>0.67</v>
      </c>
      <c r="T51" s="95">
        <v>0.68</v>
      </c>
      <c r="U51" s="95">
        <v>0.67</v>
      </c>
      <c r="V51" s="95">
        <v>0.66</v>
      </c>
      <c r="W51" s="95">
        <v>0.66</v>
      </c>
      <c r="X51" s="95">
        <v>0.66</v>
      </c>
      <c r="Y51" s="95">
        <v>0.65</v>
      </c>
      <c r="Z51" s="95">
        <v>0.66</v>
      </c>
      <c r="AA51" s="95">
        <v>0.61</v>
      </c>
    </row>
    <row r="52" spans="2:27" s="24" customFormat="1" x14ac:dyDescent="0.2">
      <c r="B52" s="25">
        <v>8</v>
      </c>
      <c r="C52" s="95"/>
      <c r="D52" s="95"/>
      <c r="E52" s="95"/>
      <c r="F52" s="95"/>
      <c r="G52" s="95"/>
      <c r="H52" s="95"/>
      <c r="I52" s="95"/>
      <c r="J52" s="95"/>
      <c r="K52" s="95"/>
      <c r="L52" s="95"/>
      <c r="M52" s="95"/>
      <c r="N52" s="95">
        <v>0.74</v>
      </c>
      <c r="O52" s="95">
        <v>0.74</v>
      </c>
      <c r="P52" s="95">
        <v>0.74</v>
      </c>
      <c r="Q52" s="95">
        <v>0.73</v>
      </c>
      <c r="R52" s="95">
        <v>0.72</v>
      </c>
      <c r="S52" s="95">
        <v>0.71</v>
      </c>
      <c r="T52" s="95">
        <v>0.7</v>
      </c>
      <c r="U52" s="95">
        <v>0.7</v>
      </c>
      <c r="V52" s="95">
        <v>0.7</v>
      </c>
      <c r="W52" s="95">
        <v>0.69</v>
      </c>
      <c r="X52" s="95">
        <v>0.69</v>
      </c>
      <c r="Y52" s="95">
        <v>0.68</v>
      </c>
      <c r="Z52" s="95">
        <v>0.71</v>
      </c>
      <c r="AA52" s="95">
        <v>0.64</v>
      </c>
    </row>
    <row r="53" spans="2:27" s="24" customFormat="1" x14ac:dyDescent="0.2">
      <c r="B53" s="25">
        <v>9</v>
      </c>
      <c r="C53" s="95"/>
      <c r="D53" s="95"/>
      <c r="E53" s="95"/>
      <c r="F53" s="95"/>
      <c r="G53" s="95"/>
      <c r="H53" s="95"/>
      <c r="I53" s="95"/>
      <c r="J53" s="95"/>
      <c r="K53" s="95"/>
      <c r="L53" s="95"/>
      <c r="M53" s="95"/>
      <c r="N53" s="95">
        <v>0.74</v>
      </c>
      <c r="O53" s="95">
        <v>0.74</v>
      </c>
      <c r="P53" s="95">
        <v>0.74</v>
      </c>
      <c r="Q53" s="95">
        <v>0.74</v>
      </c>
      <c r="R53" s="95">
        <v>0.73</v>
      </c>
      <c r="S53" s="95">
        <v>0.73</v>
      </c>
      <c r="T53" s="95">
        <v>0.72</v>
      </c>
      <c r="U53" s="95">
        <v>0.71</v>
      </c>
      <c r="V53" s="95">
        <v>0.7</v>
      </c>
      <c r="W53" s="95">
        <v>0.71</v>
      </c>
      <c r="X53" s="95">
        <v>0.71</v>
      </c>
      <c r="Y53" s="95">
        <v>0.72</v>
      </c>
      <c r="Z53" s="95">
        <v>0.73</v>
      </c>
      <c r="AA53" s="95">
        <v>0.7</v>
      </c>
    </row>
    <row r="54" spans="2:27" s="24" customFormat="1" x14ac:dyDescent="0.2">
      <c r="B54" s="25" t="s">
        <v>48</v>
      </c>
      <c r="C54" s="95"/>
      <c r="D54" s="95"/>
      <c r="E54" s="95"/>
      <c r="F54" s="95"/>
      <c r="G54" s="95"/>
      <c r="H54" s="95"/>
      <c r="I54" s="95"/>
      <c r="J54" s="95"/>
      <c r="K54" s="95"/>
      <c r="L54" s="95"/>
      <c r="M54" s="95"/>
      <c r="N54" s="95">
        <v>0.74</v>
      </c>
      <c r="O54" s="95">
        <v>0.74</v>
      </c>
      <c r="P54" s="96">
        <v>0.74</v>
      </c>
      <c r="Q54" s="96">
        <v>0.74</v>
      </c>
      <c r="R54" s="96">
        <v>0.74</v>
      </c>
      <c r="S54" s="96">
        <v>0.74</v>
      </c>
      <c r="T54" s="96">
        <v>0.74</v>
      </c>
      <c r="U54" s="96">
        <v>0.74</v>
      </c>
      <c r="V54" s="96">
        <v>0.74</v>
      </c>
      <c r="W54" s="96">
        <v>0.74</v>
      </c>
      <c r="X54" s="96">
        <v>0.74</v>
      </c>
      <c r="Y54" s="96">
        <v>0.74</v>
      </c>
      <c r="Z54" s="96">
        <v>0.74</v>
      </c>
      <c r="AA54" s="96">
        <v>0.74</v>
      </c>
    </row>
    <row r="55" spans="2:27" s="24" customFormat="1" x14ac:dyDescent="0.2">
      <c r="B55" s="97"/>
      <c r="C55" s="98"/>
      <c r="D55" s="98"/>
      <c r="E55" s="98"/>
      <c r="F55" s="98"/>
      <c r="G55" s="98"/>
      <c r="H55" s="98"/>
      <c r="I55" s="98"/>
      <c r="J55" s="98"/>
      <c r="K55" s="98"/>
      <c r="L55" s="98"/>
      <c r="M55" s="98"/>
      <c r="N55" s="98"/>
      <c r="O55" s="98"/>
      <c r="P55" s="95"/>
      <c r="Q55" s="95"/>
      <c r="R55" s="95"/>
      <c r="S55" s="95"/>
      <c r="T55" s="95"/>
      <c r="U55" s="95"/>
      <c r="V55" s="95"/>
      <c r="W55" s="95"/>
      <c r="X55" s="95"/>
      <c r="Y55" s="79"/>
      <c r="Z55" s="79"/>
    </row>
    <row r="56" spans="2:27" s="24" customFormat="1" x14ac:dyDescent="0.2">
      <c r="B56" s="86" t="s">
        <v>12</v>
      </c>
      <c r="C56" s="87"/>
      <c r="D56" s="87"/>
      <c r="E56" s="87"/>
      <c r="F56" s="87"/>
      <c r="G56" s="87"/>
      <c r="H56" s="87"/>
      <c r="I56" s="87"/>
      <c r="J56" s="87"/>
      <c r="K56" s="87"/>
      <c r="L56" s="87"/>
      <c r="M56" s="87"/>
      <c r="N56" s="87"/>
      <c r="O56" s="87"/>
      <c r="P56" s="89"/>
      <c r="Q56" s="89"/>
      <c r="R56" s="79"/>
      <c r="S56" s="79"/>
      <c r="T56" s="79"/>
      <c r="U56" s="79"/>
      <c r="V56" s="79"/>
      <c r="W56" s="79"/>
      <c r="X56" s="79"/>
      <c r="Y56" s="79"/>
      <c r="Z56" s="79"/>
    </row>
    <row r="57" spans="2:27" s="24" customFormat="1" x14ac:dyDescent="0.2">
      <c r="B57" s="88" t="s">
        <v>6</v>
      </c>
      <c r="C57" s="31">
        <v>1995</v>
      </c>
      <c r="D57" s="31">
        <v>1996</v>
      </c>
      <c r="E57" s="31">
        <v>1997</v>
      </c>
      <c r="F57" s="31">
        <v>1998</v>
      </c>
      <c r="G57" s="31">
        <v>1999</v>
      </c>
      <c r="H57" s="31">
        <v>2000</v>
      </c>
      <c r="I57" s="31">
        <v>2001</v>
      </c>
      <c r="J57" s="31">
        <v>2002</v>
      </c>
      <c r="K57" s="31">
        <v>2003</v>
      </c>
      <c r="L57" s="31">
        <v>2004</v>
      </c>
      <c r="M57" s="31">
        <v>2005</v>
      </c>
      <c r="N57" s="31">
        <v>2006</v>
      </c>
      <c r="O57" s="31">
        <v>2007</v>
      </c>
      <c r="P57" s="31">
        <v>2008</v>
      </c>
      <c r="Q57" s="31">
        <v>2009</v>
      </c>
      <c r="R57" s="31">
        <v>2010</v>
      </c>
      <c r="S57" s="31">
        <v>2011</v>
      </c>
      <c r="T57" s="31">
        <v>2012</v>
      </c>
      <c r="U57" s="31">
        <v>2013</v>
      </c>
      <c r="V57" s="31">
        <v>2014</v>
      </c>
      <c r="W57" s="31">
        <v>2015</v>
      </c>
      <c r="X57" s="31">
        <v>2016</v>
      </c>
      <c r="Y57" s="31">
        <v>2017</v>
      </c>
      <c r="Z57" s="31">
        <v>2018</v>
      </c>
      <c r="AA57" s="31">
        <v>2019</v>
      </c>
    </row>
    <row r="58" spans="2:27" s="24" customFormat="1" x14ac:dyDescent="0.2">
      <c r="B58" s="26"/>
      <c r="C58" s="89"/>
      <c r="D58" s="89"/>
      <c r="E58" s="89"/>
      <c r="F58" s="89"/>
      <c r="G58" s="89"/>
      <c r="H58" s="89"/>
      <c r="I58" s="89"/>
      <c r="J58" s="89"/>
      <c r="K58" s="89"/>
      <c r="L58" s="89"/>
      <c r="M58" s="89"/>
      <c r="N58" s="99"/>
      <c r="O58" s="99"/>
      <c r="P58" s="99"/>
      <c r="Q58" s="99"/>
      <c r="R58" s="99"/>
      <c r="S58" s="99"/>
      <c r="T58" s="99"/>
      <c r="U58" s="99"/>
      <c r="V58" s="99"/>
      <c r="W58" s="99"/>
      <c r="X58" s="99"/>
      <c r="Y58" s="99"/>
      <c r="Z58" s="99"/>
      <c r="AA58" s="99"/>
    </row>
    <row r="59" spans="2:27" s="24" customFormat="1" x14ac:dyDescent="0.2">
      <c r="B59" s="25">
        <v>2</v>
      </c>
      <c r="C59" s="89">
        <v>4428</v>
      </c>
      <c r="D59" s="89">
        <v>4454</v>
      </c>
      <c r="E59" s="89">
        <v>3269</v>
      </c>
      <c r="F59" s="89">
        <v>2342</v>
      </c>
      <c r="G59" s="89">
        <v>4682</v>
      </c>
      <c r="H59" s="89">
        <v>7159</v>
      </c>
      <c r="I59" s="89">
        <v>31204</v>
      </c>
      <c r="J59" s="89">
        <v>69985</v>
      </c>
      <c r="K59" s="89">
        <v>63654</v>
      </c>
      <c r="L59" s="89">
        <v>69154</v>
      </c>
      <c r="M59" s="89">
        <v>21945</v>
      </c>
      <c r="N59" s="89">
        <v>7527</v>
      </c>
      <c r="O59" s="89">
        <v>6168</v>
      </c>
      <c r="P59" s="89">
        <v>5195</v>
      </c>
      <c r="Q59" s="89">
        <v>2492</v>
      </c>
      <c r="R59" s="89">
        <v>1615</v>
      </c>
      <c r="S59" s="89">
        <v>1402</v>
      </c>
      <c r="T59" s="89">
        <v>2937</v>
      </c>
      <c r="U59" s="89">
        <v>3358</v>
      </c>
      <c r="V59" s="89">
        <v>6080</v>
      </c>
      <c r="W59" s="89">
        <v>5013</v>
      </c>
      <c r="X59" s="89">
        <v>7630</v>
      </c>
      <c r="Y59" s="89">
        <v>2637</v>
      </c>
      <c r="Z59" s="89">
        <v>1329.77</v>
      </c>
      <c r="AA59" s="89">
        <v>1266</v>
      </c>
    </row>
    <row r="60" spans="2:27" s="24" customFormat="1" x14ac:dyDescent="0.2">
      <c r="B60" s="25">
        <v>3</v>
      </c>
      <c r="C60" s="89">
        <v>4284</v>
      </c>
      <c r="D60" s="89">
        <v>2895</v>
      </c>
      <c r="E60" s="89">
        <v>3970</v>
      </c>
      <c r="F60" s="89">
        <v>1685</v>
      </c>
      <c r="G60" s="89">
        <v>3090</v>
      </c>
      <c r="H60" s="89">
        <v>7279</v>
      </c>
      <c r="I60" s="89">
        <v>3938</v>
      </c>
      <c r="J60" s="89">
        <v>21648</v>
      </c>
      <c r="K60" s="89">
        <v>22239</v>
      </c>
      <c r="L60" s="89">
        <v>32523</v>
      </c>
      <c r="M60" s="89">
        <v>48314</v>
      </c>
      <c r="N60" s="89">
        <v>9481</v>
      </c>
      <c r="O60" s="89">
        <v>8032</v>
      </c>
      <c r="P60" s="89">
        <v>5278</v>
      </c>
      <c r="Q60" s="89">
        <v>3787</v>
      </c>
      <c r="R60" s="89">
        <v>2398</v>
      </c>
      <c r="S60" s="89">
        <v>1196</v>
      </c>
      <c r="T60" s="89">
        <v>1306</v>
      </c>
      <c r="U60" s="89">
        <v>1227</v>
      </c>
      <c r="V60" s="89">
        <v>3736</v>
      </c>
      <c r="W60" s="89">
        <v>3758</v>
      </c>
      <c r="X60" s="89">
        <v>8304</v>
      </c>
      <c r="Y60" s="89">
        <v>1984</v>
      </c>
      <c r="Z60" s="89">
        <v>1125.83</v>
      </c>
      <c r="AA60" s="89">
        <v>1422</v>
      </c>
    </row>
    <row r="61" spans="2:27" s="24" customFormat="1" x14ac:dyDescent="0.2">
      <c r="B61" s="25">
        <v>4</v>
      </c>
      <c r="C61" s="89">
        <v>2722</v>
      </c>
      <c r="D61" s="89">
        <v>3698</v>
      </c>
      <c r="E61" s="89">
        <v>6488</v>
      </c>
      <c r="F61" s="89">
        <v>3469</v>
      </c>
      <c r="G61" s="89">
        <v>5196</v>
      </c>
      <c r="H61" s="89">
        <v>5290</v>
      </c>
      <c r="I61" s="89">
        <v>4730</v>
      </c>
      <c r="J61" s="89">
        <v>3554</v>
      </c>
      <c r="K61" s="89">
        <v>14102</v>
      </c>
      <c r="L61" s="89">
        <v>16203</v>
      </c>
      <c r="M61" s="89">
        <v>30421</v>
      </c>
      <c r="N61" s="89">
        <v>52550</v>
      </c>
      <c r="O61" s="89">
        <v>21933</v>
      </c>
      <c r="P61" s="89">
        <v>16253</v>
      </c>
      <c r="Q61" s="89">
        <v>5162</v>
      </c>
      <c r="R61" s="89">
        <v>2554</v>
      </c>
      <c r="S61" s="89">
        <v>1089</v>
      </c>
      <c r="T61" s="89">
        <v>784</v>
      </c>
      <c r="U61" s="89">
        <v>891</v>
      </c>
      <c r="V61" s="89">
        <v>1387</v>
      </c>
      <c r="W61" s="89">
        <v>2275</v>
      </c>
      <c r="X61" s="89">
        <v>7431</v>
      </c>
      <c r="Y61" s="89">
        <v>5394</v>
      </c>
      <c r="Z61" s="89">
        <v>1998.4</v>
      </c>
      <c r="AA61" s="89">
        <v>1216</v>
      </c>
    </row>
    <row r="62" spans="2:27" s="24" customFormat="1" x14ac:dyDescent="0.2">
      <c r="B62" s="25">
        <v>5</v>
      </c>
      <c r="C62" s="89">
        <v>1339</v>
      </c>
      <c r="D62" s="89">
        <v>3988</v>
      </c>
      <c r="E62" s="89">
        <v>5559</v>
      </c>
      <c r="F62" s="89">
        <v>6123</v>
      </c>
      <c r="G62" s="89">
        <v>9591</v>
      </c>
      <c r="H62" s="89">
        <v>4612</v>
      </c>
      <c r="I62" s="89">
        <v>6073</v>
      </c>
      <c r="J62" s="89">
        <v>11083</v>
      </c>
      <c r="K62" s="89">
        <v>12879</v>
      </c>
      <c r="L62" s="89">
        <v>19139</v>
      </c>
      <c r="M62" s="89">
        <v>21824</v>
      </c>
      <c r="N62" s="89">
        <v>14812</v>
      </c>
      <c r="O62" s="89">
        <v>37750</v>
      </c>
      <c r="P62" s="89">
        <v>32287</v>
      </c>
      <c r="Q62" s="89">
        <v>6465</v>
      </c>
      <c r="R62" s="89">
        <v>4689</v>
      </c>
      <c r="S62" s="89">
        <v>1795</v>
      </c>
      <c r="T62" s="89">
        <v>1327</v>
      </c>
      <c r="U62" s="89">
        <v>1656</v>
      </c>
      <c r="V62" s="89">
        <v>651</v>
      </c>
      <c r="W62" s="89">
        <v>1345</v>
      </c>
      <c r="X62" s="89">
        <v>2798</v>
      </c>
      <c r="Y62" s="89">
        <v>2446</v>
      </c>
      <c r="Z62" s="89">
        <v>2490.33</v>
      </c>
      <c r="AA62" s="89">
        <v>1058</v>
      </c>
    </row>
    <row r="63" spans="2:27" s="24" customFormat="1" x14ac:dyDescent="0.2">
      <c r="B63" s="25">
        <v>6</v>
      </c>
      <c r="C63" s="89"/>
      <c r="D63" s="89"/>
      <c r="E63" s="89"/>
      <c r="F63" s="89"/>
      <c r="G63" s="89"/>
      <c r="H63" s="89"/>
      <c r="I63" s="89"/>
      <c r="J63" s="89"/>
      <c r="K63" s="89"/>
      <c r="L63" s="89"/>
      <c r="M63" s="89"/>
      <c r="N63" s="89">
        <v>2613</v>
      </c>
      <c r="O63" s="89">
        <v>14705</v>
      </c>
      <c r="P63" s="89">
        <v>22051</v>
      </c>
      <c r="Q63" s="89">
        <v>9890</v>
      </c>
      <c r="R63" s="89">
        <v>6165</v>
      </c>
      <c r="S63" s="89">
        <v>2386</v>
      </c>
      <c r="T63" s="89">
        <v>2811</v>
      </c>
      <c r="U63" s="89">
        <v>2087</v>
      </c>
      <c r="V63" s="89">
        <v>714</v>
      </c>
      <c r="W63" s="89">
        <v>568</v>
      </c>
      <c r="X63" s="89">
        <v>1743</v>
      </c>
      <c r="Y63" s="89">
        <v>1318</v>
      </c>
      <c r="Z63" s="89">
        <v>2453.9899999999998</v>
      </c>
      <c r="AA63" s="89">
        <v>1070</v>
      </c>
    </row>
    <row r="64" spans="2:27" s="24" customFormat="1" x14ac:dyDescent="0.2">
      <c r="B64" s="25">
        <v>7</v>
      </c>
      <c r="C64" s="89"/>
      <c r="D64" s="89"/>
      <c r="E64" s="89"/>
      <c r="F64" s="89"/>
      <c r="G64" s="89"/>
      <c r="H64" s="89"/>
      <c r="I64" s="89"/>
      <c r="J64" s="89"/>
      <c r="K64" s="89"/>
      <c r="L64" s="89"/>
      <c r="M64" s="89"/>
      <c r="N64" s="89">
        <v>3780</v>
      </c>
      <c r="O64" s="89">
        <v>7553</v>
      </c>
      <c r="P64" s="89">
        <v>12365</v>
      </c>
      <c r="Q64" s="89">
        <v>33140</v>
      </c>
      <c r="R64" s="89">
        <v>9274</v>
      </c>
      <c r="S64" s="89">
        <v>4411</v>
      </c>
      <c r="T64" s="89">
        <v>2487</v>
      </c>
      <c r="U64" s="89">
        <v>1557</v>
      </c>
      <c r="V64" s="89">
        <v>953</v>
      </c>
      <c r="W64" s="89">
        <v>449</v>
      </c>
      <c r="X64" s="89">
        <v>1193</v>
      </c>
      <c r="Y64" s="89">
        <v>1653</v>
      </c>
      <c r="Z64" s="89">
        <v>2555.35</v>
      </c>
      <c r="AA64" s="89">
        <v>1240</v>
      </c>
    </row>
    <row r="65" spans="2:29" s="24" customFormat="1" x14ac:dyDescent="0.2">
      <c r="B65" s="25">
        <v>8</v>
      </c>
      <c r="C65" s="89"/>
      <c r="D65" s="89"/>
      <c r="E65" s="89"/>
      <c r="F65" s="89"/>
      <c r="G65" s="89"/>
      <c r="H65" s="89"/>
      <c r="I65" s="89"/>
      <c r="J65" s="89"/>
      <c r="K65" s="89"/>
      <c r="L65" s="89"/>
      <c r="M65" s="89"/>
      <c r="N65" s="89">
        <v>2031</v>
      </c>
      <c r="O65" s="89">
        <v>4425</v>
      </c>
      <c r="P65" s="89">
        <v>5432</v>
      </c>
      <c r="Q65" s="89">
        <v>18573</v>
      </c>
      <c r="R65" s="89">
        <v>32607</v>
      </c>
      <c r="S65" s="89">
        <v>9161</v>
      </c>
      <c r="T65" s="89">
        <v>3801</v>
      </c>
      <c r="U65" s="89">
        <v>1632</v>
      </c>
      <c r="V65" s="89">
        <v>1257</v>
      </c>
      <c r="W65" s="89">
        <v>640</v>
      </c>
      <c r="X65" s="89">
        <v>1517</v>
      </c>
      <c r="Y65" s="89">
        <v>1166</v>
      </c>
      <c r="Z65" s="89">
        <v>2439.98</v>
      </c>
      <c r="AA65" s="89">
        <v>1813</v>
      </c>
    </row>
    <row r="66" spans="2:29" s="24" customFormat="1" x14ac:dyDescent="0.2">
      <c r="B66" s="25">
        <v>9</v>
      </c>
      <c r="C66" s="89"/>
      <c r="D66" s="89"/>
      <c r="E66" s="89"/>
      <c r="F66" s="89"/>
      <c r="G66" s="89"/>
      <c r="H66" s="89"/>
      <c r="I66" s="89"/>
      <c r="J66" s="89"/>
      <c r="K66" s="89"/>
      <c r="L66" s="89"/>
      <c r="M66" s="89"/>
      <c r="N66" s="89">
        <v>782</v>
      </c>
      <c r="O66" s="89">
        <v>2402</v>
      </c>
      <c r="P66" s="89">
        <v>2219</v>
      </c>
      <c r="Q66" s="89">
        <v>6027</v>
      </c>
      <c r="R66" s="89">
        <v>18183</v>
      </c>
      <c r="S66" s="89">
        <v>34303</v>
      </c>
      <c r="T66" s="89">
        <v>7480</v>
      </c>
      <c r="U66" s="89">
        <v>4467</v>
      </c>
      <c r="V66" s="89">
        <v>2505</v>
      </c>
      <c r="W66" s="89">
        <v>1358</v>
      </c>
      <c r="X66" s="89">
        <v>1319</v>
      </c>
      <c r="Y66" s="89">
        <v>1616</v>
      </c>
      <c r="Z66" s="89">
        <v>3665.49</v>
      </c>
      <c r="AA66" s="89">
        <v>1579</v>
      </c>
    </row>
    <row r="67" spans="2:29" s="24" customFormat="1" x14ac:dyDescent="0.2">
      <c r="B67" s="100" t="s">
        <v>48</v>
      </c>
      <c r="C67" s="89"/>
      <c r="D67" s="89"/>
      <c r="E67" s="89"/>
      <c r="F67" s="89"/>
      <c r="G67" s="89"/>
      <c r="H67" s="89"/>
      <c r="I67" s="89"/>
      <c r="J67" s="89"/>
      <c r="K67" s="89"/>
      <c r="L67" s="89"/>
      <c r="M67" s="89"/>
      <c r="N67" s="89">
        <v>4503</v>
      </c>
      <c r="O67" s="89">
        <v>5898</v>
      </c>
      <c r="P67" s="89">
        <v>8385</v>
      </c>
      <c r="Q67" s="89">
        <v>10349</v>
      </c>
      <c r="R67" s="89">
        <v>20815</v>
      </c>
      <c r="S67" s="89">
        <v>25566</v>
      </c>
      <c r="T67" s="89">
        <v>52984</v>
      </c>
      <c r="U67" s="89">
        <v>60727</v>
      </c>
      <c r="V67" s="89">
        <v>72771</v>
      </c>
      <c r="W67" s="89">
        <v>83502</v>
      </c>
      <c r="X67" s="89">
        <v>77316</v>
      </c>
      <c r="Y67" s="89">
        <v>69839</v>
      </c>
      <c r="Z67" s="89">
        <v>55919.94</v>
      </c>
      <c r="AA67" s="89">
        <v>75770</v>
      </c>
    </row>
    <row r="68" spans="2:29" s="24" customFormat="1" x14ac:dyDescent="0.2">
      <c r="B68" s="101" t="s">
        <v>7</v>
      </c>
      <c r="C68" s="30">
        <v>12772</v>
      </c>
      <c r="D68" s="30">
        <v>15035</v>
      </c>
      <c r="E68" s="30">
        <v>19286</v>
      </c>
      <c r="F68" s="30">
        <v>13619</v>
      </c>
      <c r="G68" s="30">
        <v>22559</v>
      </c>
      <c r="H68" s="30">
        <v>24340</v>
      </c>
      <c r="I68" s="30">
        <v>45944</v>
      </c>
      <c r="J68" s="30">
        <v>106270</v>
      </c>
      <c r="K68" s="30">
        <v>112874</v>
      </c>
      <c r="L68" s="30">
        <v>137019</v>
      </c>
      <c r="M68" s="30">
        <v>122504</v>
      </c>
      <c r="N68" s="30">
        <v>98082</v>
      </c>
      <c r="O68" s="30">
        <v>108867</v>
      </c>
      <c r="P68" s="30">
        <v>109466</v>
      </c>
      <c r="Q68" s="30">
        <v>95885</v>
      </c>
      <c r="R68" s="30">
        <v>98301</v>
      </c>
      <c r="S68" s="30">
        <v>81310</v>
      </c>
      <c r="T68" s="30">
        <v>75916</v>
      </c>
      <c r="U68" s="30">
        <v>77602</v>
      </c>
      <c r="V68" s="30">
        <v>90053</v>
      </c>
      <c r="W68" s="30">
        <v>98907</v>
      </c>
      <c r="X68" s="30">
        <v>109251</v>
      </c>
      <c r="Y68" s="30">
        <v>88054</v>
      </c>
      <c r="Z68" s="30">
        <v>73979</v>
      </c>
      <c r="AA68" s="30">
        <v>86434</v>
      </c>
      <c r="AC68" s="115"/>
    </row>
    <row r="69" spans="2:29" s="24" customFormat="1" x14ac:dyDescent="0.2">
      <c r="B69" s="102" t="s">
        <v>13</v>
      </c>
      <c r="C69" s="89"/>
      <c r="D69" s="89"/>
      <c r="E69" s="89"/>
      <c r="F69" s="89"/>
      <c r="G69" s="89"/>
      <c r="H69" s="89"/>
      <c r="I69" s="89"/>
      <c r="J69" s="89"/>
      <c r="K69" s="103"/>
      <c r="L69" s="89"/>
      <c r="M69" s="89"/>
      <c r="N69" s="89"/>
      <c r="O69" s="89"/>
      <c r="P69" s="89"/>
      <c r="Q69" s="89"/>
      <c r="R69" s="79"/>
      <c r="S69" s="79"/>
      <c r="T69" s="79"/>
      <c r="U69" s="79"/>
      <c r="V69" s="79"/>
      <c r="W69" s="79"/>
      <c r="X69" s="79"/>
      <c r="Y69" s="79"/>
      <c r="Z69" s="79"/>
    </row>
    <row r="70" spans="2:29" s="24" customFormat="1" x14ac:dyDescent="0.2">
      <c r="B70" s="102"/>
      <c r="C70" s="89"/>
      <c r="D70" s="89"/>
      <c r="E70" s="89"/>
      <c r="F70" s="89"/>
      <c r="G70" s="89"/>
      <c r="H70" s="89"/>
      <c r="I70" s="89"/>
      <c r="J70" s="89"/>
      <c r="K70" s="89"/>
      <c r="L70" s="89"/>
      <c r="M70" s="89"/>
      <c r="N70" s="89"/>
      <c r="O70" s="89"/>
      <c r="P70" s="89"/>
      <c r="Q70" s="89"/>
      <c r="R70" s="79"/>
      <c r="S70" s="79"/>
      <c r="T70" s="79"/>
      <c r="U70" s="79"/>
      <c r="V70" s="79"/>
      <c r="W70" s="79"/>
      <c r="X70" s="79"/>
      <c r="Y70" s="79"/>
      <c r="Z70" s="79"/>
    </row>
    <row r="71" spans="2:29" s="24" customFormat="1" x14ac:dyDescent="0.2">
      <c r="B71" s="86" t="s">
        <v>14</v>
      </c>
      <c r="C71" s="87"/>
      <c r="D71" s="87"/>
      <c r="E71" s="87"/>
      <c r="F71" s="87"/>
      <c r="G71" s="87"/>
      <c r="H71" s="87"/>
      <c r="I71" s="87"/>
      <c r="J71" s="87"/>
      <c r="K71" s="87"/>
      <c r="L71" s="87"/>
      <c r="M71" s="87"/>
      <c r="N71" s="87"/>
      <c r="O71" s="87"/>
      <c r="P71" s="89"/>
      <c r="Q71" s="89"/>
      <c r="R71" s="79"/>
      <c r="S71" s="79"/>
      <c r="T71" s="79"/>
      <c r="U71" s="79"/>
      <c r="V71" s="79"/>
      <c r="W71" s="79"/>
      <c r="X71" s="79"/>
      <c r="Y71" s="79"/>
      <c r="Z71" s="79"/>
    </row>
    <row r="72" spans="2:29" s="24" customFormat="1" x14ac:dyDescent="0.2">
      <c r="B72" s="88" t="s">
        <v>6</v>
      </c>
      <c r="C72" s="31">
        <v>1995</v>
      </c>
      <c r="D72" s="31">
        <v>1996</v>
      </c>
      <c r="E72" s="31">
        <v>1997</v>
      </c>
      <c r="F72" s="31">
        <v>1998</v>
      </c>
      <c r="G72" s="31">
        <v>1999</v>
      </c>
      <c r="H72" s="31">
        <v>2000</v>
      </c>
      <c r="I72" s="31">
        <v>2001</v>
      </c>
      <c r="J72" s="31">
        <v>2002</v>
      </c>
      <c r="K72" s="31">
        <v>2003</v>
      </c>
      <c r="L72" s="31">
        <v>2004</v>
      </c>
      <c r="M72" s="31">
        <v>2005</v>
      </c>
      <c r="N72" s="31">
        <v>2006</v>
      </c>
      <c r="O72" s="31">
        <v>2007</v>
      </c>
      <c r="P72" s="31">
        <v>2008</v>
      </c>
      <c r="Q72" s="31">
        <v>2009</v>
      </c>
      <c r="R72" s="31">
        <v>2010</v>
      </c>
      <c r="S72" s="31">
        <v>2011</v>
      </c>
      <c r="T72" s="31">
        <v>2012</v>
      </c>
      <c r="U72" s="31">
        <v>2013</v>
      </c>
      <c r="V72" s="31">
        <v>2014</v>
      </c>
      <c r="W72" s="31">
        <v>2015</v>
      </c>
      <c r="X72" s="31">
        <v>2016</v>
      </c>
      <c r="Y72" s="31">
        <v>2017</v>
      </c>
      <c r="Z72" s="31">
        <v>2018</v>
      </c>
      <c r="AA72" s="31">
        <v>2019</v>
      </c>
    </row>
    <row r="73" spans="2:29" s="24" customFormat="1" x14ac:dyDescent="0.2">
      <c r="B73" s="26"/>
      <c r="C73" s="89"/>
      <c r="D73" s="89"/>
      <c r="E73" s="89"/>
      <c r="F73" s="89"/>
      <c r="G73" s="89"/>
      <c r="H73" s="89"/>
      <c r="I73" s="89"/>
      <c r="J73" s="89"/>
      <c r="K73" s="89"/>
      <c r="L73" s="89"/>
      <c r="M73" s="89"/>
      <c r="N73" s="99"/>
      <c r="O73" s="99"/>
      <c r="P73" s="99"/>
      <c r="Q73" s="99"/>
      <c r="R73" s="99"/>
      <c r="S73" s="99"/>
      <c r="T73" s="99"/>
      <c r="U73" s="99"/>
      <c r="V73" s="99"/>
      <c r="W73" s="99"/>
      <c r="X73" s="99"/>
      <c r="Y73" s="99"/>
      <c r="Z73" s="99"/>
      <c r="AA73" s="99"/>
    </row>
    <row r="74" spans="2:29" s="24" customFormat="1" x14ac:dyDescent="0.2">
      <c r="B74" s="25">
        <v>2</v>
      </c>
      <c r="C74" s="89">
        <v>225</v>
      </c>
      <c r="D74" s="89">
        <v>179</v>
      </c>
      <c r="E74" s="89">
        <v>132</v>
      </c>
      <c r="F74" s="89">
        <v>74</v>
      </c>
      <c r="G74" s="89">
        <v>121</v>
      </c>
      <c r="H74" s="89">
        <v>233</v>
      </c>
      <c r="I74" s="89">
        <v>701</v>
      </c>
      <c r="J74" s="89">
        <v>1267</v>
      </c>
      <c r="K74" s="89">
        <v>987</v>
      </c>
      <c r="L74" s="89">
        <v>1014</v>
      </c>
      <c r="M74" s="89">
        <v>362</v>
      </c>
      <c r="N74" s="89">
        <v>100</v>
      </c>
      <c r="O74" s="89">
        <v>79</v>
      </c>
      <c r="P74" s="89">
        <v>80</v>
      </c>
      <c r="Q74" s="89">
        <v>36</v>
      </c>
      <c r="R74" s="89">
        <v>22</v>
      </c>
      <c r="S74" s="89">
        <v>17</v>
      </c>
      <c r="T74" s="89">
        <v>28</v>
      </c>
      <c r="U74" s="89">
        <v>33</v>
      </c>
      <c r="V74" s="89">
        <v>66</v>
      </c>
      <c r="W74" s="89">
        <v>56</v>
      </c>
      <c r="X74" s="89">
        <v>102</v>
      </c>
      <c r="Y74" s="89">
        <v>30</v>
      </c>
      <c r="Z74" s="89">
        <v>10</v>
      </c>
      <c r="AA74" s="89">
        <v>11</v>
      </c>
    </row>
    <row r="75" spans="2:29" s="24" customFormat="1" x14ac:dyDescent="0.2">
      <c r="B75" s="25">
        <v>3</v>
      </c>
      <c r="C75" s="89">
        <v>537</v>
      </c>
      <c r="D75" s="89">
        <v>212</v>
      </c>
      <c r="E75" s="89">
        <v>315</v>
      </c>
      <c r="F75" s="89">
        <v>119</v>
      </c>
      <c r="G75" s="89">
        <v>212</v>
      </c>
      <c r="H75" s="89">
        <v>752</v>
      </c>
      <c r="I75" s="89">
        <v>368</v>
      </c>
      <c r="J75" s="89">
        <v>775</v>
      </c>
      <c r="K75" s="89">
        <v>607</v>
      </c>
      <c r="L75" s="89">
        <v>825</v>
      </c>
      <c r="M75" s="89">
        <v>1067</v>
      </c>
      <c r="N75" s="89">
        <v>215</v>
      </c>
      <c r="O75" s="89">
        <v>161</v>
      </c>
      <c r="P75" s="89">
        <v>105</v>
      </c>
      <c r="Q75" s="89">
        <v>72</v>
      </c>
      <c r="R75" s="89">
        <v>44</v>
      </c>
      <c r="S75" s="89">
        <v>20</v>
      </c>
      <c r="T75" s="89">
        <v>21</v>
      </c>
      <c r="U75" s="89">
        <v>19</v>
      </c>
      <c r="V75" s="89">
        <v>57</v>
      </c>
      <c r="W75" s="89">
        <v>55</v>
      </c>
      <c r="X75" s="89">
        <v>129</v>
      </c>
      <c r="Y75" s="89">
        <v>32</v>
      </c>
      <c r="Z75" s="89">
        <v>17</v>
      </c>
      <c r="AA75" s="89">
        <v>21</v>
      </c>
    </row>
    <row r="76" spans="2:29" s="24" customFormat="1" x14ac:dyDescent="0.2">
      <c r="B76" s="25">
        <v>4</v>
      </c>
      <c r="C76" s="89">
        <v>560</v>
      </c>
      <c r="D76" s="89">
        <v>465</v>
      </c>
      <c r="E76" s="89">
        <v>793</v>
      </c>
      <c r="F76" s="89">
        <v>439</v>
      </c>
      <c r="G76" s="89">
        <v>645</v>
      </c>
      <c r="H76" s="89">
        <v>887</v>
      </c>
      <c r="I76" s="89">
        <v>711</v>
      </c>
      <c r="J76" s="89">
        <v>353</v>
      </c>
      <c r="K76" s="89">
        <v>696</v>
      </c>
      <c r="L76" s="89">
        <v>606</v>
      </c>
      <c r="M76" s="89">
        <v>1011</v>
      </c>
      <c r="N76" s="89">
        <v>1701</v>
      </c>
      <c r="O76" s="89">
        <v>605</v>
      </c>
      <c r="P76" s="89">
        <v>538</v>
      </c>
      <c r="Q76" s="89">
        <v>121</v>
      </c>
      <c r="R76" s="89">
        <v>66</v>
      </c>
      <c r="S76" s="89">
        <v>23</v>
      </c>
      <c r="T76" s="89">
        <v>23</v>
      </c>
      <c r="U76" s="89">
        <v>21</v>
      </c>
      <c r="V76" s="89">
        <v>31</v>
      </c>
      <c r="W76" s="89">
        <v>49</v>
      </c>
      <c r="X76" s="89">
        <v>160</v>
      </c>
      <c r="Y76" s="89">
        <v>108</v>
      </c>
      <c r="Z76" s="89">
        <v>34</v>
      </c>
      <c r="AA76" s="89">
        <v>23</v>
      </c>
    </row>
    <row r="77" spans="2:29" s="24" customFormat="1" x14ac:dyDescent="0.2">
      <c r="B77" s="25">
        <v>5</v>
      </c>
      <c r="C77" s="89">
        <v>394</v>
      </c>
      <c r="D77" s="89">
        <v>984</v>
      </c>
      <c r="E77" s="89">
        <v>1322</v>
      </c>
      <c r="F77" s="89">
        <v>1506</v>
      </c>
      <c r="G77" s="89">
        <v>2285</v>
      </c>
      <c r="H77" s="89">
        <v>1455</v>
      </c>
      <c r="I77" s="89">
        <v>1690</v>
      </c>
      <c r="J77" s="89">
        <v>2302</v>
      </c>
      <c r="K77" s="89">
        <v>2660</v>
      </c>
      <c r="L77" s="89">
        <v>2747</v>
      </c>
      <c r="M77" s="89">
        <v>2915</v>
      </c>
      <c r="N77" s="89">
        <v>814</v>
      </c>
      <c r="O77" s="89">
        <v>1610</v>
      </c>
      <c r="P77" s="89">
        <v>1091</v>
      </c>
      <c r="Q77" s="89">
        <v>241</v>
      </c>
      <c r="R77" s="89">
        <v>147</v>
      </c>
      <c r="S77" s="89">
        <v>51</v>
      </c>
      <c r="T77" s="89">
        <v>41</v>
      </c>
      <c r="U77" s="89">
        <v>56</v>
      </c>
      <c r="V77" s="89">
        <v>19</v>
      </c>
      <c r="W77" s="89">
        <v>37</v>
      </c>
      <c r="X77" s="89">
        <v>75</v>
      </c>
      <c r="Y77" s="89">
        <v>60</v>
      </c>
      <c r="Z77" s="89">
        <v>54</v>
      </c>
      <c r="AA77" s="89">
        <v>25</v>
      </c>
    </row>
    <row r="78" spans="2:29" s="24" customFormat="1" x14ac:dyDescent="0.2">
      <c r="B78" s="25">
        <v>6</v>
      </c>
      <c r="C78" s="89"/>
      <c r="D78" s="89"/>
      <c r="E78" s="89"/>
      <c r="F78" s="89"/>
      <c r="G78" s="89"/>
      <c r="H78" s="89"/>
      <c r="I78" s="89"/>
      <c r="J78" s="89"/>
      <c r="K78" s="89"/>
      <c r="L78" s="89"/>
      <c r="M78" s="89"/>
      <c r="N78" s="89">
        <v>229</v>
      </c>
      <c r="O78" s="89">
        <v>982</v>
      </c>
      <c r="P78" s="89">
        <v>1086</v>
      </c>
      <c r="Q78" s="89">
        <v>404</v>
      </c>
      <c r="R78" s="89">
        <v>229</v>
      </c>
      <c r="S78" s="89">
        <v>80</v>
      </c>
      <c r="T78" s="89">
        <v>107</v>
      </c>
      <c r="U78" s="89">
        <v>83</v>
      </c>
      <c r="V78" s="89">
        <v>27</v>
      </c>
      <c r="W78" s="89">
        <v>21</v>
      </c>
      <c r="X78" s="89">
        <v>60</v>
      </c>
      <c r="Y78" s="89">
        <v>39</v>
      </c>
      <c r="Z78" s="89">
        <v>81</v>
      </c>
      <c r="AA78" s="89">
        <v>33</v>
      </c>
    </row>
    <row r="79" spans="2:29" s="24" customFormat="1" x14ac:dyDescent="0.2">
      <c r="B79" s="25">
        <v>7</v>
      </c>
      <c r="C79" s="89"/>
      <c r="D79" s="89"/>
      <c r="E79" s="89"/>
      <c r="F79" s="89"/>
      <c r="G79" s="89"/>
      <c r="H79" s="89"/>
      <c r="I79" s="89"/>
      <c r="J79" s="89"/>
      <c r="K79" s="89"/>
      <c r="L79" s="89"/>
      <c r="M79" s="89"/>
      <c r="N79" s="89">
        <v>441</v>
      </c>
      <c r="O79" s="89">
        <v>716</v>
      </c>
      <c r="P79" s="89">
        <v>1041</v>
      </c>
      <c r="Q79" s="89">
        <v>1872</v>
      </c>
      <c r="R79" s="89">
        <v>442</v>
      </c>
      <c r="S79" s="89">
        <v>178</v>
      </c>
      <c r="T79" s="89">
        <v>107</v>
      </c>
      <c r="U79" s="89">
        <v>65</v>
      </c>
      <c r="V79" s="89">
        <v>37</v>
      </c>
      <c r="W79" s="89">
        <v>18</v>
      </c>
      <c r="X79" s="89">
        <v>47</v>
      </c>
      <c r="Y79" s="89">
        <v>62</v>
      </c>
      <c r="Z79" s="89">
        <v>101</v>
      </c>
      <c r="AA79" s="89">
        <v>40</v>
      </c>
    </row>
    <row r="80" spans="2:29" s="24" customFormat="1" x14ac:dyDescent="0.2">
      <c r="B80" s="25">
        <v>8</v>
      </c>
      <c r="C80" s="89"/>
      <c r="D80" s="89"/>
      <c r="E80" s="89"/>
      <c r="F80" s="89"/>
      <c r="G80" s="89"/>
      <c r="H80" s="89"/>
      <c r="I80" s="89"/>
      <c r="J80" s="89"/>
      <c r="K80" s="89"/>
      <c r="L80" s="89"/>
      <c r="M80" s="89"/>
      <c r="N80" s="89">
        <v>340</v>
      </c>
      <c r="O80" s="89">
        <v>652</v>
      </c>
      <c r="P80" s="89">
        <v>670</v>
      </c>
      <c r="Q80" s="89">
        <v>1644</v>
      </c>
      <c r="R80" s="89">
        <v>2099</v>
      </c>
      <c r="S80" s="89">
        <v>508</v>
      </c>
      <c r="T80" s="89">
        <v>197</v>
      </c>
      <c r="U80" s="89">
        <v>80</v>
      </c>
      <c r="V80" s="89">
        <v>61</v>
      </c>
      <c r="W80" s="89">
        <v>29</v>
      </c>
      <c r="X80" s="89">
        <v>70</v>
      </c>
      <c r="Y80" s="89">
        <v>51</v>
      </c>
      <c r="Z80" s="89">
        <v>139</v>
      </c>
      <c r="AA80" s="89">
        <v>66</v>
      </c>
    </row>
    <row r="81" spans="1:27" s="24" customFormat="1" x14ac:dyDescent="0.2">
      <c r="B81" s="25">
        <v>9</v>
      </c>
      <c r="C81" s="89"/>
      <c r="D81" s="89"/>
      <c r="E81" s="89"/>
      <c r="F81" s="89"/>
      <c r="G81" s="89"/>
      <c r="H81" s="89"/>
      <c r="I81" s="89"/>
      <c r="J81" s="89"/>
      <c r="K81" s="89"/>
      <c r="L81" s="89"/>
      <c r="M81" s="89"/>
      <c r="N81" s="89">
        <v>149</v>
      </c>
      <c r="O81" s="89">
        <v>437</v>
      </c>
      <c r="P81" s="89">
        <v>346</v>
      </c>
      <c r="Q81" s="89">
        <v>755</v>
      </c>
      <c r="R81" s="89">
        <v>1669</v>
      </c>
      <c r="S81" s="89">
        <v>2463</v>
      </c>
      <c r="T81" s="89">
        <v>496</v>
      </c>
      <c r="U81" s="89">
        <v>258</v>
      </c>
      <c r="V81" s="89">
        <v>126</v>
      </c>
      <c r="W81" s="89">
        <v>72</v>
      </c>
      <c r="X81" s="89">
        <v>72</v>
      </c>
      <c r="Y81" s="89">
        <v>102</v>
      </c>
      <c r="Z81" s="89">
        <v>257</v>
      </c>
      <c r="AA81" s="89">
        <v>80</v>
      </c>
    </row>
    <row r="82" spans="1:27" s="24" customFormat="1" x14ac:dyDescent="0.2">
      <c r="B82" s="100" t="s">
        <v>48</v>
      </c>
      <c r="C82" s="89"/>
      <c r="D82" s="89"/>
      <c r="E82" s="89"/>
      <c r="F82" s="89"/>
      <c r="G82" s="89"/>
      <c r="H82" s="89"/>
      <c r="I82" s="89"/>
      <c r="J82" s="89"/>
      <c r="K82" s="89"/>
      <c r="L82" s="89"/>
      <c r="M82" s="89"/>
      <c r="N82" s="89">
        <v>1363</v>
      </c>
      <c r="O82" s="89">
        <v>1776</v>
      </c>
      <c r="P82" s="89">
        <v>2243</v>
      </c>
      <c r="Q82" s="89">
        <v>2533</v>
      </c>
      <c r="R82" s="89">
        <v>4288</v>
      </c>
      <c r="S82" s="89">
        <v>4582</v>
      </c>
      <c r="T82" s="89">
        <v>6820</v>
      </c>
      <c r="U82" s="89">
        <v>7619</v>
      </c>
      <c r="V82" s="89">
        <v>10266</v>
      </c>
      <c r="W82" s="89">
        <v>12027</v>
      </c>
      <c r="X82" s="89">
        <v>10853</v>
      </c>
      <c r="Y82" s="89">
        <v>10578</v>
      </c>
      <c r="Z82" s="89">
        <v>9203</v>
      </c>
      <c r="AA82" s="89">
        <v>12326</v>
      </c>
    </row>
    <row r="83" spans="1:27" s="24" customFormat="1" x14ac:dyDescent="0.2">
      <c r="B83" s="101" t="s">
        <v>7</v>
      </c>
      <c r="C83" s="30">
        <v>1716</v>
      </c>
      <c r="D83" s="30">
        <v>1841</v>
      </c>
      <c r="E83" s="30">
        <v>2561</v>
      </c>
      <c r="F83" s="30">
        <v>2138</v>
      </c>
      <c r="G83" s="30">
        <v>3264</v>
      </c>
      <c r="H83" s="30">
        <v>3327</v>
      </c>
      <c r="I83" s="30">
        <v>3470</v>
      </c>
      <c r="J83" s="30">
        <v>4696</v>
      </c>
      <c r="K83" s="30">
        <v>4950</v>
      </c>
      <c r="L83" s="30">
        <v>5192</v>
      </c>
      <c r="M83" s="30">
        <v>5355</v>
      </c>
      <c r="N83" s="30">
        <v>5352</v>
      </c>
      <c r="O83" s="30">
        <v>7018</v>
      </c>
      <c r="P83" s="30">
        <v>7200</v>
      </c>
      <c r="Q83" s="30">
        <v>7678</v>
      </c>
      <c r="R83" s="30">
        <v>9006</v>
      </c>
      <c r="S83" s="30">
        <v>7921</v>
      </c>
      <c r="T83" s="30">
        <v>7840</v>
      </c>
      <c r="U83" s="30">
        <v>8232</v>
      </c>
      <c r="V83" s="30">
        <v>10690</v>
      </c>
      <c r="W83" s="30">
        <v>12364</v>
      </c>
      <c r="X83" s="30">
        <v>11568</v>
      </c>
      <c r="Y83" s="30">
        <v>11062</v>
      </c>
      <c r="Z83" s="30">
        <v>9897</v>
      </c>
      <c r="AA83" s="30">
        <v>12625</v>
      </c>
    </row>
    <row r="84" spans="1:27" s="24" customFormat="1" x14ac:dyDescent="0.2">
      <c r="B84" s="104"/>
      <c r="C84" s="89"/>
      <c r="D84" s="89"/>
      <c r="E84" s="89"/>
      <c r="F84" s="89"/>
      <c r="G84" s="89"/>
      <c r="H84" s="89"/>
      <c r="I84" s="89"/>
      <c r="J84" s="89"/>
      <c r="K84" s="89"/>
      <c r="L84" s="89"/>
      <c r="M84" s="89"/>
      <c r="N84" s="89"/>
      <c r="O84" s="89"/>
      <c r="P84" s="89"/>
      <c r="Q84" s="89"/>
      <c r="R84" s="89"/>
      <c r="S84" s="89"/>
      <c r="T84" s="89"/>
      <c r="U84" s="89"/>
      <c r="V84" s="89"/>
      <c r="W84" s="89"/>
      <c r="X84" s="89"/>
      <c r="Y84" s="79"/>
      <c r="Z84" s="79"/>
    </row>
    <row r="85" spans="1:27" s="24" customFormat="1" x14ac:dyDescent="0.2">
      <c r="B85" s="86" t="s">
        <v>15</v>
      </c>
      <c r="C85" s="87"/>
      <c r="D85" s="87"/>
      <c r="E85" s="87"/>
      <c r="F85" s="87"/>
      <c r="G85" s="87"/>
      <c r="H85" s="87"/>
      <c r="I85" s="87"/>
      <c r="J85" s="87"/>
      <c r="K85" s="87"/>
      <c r="L85" s="87"/>
      <c r="M85" s="87"/>
      <c r="N85" s="87"/>
      <c r="O85" s="87"/>
      <c r="P85" s="87"/>
      <c r="Q85" s="87"/>
      <c r="R85" s="79"/>
      <c r="S85" s="79"/>
      <c r="T85" s="79"/>
      <c r="U85" s="79"/>
      <c r="V85" s="79"/>
      <c r="W85" s="79"/>
      <c r="X85" s="79"/>
      <c r="Y85" s="79"/>
      <c r="Z85" s="79"/>
    </row>
    <row r="86" spans="1:27" s="24" customFormat="1" x14ac:dyDescent="0.2">
      <c r="B86" s="88" t="s">
        <v>6</v>
      </c>
      <c r="C86" s="31">
        <v>1996</v>
      </c>
      <c r="D86" s="31">
        <v>1997</v>
      </c>
      <c r="E86" s="31">
        <v>1998</v>
      </c>
      <c r="F86" s="31">
        <v>1999</v>
      </c>
      <c r="G86" s="31">
        <v>2000</v>
      </c>
      <c r="H86" s="31">
        <v>2001</v>
      </c>
      <c r="I86" s="31">
        <v>2002</v>
      </c>
      <c r="J86" s="31">
        <v>2003</v>
      </c>
      <c r="K86" s="31">
        <v>2004</v>
      </c>
      <c r="L86" s="31">
        <v>2005</v>
      </c>
      <c r="M86" s="31">
        <v>2006</v>
      </c>
      <c r="N86" s="31">
        <v>2007</v>
      </c>
      <c r="O86" s="31">
        <v>2008</v>
      </c>
      <c r="P86" s="31">
        <v>2009</v>
      </c>
      <c r="Q86" s="31">
        <v>2010</v>
      </c>
      <c r="R86" s="31">
        <v>2011</v>
      </c>
      <c r="S86" s="31">
        <v>2012</v>
      </c>
      <c r="T86" s="31">
        <v>2013</v>
      </c>
      <c r="U86" s="31">
        <v>2014</v>
      </c>
      <c r="V86" s="31">
        <v>2015</v>
      </c>
      <c r="W86" s="31">
        <v>2016</v>
      </c>
      <c r="X86" s="31">
        <v>2017</v>
      </c>
      <c r="Y86" s="31">
        <v>2018</v>
      </c>
      <c r="Z86" s="31">
        <v>2019</v>
      </c>
      <c r="AA86" s="31">
        <v>2020</v>
      </c>
    </row>
    <row r="87" spans="1:27" s="24" customFormat="1" x14ac:dyDescent="0.2">
      <c r="A87" s="28"/>
      <c r="B87" s="26"/>
      <c r="C87" s="89"/>
      <c r="D87" s="89"/>
      <c r="E87" s="89"/>
      <c r="F87" s="89"/>
      <c r="G87" s="89"/>
      <c r="H87" s="89"/>
      <c r="I87" s="89"/>
      <c r="J87" s="89"/>
      <c r="K87" s="89"/>
      <c r="L87" s="94"/>
      <c r="M87" s="94"/>
      <c r="N87" s="87"/>
      <c r="O87" s="87"/>
      <c r="P87" s="87"/>
      <c r="Q87" s="87"/>
      <c r="R87" s="87"/>
      <c r="S87" s="87"/>
      <c r="T87" s="87"/>
      <c r="U87" s="87"/>
      <c r="V87" s="87"/>
      <c r="W87" s="87"/>
      <c r="X87" s="87"/>
      <c r="Y87" s="87"/>
      <c r="Z87" s="87"/>
      <c r="AA87" s="99"/>
    </row>
    <row r="88" spans="1:27" s="24" customFormat="1" x14ac:dyDescent="0.2">
      <c r="A88" s="29"/>
      <c r="B88" s="25">
        <v>2</v>
      </c>
      <c r="C88" s="89">
        <v>4157</v>
      </c>
      <c r="D88" s="89">
        <v>4240</v>
      </c>
      <c r="E88" s="89">
        <v>3126</v>
      </c>
      <c r="F88" s="89">
        <v>2239</v>
      </c>
      <c r="G88" s="89">
        <v>4497</v>
      </c>
      <c r="H88" s="89">
        <v>6872</v>
      </c>
      <c r="I88" s="89">
        <v>29995</v>
      </c>
      <c r="J88" s="89">
        <v>66884</v>
      </c>
      <c r="K88" s="89">
        <v>61382</v>
      </c>
      <c r="L88" s="89">
        <v>66536</v>
      </c>
      <c r="M88" s="89">
        <v>21003</v>
      </c>
      <c r="N88" s="89">
        <v>7231</v>
      </c>
      <c r="O88" s="89">
        <v>5941</v>
      </c>
      <c r="P88" s="89">
        <v>4996</v>
      </c>
      <c r="Q88" s="89">
        <v>2405</v>
      </c>
      <c r="R88" s="89">
        <v>1568</v>
      </c>
      <c r="S88" s="89">
        <v>1355</v>
      </c>
      <c r="T88" s="89">
        <v>2852</v>
      </c>
      <c r="U88" s="89">
        <v>3263</v>
      </c>
      <c r="V88" s="89">
        <v>5905</v>
      </c>
      <c r="W88" s="89">
        <v>4874</v>
      </c>
      <c r="X88" s="89">
        <v>7417</v>
      </c>
      <c r="Y88" s="89">
        <v>2558</v>
      </c>
      <c r="Z88" s="89">
        <v>1293</v>
      </c>
      <c r="AA88" s="89">
        <v>1231.424</v>
      </c>
    </row>
    <row r="89" spans="1:27" s="24" customFormat="1" x14ac:dyDescent="0.2">
      <c r="B89" s="25">
        <v>3</v>
      </c>
      <c r="C89" s="89">
        <v>4021</v>
      </c>
      <c r="D89" s="89">
        <v>2755</v>
      </c>
      <c r="E89" s="89">
        <v>3796</v>
      </c>
      <c r="F89" s="89">
        <v>1611</v>
      </c>
      <c r="G89" s="89">
        <v>2968</v>
      </c>
      <c r="H89" s="89">
        <v>6987</v>
      </c>
      <c r="I89" s="89">
        <v>3785</v>
      </c>
      <c r="J89" s="89">
        <v>20689</v>
      </c>
      <c r="K89" s="89">
        <v>21445</v>
      </c>
      <c r="L89" s="89">
        <v>31292</v>
      </c>
      <c r="M89" s="89">
        <v>46242</v>
      </c>
      <c r="N89" s="89">
        <v>9108</v>
      </c>
      <c r="O89" s="89">
        <v>7737</v>
      </c>
      <c r="P89" s="89">
        <v>5076</v>
      </c>
      <c r="Q89" s="89">
        <v>3655</v>
      </c>
      <c r="R89" s="89">
        <v>2329</v>
      </c>
      <c r="S89" s="89">
        <v>1156</v>
      </c>
      <c r="T89" s="89">
        <v>1268</v>
      </c>
      <c r="U89" s="89">
        <v>1193</v>
      </c>
      <c r="V89" s="89">
        <v>3629</v>
      </c>
      <c r="W89" s="89">
        <v>3654</v>
      </c>
      <c r="X89" s="89">
        <v>8073</v>
      </c>
      <c r="Y89" s="89">
        <v>1925</v>
      </c>
      <c r="Z89" s="89">
        <v>1095</v>
      </c>
      <c r="AA89" s="89">
        <v>1383.17</v>
      </c>
    </row>
    <row r="90" spans="1:27" s="24" customFormat="1" x14ac:dyDescent="0.2">
      <c r="B90" s="25">
        <v>4</v>
      </c>
      <c r="C90" s="89">
        <v>2555</v>
      </c>
      <c r="D90" s="89">
        <v>3520</v>
      </c>
      <c r="E90" s="89">
        <v>6203</v>
      </c>
      <c r="F90" s="89">
        <v>3316</v>
      </c>
      <c r="G90" s="89">
        <v>4991</v>
      </c>
      <c r="H90" s="89">
        <v>5078</v>
      </c>
      <c r="I90" s="89">
        <v>4546</v>
      </c>
      <c r="J90" s="89">
        <v>3396</v>
      </c>
      <c r="K90" s="89">
        <v>13598</v>
      </c>
      <c r="L90" s="89">
        <v>15590</v>
      </c>
      <c r="M90" s="89">
        <v>29116</v>
      </c>
      <c r="N90" s="89">
        <v>50482</v>
      </c>
      <c r="O90" s="89">
        <v>21127</v>
      </c>
      <c r="P90" s="89">
        <v>15629</v>
      </c>
      <c r="Q90" s="89">
        <v>4982</v>
      </c>
      <c r="R90" s="89">
        <v>2479</v>
      </c>
      <c r="S90" s="89">
        <v>1053</v>
      </c>
      <c r="T90" s="89">
        <v>761</v>
      </c>
      <c r="U90" s="89">
        <v>866</v>
      </c>
      <c r="V90" s="89">
        <v>1347</v>
      </c>
      <c r="W90" s="89">
        <v>2212</v>
      </c>
      <c r="X90" s="89">
        <v>7224</v>
      </c>
      <c r="Y90" s="89">
        <v>5233</v>
      </c>
      <c r="Z90" s="89">
        <v>1944</v>
      </c>
      <c r="AA90" s="89">
        <v>1182.454</v>
      </c>
    </row>
    <row r="91" spans="1:27" s="24" customFormat="1" x14ac:dyDescent="0.2">
      <c r="B91" s="25">
        <v>5</v>
      </c>
      <c r="C91" s="89">
        <v>1257</v>
      </c>
      <c r="D91" s="89">
        <v>3796</v>
      </c>
      <c r="E91" s="89">
        <v>5315</v>
      </c>
      <c r="F91" s="89">
        <v>5853</v>
      </c>
      <c r="G91" s="89">
        <v>9213</v>
      </c>
      <c r="H91" s="89">
        <v>4427</v>
      </c>
      <c r="I91" s="89">
        <v>5838</v>
      </c>
      <c r="J91" s="89">
        <v>10592</v>
      </c>
      <c r="K91" s="89">
        <v>12419</v>
      </c>
      <c r="L91" s="89">
        <v>18415</v>
      </c>
      <c r="M91" s="89">
        <v>20888</v>
      </c>
      <c r="N91" s="89">
        <v>14229</v>
      </c>
      <c r="O91" s="89">
        <v>36362</v>
      </c>
      <c r="P91" s="89">
        <v>31047</v>
      </c>
      <c r="Q91" s="89">
        <v>6238</v>
      </c>
      <c r="R91" s="89">
        <v>4553</v>
      </c>
      <c r="S91" s="89">
        <v>1736</v>
      </c>
      <c r="T91" s="89">
        <v>1289</v>
      </c>
      <c r="U91" s="89">
        <v>1609</v>
      </c>
      <c r="V91" s="89">
        <v>632</v>
      </c>
      <c r="W91" s="89">
        <v>1307</v>
      </c>
      <c r="X91" s="89">
        <v>2720</v>
      </c>
      <c r="Y91" s="89">
        <v>2373</v>
      </c>
      <c r="Z91" s="89">
        <v>2422</v>
      </c>
      <c r="AA91" s="89">
        <v>1028.92</v>
      </c>
    </row>
    <row r="92" spans="1:27" s="24" customFormat="1" x14ac:dyDescent="0.2">
      <c r="B92" s="25">
        <v>6</v>
      </c>
      <c r="C92" s="89"/>
      <c r="D92" s="89"/>
      <c r="E92" s="89"/>
      <c r="F92" s="89"/>
      <c r="G92" s="89"/>
      <c r="H92" s="89"/>
      <c r="I92" s="89"/>
      <c r="J92" s="89"/>
      <c r="K92" s="89"/>
      <c r="L92" s="89"/>
      <c r="M92" s="89"/>
      <c r="N92" s="89">
        <v>2510</v>
      </c>
      <c r="O92" s="89">
        <v>14165</v>
      </c>
      <c r="P92" s="89">
        <v>21205</v>
      </c>
      <c r="Q92" s="89">
        <v>9544</v>
      </c>
      <c r="R92" s="89">
        <v>5985</v>
      </c>
      <c r="S92" s="89">
        <v>2307</v>
      </c>
      <c r="T92" s="89">
        <v>2730</v>
      </c>
      <c r="U92" s="89">
        <v>2028</v>
      </c>
      <c r="V92" s="89">
        <v>693</v>
      </c>
      <c r="W92" s="89">
        <v>552</v>
      </c>
      <c r="X92" s="89">
        <v>1694</v>
      </c>
      <c r="Y92" s="89">
        <v>1279</v>
      </c>
      <c r="Z92" s="89">
        <v>2387</v>
      </c>
      <c r="AA92" s="89">
        <v>1040.3779999999999</v>
      </c>
    </row>
    <row r="93" spans="1:27" s="24" customFormat="1" x14ac:dyDescent="0.2">
      <c r="B93" s="25">
        <v>7</v>
      </c>
      <c r="C93" s="89"/>
      <c r="D93" s="89"/>
      <c r="E93" s="89"/>
      <c r="F93" s="89"/>
      <c r="G93" s="89"/>
      <c r="H93" s="89"/>
      <c r="I93" s="89"/>
      <c r="J93" s="89"/>
      <c r="K93" s="89"/>
      <c r="L93" s="89"/>
      <c r="M93" s="89"/>
      <c r="N93" s="89">
        <v>3631</v>
      </c>
      <c r="O93" s="89">
        <v>7275</v>
      </c>
      <c r="P93" s="89">
        <v>11890</v>
      </c>
      <c r="Q93" s="89">
        <v>31980</v>
      </c>
      <c r="R93" s="89">
        <v>9005</v>
      </c>
      <c r="S93" s="89">
        <v>4266</v>
      </c>
      <c r="T93" s="89">
        <v>2415</v>
      </c>
      <c r="U93" s="89">
        <v>1513</v>
      </c>
      <c r="V93" s="89">
        <v>925</v>
      </c>
      <c r="W93" s="89">
        <v>436</v>
      </c>
      <c r="X93" s="89">
        <v>1160</v>
      </c>
      <c r="Y93" s="89">
        <v>1604</v>
      </c>
      <c r="Z93" s="89">
        <v>2485</v>
      </c>
      <c r="AA93" s="89">
        <v>1206.078</v>
      </c>
    </row>
    <row r="94" spans="1:27" s="24" customFormat="1" x14ac:dyDescent="0.2">
      <c r="B94" s="25">
        <v>8</v>
      </c>
      <c r="C94" s="89"/>
      <c r="D94" s="89"/>
      <c r="E94" s="89"/>
      <c r="F94" s="89"/>
      <c r="G94" s="89"/>
      <c r="H94" s="89"/>
      <c r="I94" s="89"/>
      <c r="J94" s="89"/>
      <c r="K94" s="89"/>
      <c r="L94" s="89"/>
      <c r="M94" s="89"/>
      <c r="N94" s="89">
        <v>1951</v>
      </c>
      <c r="O94" s="89">
        <v>4263</v>
      </c>
      <c r="P94" s="89">
        <v>5224</v>
      </c>
      <c r="Q94" s="89">
        <v>17923</v>
      </c>
      <c r="R94" s="89">
        <v>31658</v>
      </c>
      <c r="S94" s="89">
        <v>8858</v>
      </c>
      <c r="T94" s="89">
        <v>3691</v>
      </c>
      <c r="U94" s="89">
        <v>1586</v>
      </c>
      <c r="V94" s="89">
        <v>1221</v>
      </c>
      <c r="W94" s="89">
        <v>623</v>
      </c>
      <c r="X94" s="89">
        <v>1474</v>
      </c>
      <c r="Y94" s="89">
        <v>1131</v>
      </c>
      <c r="Z94" s="89">
        <v>2373</v>
      </c>
      <c r="AA94" s="89">
        <v>1763.499</v>
      </c>
    </row>
    <row r="95" spans="1:27" s="24" customFormat="1" x14ac:dyDescent="0.2">
      <c r="B95" s="25">
        <v>9</v>
      </c>
      <c r="C95" s="89"/>
      <c r="D95" s="89"/>
      <c r="E95" s="89"/>
      <c r="F95" s="89"/>
      <c r="G95" s="89"/>
      <c r="H95" s="89"/>
      <c r="I95" s="89"/>
      <c r="J95" s="89"/>
      <c r="K95" s="89"/>
      <c r="L95" s="89"/>
      <c r="M95" s="89"/>
      <c r="N95" s="89">
        <v>751</v>
      </c>
      <c r="O95" s="89">
        <v>2314</v>
      </c>
      <c r="P95" s="89">
        <v>2134</v>
      </c>
      <c r="Q95" s="89">
        <v>5816</v>
      </c>
      <c r="R95" s="89">
        <v>17654</v>
      </c>
      <c r="S95" s="89">
        <v>33168</v>
      </c>
      <c r="T95" s="89">
        <v>7264</v>
      </c>
      <c r="U95" s="89">
        <v>4341</v>
      </c>
      <c r="V95" s="89">
        <v>2433</v>
      </c>
      <c r="W95" s="89">
        <v>1320</v>
      </c>
      <c r="X95" s="89">
        <v>1282</v>
      </c>
      <c r="Y95" s="89">
        <v>1567</v>
      </c>
      <c r="Z95" s="89">
        <v>3565</v>
      </c>
      <c r="AA95" s="89">
        <v>1535.556</v>
      </c>
    </row>
    <row r="96" spans="1:27" s="24" customFormat="1" x14ac:dyDescent="0.2">
      <c r="B96" s="100" t="s">
        <v>48</v>
      </c>
      <c r="C96" s="89"/>
      <c r="D96" s="89"/>
      <c r="E96" s="89"/>
      <c r="F96" s="89"/>
      <c r="G96" s="89"/>
      <c r="H96" s="89"/>
      <c r="I96" s="89"/>
      <c r="J96" s="89"/>
      <c r="K96" s="89"/>
      <c r="L96" s="89"/>
      <c r="M96" s="89"/>
      <c r="N96" s="89">
        <v>4326</v>
      </c>
      <c r="O96" s="89">
        <v>5681</v>
      </c>
      <c r="P96" s="89">
        <v>8063</v>
      </c>
      <c r="Q96" s="89">
        <v>9987</v>
      </c>
      <c r="R96" s="89">
        <v>20209</v>
      </c>
      <c r="S96" s="89">
        <v>24720</v>
      </c>
      <c r="T96" s="89">
        <v>51455</v>
      </c>
      <c r="U96" s="89">
        <v>59014</v>
      </c>
      <c r="V96" s="89">
        <v>70682</v>
      </c>
      <c r="W96" s="89">
        <v>81186</v>
      </c>
      <c r="X96" s="89">
        <v>75163</v>
      </c>
      <c r="Y96" s="89">
        <v>67754</v>
      </c>
      <c r="Z96" s="89">
        <v>54390</v>
      </c>
      <c r="AA96" s="89">
        <v>73696.827000000005</v>
      </c>
    </row>
    <row r="97" spans="2:27" s="24" customFormat="1" x14ac:dyDescent="0.2">
      <c r="B97" s="101" t="s">
        <v>7</v>
      </c>
      <c r="C97" s="30">
        <v>11989</v>
      </c>
      <c r="D97" s="30">
        <v>14310</v>
      </c>
      <c r="E97" s="30">
        <v>18439</v>
      </c>
      <c r="F97" s="30">
        <v>13020</v>
      </c>
      <c r="G97" s="30">
        <v>21669</v>
      </c>
      <c r="H97" s="30">
        <v>23364</v>
      </c>
      <c r="I97" s="30">
        <v>44165</v>
      </c>
      <c r="J97" s="30">
        <v>101561</v>
      </c>
      <c r="K97" s="30">
        <v>108844</v>
      </c>
      <c r="L97" s="30">
        <v>131833</v>
      </c>
      <c r="M97" s="30">
        <v>117250</v>
      </c>
      <c r="N97" s="30">
        <v>94221</v>
      </c>
      <c r="O97" s="30">
        <v>104865</v>
      </c>
      <c r="P97" s="30">
        <v>105263</v>
      </c>
      <c r="Q97" s="30">
        <v>92530</v>
      </c>
      <c r="R97" s="30">
        <v>95440</v>
      </c>
      <c r="S97" s="30">
        <v>78620</v>
      </c>
      <c r="T97" s="30">
        <v>73726</v>
      </c>
      <c r="U97" s="30">
        <v>75413</v>
      </c>
      <c r="V97" s="30">
        <v>87468</v>
      </c>
      <c r="W97" s="30">
        <v>96163</v>
      </c>
      <c r="X97" s="30">
        <v>106208</v>
      </c>
      <c r="Y97" s="30">
        <v>85425</v>
      </c>
      <c r="Z97" s="30">
        <f>SUM(Z88:Z96)</f>
        <v>71954</v>
      </c>
      <c r="AA97" s="30">
        <f>SUM(AA88:AA96)</f>
        <v>84068.306000000011</v>
      </c>
    </row>
    <row r="98" spans="2:27" s="24" customFormat="1" x14ac:dyDescent="0.2">
      <c r="B98" s="77" t="s">
        <v>22</v>
      </c>
      <c r="C98" s="89"/>
      <c r="D98" s="89"/>
      <c r="E98" s="89"/>
      <c r="F98" s="89"/>
      <c r="G98" s="89"/>
      <c r="H98" s="89"/>
      <c r="I98" s="89"/>
      <c r="J98" s="89"/>
      <c r="K98" s="89"/>
      <c r="L98" s="89"/>
      <c r="M98" s="89"/>
      <c r="N98" s="89"/>
      <c r="O98" s="89"/>
      <c r="P98" s="89"/>
      <c r="Q98" s="89"/>
      <c r="R98" s="79"/>
      <c r="S98" s="79"/>
      <c r="T98" s="79"/>
      <c r="U98" s="79"/>
      <c r="V98" s="79"/>
      <c r="W98" s="79"/>
      <c r="X98" s="79"/>
      <c r="Y98" s="79"/>
      <c r="Z98" s="79"/>
    </row>
    <row r="99" spans="2:27" s="24" customFormat="1" x14ac:dyDescent="0.2">
      <c r="B99" s="77"/>
      <c r="C99" s="89"/>
      <c r="D99" s="89"/>
      <c r="E99" s="89"/>
      <c r="F99" s="89"/>
      <c r="G99" s="89"/>
      <c r="H99" s="89"/>
      <c r="I99" s="89"/>
      <c r="J99" s="89"/>
      <c r="K99" s="89"/>
      <c r="L99" s="89"/>
      <c r="M99" s="89"/>
      <c r="N99" s="89"/>
      <c r="O99" s="89"/>
      <c r="P99" s="89"/>
      <c r="Q99" s="89"/>
      <c r="R99" s="79"/>
      <c r="S99" s="79"/>
      <c r="T99" s="79"/>
      <c r="U99" s="79"/>
      <c r="V99" s="79"/>
      <c r="W99" s="79"/>
      <c r="X99" s="79"/>
      <c r="Y99" s="79"/>
      <c r="Z99" s="79"/>
    </row>
    <row r="100" spans="2:27" s="24" customFormat="1" x14ac:dyDescent="0.2">
      <c r="B100" s="86" t="s">
        <v>16</v>
      </c>
      <c r="C100" s="87"/>
      <c r="D100" s="87"/>
      <c r="E100" s="87"/>
      <c r="F100" s="87"/>
      <c r="G100" s="87"/>
      <c r="H100" s="87"/>
      <c r="I100" s="87"/>
      <c r="J100" s="87"/>
      <c r="K100" s="87"/>
      <c r="L100" s="87"/>
      <c r="M100" s="87"/>
      <c r="N100" s="87"/>
      <c r="O100" s="87"/>
      <c r="P100" s="87"/>
      <c r="Q100" s="87"/>
      <c r="R100" s="79"/>
      <c r="S100" s="79"/>
      <c r="T100" s="79"/>
      <c r="U100" s="79"/>
      <c r="V100" s="79"/>
      <c r="W100" s="79"/>
      <c r="X100" s="79"/>
      <c r="Y100" s="79"/>
      <c r="Z100" s="79"/>
    </row>
    <row r="101" spans="2:27" s="24" customFormat="1" x14ac:dyDescent="0.2">
      <c r="B101" s="88" t="s">
        <v>6</v>
      </c>
      <c r="C101" s="31">
        <v>1996</v>
      </c>
      <c r="D101" s="31">
        <v>1997</v>
      </c>
      <c r="E101" s="31">
        <v>1998</v>
      </c>
      <c r="F101" s="31">
        <v>1999</v>
      </c>
      <c r="G101" s="31">
        <v>2000</v>
      </c>
      <c r="H101" s="31">
        <v>2001</v>
      </c>
      <c r="I101" s="31">
        <v>2002</v>
      </c>
      <c r="J101" s="31">
        <v>2003</v>
      </c>
      <c r="K101" s="31">
        <v>2004</v>
      </c>
      <c r="L101" s="31">
        <v>2005</v>
      </c>
      <c r="M101" s="31">
        <v>2006</v>
      </c>
      <c r="N101" s="31">
        <v>2007</v>
      </c>
      <c r="O101" s="31">
        <v>2008</v>
      </c>
      <c r="P101" s="31">
        <v>2009</v>
      </c>
      <c r="Q101" s="31">
        <v>2010</v>
      </c>
      <c r="R101" s="31">
        <v>2011</v>
      </c>
      <c r="S101" s="31">
        <v>2012</v>
      </c>
      <c r="T101" s="31">
        <v>2013</v>
      </c>
      <c r="U101" s="31">
        <v>2014</v>
      </c>
      <c r="V101" s="31">
        <v>2015</v>
      </c>
      <c r="W101" s="31">
        <v>2016</v>
      </c>
      <c r="X101" s="31">
        <v>2017</v>
      </c>
      <c r="Y101" s="31">
        <v>2018</v>
      </c>
      <c r="Z101" s="31">
        <v>2019</v>
      </c>
      <c r="AA101" s="31">
        <v>2020</v>
      </c>
    </row>
    <row r="102" spans="2:27" s="24" customFormat="1" x14ac:dyDescent="0.2">
      <c r="B102" s="26"/>
      <c r="C102" s="89"/>
      <c r="D102" s="89"/>
      <c r="E102" s="89"/>
      <c r="F102" s="89"/>
      <c r="G102" s="89"/>
      <c r="H102" s="89"/>
      <c r="I102" s="89"/>
      <c r="J102" s="89"/>
      <c r="K102" s="89"/>
      <c r="L102" s="94"/>
      <c r="M102" s="94"/>
      <c r="N102" s="87"/>
      <c r="O102" s="87"/>
      <c r="P102" s="87"/>
      <c r="Q102" s="87"/>
      <c r="R102" s="87"/>
      <c r="S102" s="87"/>
      <c r="T102" s="87"/>
      <c r="U102" s="87"/>
      <c r="V102" s="87"/>
      <c r="W102" s="87"/>
      <c r="X102" s="87"/>
      <c r="Y102" s="87"/>
      <c r="Z102" s="87"/>
      <c r="AA102" s="87"/>
    </row>
    <row r="103" spans="2:27" s="24" customFormat="1" x14ac:dyDescent="0.2">
      <c r="B103" s="25">
        <v>2</v>
      </c>
      <c r="C103" s="89">
        <v>211</v>
      </c>
      <c r="D103" s="89">
        <v>170</v>
      </c>
      <c r="E103" s="89">
        <v>126</v>
      </c>
      <c r="F103" s="89">
        <v>71</v>
      </c>
      <c r="G103" s="89">
        <v>116</v>
      </c>
      <c r="H103" s="89">
        <v>223</v>
      </c>
      <c r="I103" s="89">
        <v>674</v>
      </c>
      <c r="J103" s="89">
        <v>1211</v>
      </c>
      <c r="K103" s="89">
        <v>952</v>
      </c>
      <c r="L103" s="89">
        <v>975</v>
      </c>
      <c r="M103" s="89">
        <v>346</v>
      </c>
      <c r="N103" s="89">
        <v>97</v>
      </c>
      <c r="O103" s="89">
        <v>76</v>
      </c>
      <c r="P103" s="89">
        <v>77</v>
      </c>
      <c r="Q103" s="89">
        <v>35</v>
      </c>
      <c r="R103" s="89">
        <v>22</v>
      </c>
      <c r="S103" s="89">
        <v>16</v>
      </c>
      <c r="T103" s="89">
        <v>27</v>
      </c>
      <c r="U103" s="89">
        <v>32</v>
      </c>
      <c r="V103" s="89">
        <v>64</v>
      </c>
      <c r="W103" s="89">
        <v>54</v>
      </c>
      <c r="X103" s="89">
        <v>99</v>
      </c>
      <c r="Y103" s="89">
        <v>29</v>
      </c>
      <c r="Z103" s="89">
        <v>9.3800000000000008</v>
      </c>
      <c r="AA103" s="89">
        <v>11.15</v>
      </c>
    </row>
    <row r="104" spans="2:27" s="24" customFormat="1" x14ac:dyDescent="0.2">
      <c r="B104" s="25">
        <v>3</v>
      </c>
      <c r="C104" s="89">
        <v>504</v>
      </c>
      <c r="D104" s="89">
        <v>202</v>
      </c>
      <c r="E104" s="89">
        <v>301</v>
      </c>
      <c r="F104" s="89">
        <v>114</v>
      </c>
      <c r="G104" s="89">
        <v>204</v>
      </c>
      <c r="H104" s="89">
        <v>722</v>
      </c>
      <c r="I104" s="89">
        <v>354</v>
      </c>
      <c r="J104" s="89">
        <v>740</v>
      </c>
      <c r="K104" s="89">
        <v>585</v>
      </c>
      <c r="L104" s="89">
        <v>794</v>
      </c>
      <c r="M104" s="89">
        <v>1021</v>
      </c>
      <c r="N104" s="89">
        <v>207</v>
      </c>
      <c r="O104" s="89">
        <v>155</v>
      </c>
      <c r="P104" s="89">
        <v>101</v>
      </c>
      <c r="Q104" s="89">
        <v>70</v>
      </c>
      <c r="R104" s="89">
        <v>43</v>
      </c>
      <c r="S104" s="89">
        <v>20</v>
      </c>
      <c r="T104" s="89">
        <v>20</v>
      </c>
      <c r="U104" s="89">
        <v>18</v>
      </c>
      <c r="V104" s="89">
        <v>56</v>
      </c>
      <c r="W104" s="89">
        <v>54</v>
      </c>
      <c r="X104" s="89">
        <v>126</v>
      </c>
      <c r="Y104" s="89">
        <v>31</v>
      </c>
      <c r="Z104" s="89">
        <v>16.86</v>
      </c>
      <c r="AA104" s="89">
        <v>20.16</v>
      </c>
    </row>
    <row r="105" spans="2:27" s="24" customFormat="1" x14ac:dyDescent="0.2">
      <c r="B105" s="25">
        <v>4</v>
      </c>
      <c r="C105" s="89">
        <v>526</v>
      </c>
      <c r="D105" s="89">
        <v>443</v>
      </c>
      <c r="E105" s="89">
        <v>758</v>
      </c>
      <c r="F105" s="89">
        <v>420</v>
      </c>
      <c r="G105" s="89">
        <v>620</v>
      </c>
      <c r="H105" s="89">
        <v>852</v>
      </c>
      <c r="I105" s="89">
        <v>683</v>
      </c>
      <c r="J105" s="89">
        <v>337</v>
      </c>
      <c r="K105" s="89">
        <v>671</v>
      </c>
      <c r="L105" s="89">
        <v>583</v>
      </c>
      <c r="M105" s="89">
        <v>968</v>
      </c>
      <c r="N105" s="89">
        <v>1634</v>
      </c>
      <c r="O105" s="89">
        <v>583</v>
      </c>
      <c r="P105" s="89">
        <v>517</v>
      </c>
      <c r="Q105" s="89">
        <v>117</v>
      </c>
      <c r="R105" s="89">
        <v>64</v>
      </c>
      <c r="S105" s="89">
        <v>23</v>
      </c>
      <c r="T105" s="89">
        <v>22</v>
      </c>
      <c r="U105" s="89">
        <v>20</v>
      </c>
      <c r="V105" s="89">
        <v>30</v>
      </c>
      <c r="W105" s="89">
        <v>48</v>
      </c>
      <c r="X105" s="89">
        <v>155</v>
      </c>
      <c r="Y105" s="89">
        <v>105</v>
      </c>
      <c r="Z105" s="89">
        <v>33.28</v>
      </c>
      <c r="AA105" s="89">
        <v>22.71</v>
      </c>
    </row>
    <row r="106" spans="2:27" s="24" customFormat="1" x14ac:dyDescent="0.2">
      <c r="B106" s="25">
        <v>5</v>
      </c>
      <c r="C106" s="89">
        <v>370</v>
      </c>
      <c r="D106" s="89">
        <v>937</v>
      </c>
      <c r="E106" s="89">
        <v>1264</v>
      </c>
      <c r="F106" s="89">
        <v>1439</v>
      </c>
      <c r="G106" s="89">
        <v>2195</v>
      </c>
      <c r="H106" s="89">
        <v>1397</v>
      </c>
      <c r="I106" s="89">
        <v>1625</v>
      </c>
      <c r="J106" s="89">
        <v>2200</v>
      </c>
      <c r="K106" s="89">
        <v>2565</v>
      </c>
      <c r="L106" s="89">
        <v>2643</v>
      </c>
      <c r="M106" s="89">
        <v>2790</v>
      </c>
      <c r="N106" s="89">
        <v>782</v>
      </c>
      <c r="O106" s="89">
        <v>1551</v>
      </c>
      <c r="P106" s="89">
        <v>1049</v>
      </c>
      <c r="Q106" s="89">
        <v>232</v>
      </c>
      <c r="R106" s="89">
        <v>142</v>
      </c>
      <c r="S106" s="89">
        <v>50</v>
      </c>
      <c r="T106" s="89">
        <v>40</v>
      </c>
      <c r="U106" s="89">
        <v>54</v>
      </c>
      <c r="V106" s="89">
        <v>18</v>
      </c>
      <c r="W106" s="89">
        <v>36</v>
      </c>
      <c r="X106" s="89">
        <v>73</v>
      </c>
      <c r="Y106" s="89">
        <v>58</v>
      </c>
      <c r="Z106" s="89">
        <v>52.53</v>
      </c>
      <c r="AA106" s="89">
        <v>24.68</v>
      </c>
    </row>
    <row r="107" spans="2:27" s="24" customFormat="1" x14ac:dyDescent="0.2">
      <c r="B107" s="25">
        <v>6</v>
      </c>
      <c r="C107" s="89"/>
      <c r="D107" s="89"/>
      <c r="E107" s="89"/>
      <c r="F107" s="89"/>
      <c r="G107" s="89"/>
      <c r="H107" s="89"/>
      <c r="I107" s="89"/>
      <c r="J107" s="89"/>
      <c r="K107" s="89"/>
      <c r="L107" s="89"/>
      <c r="M107" s="89"/>
      <c r="N107" s="89">
        <v>220</v>
      </c>
      <c r="O107" s="89">
        <v>945</v>
      </c>
      <c r="P107" s="89">
        <v>1044</v>
      </c>
      <c r="Q107" s="89">
        <v>390</v>
      </c>
      <c r="R107" s="89">
        <v>223</v>
      </c>
      <c r="S107" s="89">
        <v>77</v>
      </c>
      <c r="T107" s="89">
        <v>104</v>
      </c>
      <c r="U107" s="89">
        <v>81</v>
      </c>
      <c r="V107" s="89">
        <v>26</v>
      </c>
      <c r="W107" s="89">
        <v>20</v>
      </c>
      <c r="X107" s="89">
        <v>59</v>
      </c>
      <c r="Y107" s="89">
        <v>38</v>
      </c>
      <c r="Z107" s="89">
        <v>79.12</v>
      </c>
      <c r="AA107" s="89">
        <v>32.56</v>
      </c>
    </row>
    <row r="108" spans="2:27" s="24" customFormat="1" x14ac:dyDescent="0.2">
      <c r="B108" s="25">
        <v>7</v>
      </c>
      <c r="C108" s="89"/>
      <c r="D108" s="89"/>
      <c r="E108" s="89"/>
      <c r="F108" s="89"/>
      <c r="G108" s="89"/>
      <c r="H108" s="89"/>
      <c r="I108" s="89"/>
      <c r="J108" s="89"/>
      <c r="K108" s="89"/>
      <c r="L108" s="89"/>
      <c r="M108" s="89"/>
      <c r="N108" s="89">
        <v>424</v>
      </c>
      <c r="O108" s="89">
        <v>690</v>
      </c>
      <c r="P108" s="89">
        <v>1001</v>
      </c>
      <c r="Q108" s="89">
        <v>1806</v>
      </c>
      <c r="R108" s="89">
        <v>429</v>
      </c>
      <c r="S108" s="89">
        <v>172</v>
      </c>
      <c r="T108" s="89">
        <v>104</v>
      </c>
      <c r="U108" s="89">
        <v>63</v>
      </c>
      <c r="V108" s="89">
        <v>36</v>
      </c>
      <c r="W108" s="89">
        <v>17</v>
      </c>
      <c r="X108" s="89">
        <v>46</v>
      </c>
      <c r="Y108" s="89">
        <v>60</v>
      </c>
      <c r="Z108" s="89">
        <v>98.05</v>
      </c>
      <c r="AA108" s="89">
        <v>39.119999999999997</v>
      </c>
    </row>
    <row r="109" spans="2:27" s="24" customFormat="1" x14ac:dyDescent="0.2">
      <c r="B109" s="25">
        <v>8</v>
      </c>
      <c r="C109" s="89"/>
      <c r="D109" s="89"/>
      <c r="E109" s="89"/>
      <c r="F109" s="89"/>
      <c r="G109" s="89"/>
      <c r="H109" s="89"/>
      <c r="I109" s="89"/>
      <c r="J109" s="89"/>
      <c r="K109" s="89"/>
      <c r="L109" s="89"/>
      <c r="M109" s="89"/>
      <c r="N109" s="89">
        <v>326</v>
      </c>
      <c r="O109" s="89">
        <v>628</v>
      </c>
      <c r="P109" s="89">
        <v>644</v>
      </c>
      <c r="Q109" s="89">
        <v>1586</v>
      </c>
      <c r="R109" s="89">
        <v>2038</v>
      </c>
      <c r="S109" s="89">
        <v>491</v>
      </c>
      <c r="T109" s="89">
        <v>191</v>
      </c>
      <c r="U109" s="89">
        <v>78</v>
      </c>
      <c r="V109" s="89">
        <v>59</v>
      </c>
      <c r="W109" s="89">
        <v>28</v>
      </c>
      <c r="X109" s="89">
        <v>68</v>
      </c>
      <c r="Y109" s="89">
        <v>49</v>
      </c>
      <c r="Z109" s="89">
        <v>135.43</v>
      </c>
      <c r="AA109" s="89">
        <v>63.82</v>
      </c>
    </row>
    <row r="110" spans="2:27" s="24" customFormat="1" x14ac:dyDescent="0.2">
      <c r="B110" s="25">
        <v>9</v>
      </c>
      <c r="C110" s="89"/>
      <c r="D110" s="89"/>
      <c r="E110" s="89"/>
      <c r="F110" s="89"/>
      <c r="G110" s="89"/>
      <c r="H110" s="89"/>
      <c r="I110" s="89"/>
      <c r="J110" s="89"/>
      <c r="K110" s="89"/>
      <c r="L110" s="89"/>
      <c r="M110" s="89"/>
      <c r="N110" s="89">
        <v>143</v>
      </c>
      <c r="O110" s="89">
        <v>421</v>
      </c>
      <c r="P110" s="89">
        <v>333</v>
      </c>
      <c r="Q110" s="89">
        <v>729</v>
      </c>
      <c r="R110" s="89">
        <v>1620</v>
      </c>
      <c r="S110" s="89">
        <v>2381</v>
      </c>
      <c r="T110" s="89">
        <v>482</v>
      </c>
      <c r="U110" s="89">
        <v>251</v>
      </c>
      <c r="V110" s="89">
        <v>122</v>
      </c>
      <c r="W110" s="89">
        <v>70</v>
      </c>
      <c r="X110" s="89">
        <v>70</v>
      </c>
      <c r="Y110" s="89">
        <v>99</v>
      </c>
      <c r="Z110" s="89">
        <v>249.74</v>
      </c>
      <c r="AA110" s="89">
        <v>77.930000000000007</v>
      </c>
    </row>
    <row r="111" spans="2:27" s="24" customFormat="1" x14ac:dyDescent="0.2">
      <c r="B111" s="25" t="s">
        <v>48</v>
      </c>
      <c r="C111" s="89"/>
      <c r="D111" s="89"/>
      <c r="E111" s="89"/>
      <c r="F111" s="89"/>
      <c r="G111" s="89"/>
      <c r="H111" s="89"/>
      <c r="I111" s="89"/>
      <c r="J111" s="89"/>
      <c r="K111" s="89"/>
      <c r="L111" s="89"/>
      <c r="M111" s="89"/>
      <c r="N111" s="89">
        <v>1309</v>
      </c>
      <c r="O111" s="89">
        <v>1711</v>
      </c>
      <c r="P111" s="89">
        <v>2157</v>
      </c>
      <c r="Q111" s="89">
        <v>2445</v>
      </c>
      <c r="R111" s="89">
        <v>4163</v>
      </c>
      <c r="S111" s="89">
        <v>4430</v>
      </c>
      <c r="T111" s="89">
        <v>6624</v>
      </c>
      <c r="U111" s="89">
        <v>7404</v>
      </c>
      <c r="V111" s="89">
        <v>9971</v>
      </c>
      <c r="W111" s="89">
        <v>11694</v>
      </c>
      <c r="X111" s="89">
        <v>10551</v>
      </c>
      <c r="Y111" s="89">
        <v>10262</v>
      </c>
      <c r="Z111" s="89">
        <v>8951.39</v>
      </c>
      <c r="AA111" s="89">
        <v>11989.15</v>
      </c>
    </row>
    <row r="112" spans="2:27" s="24" customFormat="1" x14ac:dyDescent="0.2">
      <c r="B112" s="82" t="s">
        <v>7</v>
      </c>
      <c r="C112" s="30">
        <v>1611</v>
      </c>
      <c r="D112" s="30">
        <v>1752</v>
      </c>
      <c r="E112" s="30">
        <v>2448</v>
      </c>
      <c r="F112" s="30">
        <v>2044</v>
      </c>
      <c r="G112" s="30">
        <v>3135</v>
      </c>
      <c r="H112" s="30">
        <v>3194</v>
      </c>
      <c r="I112" s="30">
        <v>3336</v>
      </c>
      <c r="J112" s="30">
        <v>4488</v>
      </c>
      <c r="K112" s="30">
        <v>4773</v>
      </c>
      <c r="L112" s="30">
        <v>4996</v>
      </c>
      <c r="M112" s="30">
        <v>5125</v>
      </c>
      <c r="N112" s="30">
        <v>5142</v>
      </c>
      <c r="O112" s="30">
        <v>6761</v>
      </c>
      <c r="P112" s="30">
        <v>6923</v>
      </c>
      <c r="Q112" s="30">
        <v>7410</v>
      </c>
      <c r="R112" s="30">
        <v>8743</v>
      </c>
      <c r="S112" s="30">
        <v>7659</v>
      </c>
      <c r="T112" s="30">
        <v>7614</v>
      </c>
      <c r="U112" s="30">
        <v>8000</v>
      </c>
      <c r="V112" s="30">
        <v>10383</v>
      </c>
      <c r="W112" s="30">
        <v>12021</v>
      </c>
      <c r="X112" s="30">
        <v>11246</v>
      </c>
      <c r="Y112" s="30">
        <v>10732</v>
      </c>
      <c r="Z112" s="30">
        <f>SUM(Z103:Z111)</f>
        <v>9625.7799999999988</v>
      </c>
      <c r="AA112" s="30">
        <f>SUM(AA103:AA111)</f>
        <v>12281.279999999999</v>
      </c>
    </row>
    <row r="113" spans="2:27" s="24" customFormat="1" x14ac:dyDescent="0.2">
      <c r="B113" s="110" t="s">
        <v>55</v>
      </c>
      <c r="C113" s="111">
        <v>703.66075930160605</v>
      </c>
      <c r="D113" s="111">
        <v>717.96221116932679</v>
      </c>
      <c r="E113" s="111">
        <v>1041.8866130956571</v>
      </c>
      <c r="F113" s="111">
        <v>949.88854225277953</v>
      </c>
      <c r="G113" s="111">
        <v>1444.891650224034</v>
      </c>
      <c r="H113" s="111">
        <v>1403.3775088525249</v>
      </c>
      <c r="I113" s="111">
        <v>1289.8797068471843</v>
      </c>
      <c r="J113" s="111">
        <v>1299.1468698832375</v>
      </c>
      <c r="K113" s="111">
        <v>1398.9506119667537</v>
      </c>
      <c r="L113" s="111">
        <v>1313.5394059867083</v>
      </c>
      <c r="M113" s="111">
        <v>1354.2586527736107</v>
      </c>
      <c r="N113" s="111">
        <v>1146.4124119843434</v>
      </c>
      <c r="O113" s="111">
        <v>1674.9748572561193</v>
      </c>
      <c r="P113" s="111">
        <v>1836.6752065813873</v>
      </c>
      <c r="Q113" s="111">
        <v>2082.0501609284497</v>
      </c>
      <c r="R113" s="111">
        <v>2855.8142555968279</v>
      </c>
      <c r="S113" s="111">
        <v>2679.2831883250915</v>
      </c>
      <c r="T113" s="111">
        <v>3016.0729871828021</v>
      </c>
      <c r="U113" s="111">
        <v>3305.2941305174591</v>
      </c>
      <c r="V113" s="111">
        <v>4782.6701838697909</v>
      </c>
      <c r="W113" s="111">
        <v>5581.0367813836674</v>
      </c>
      <c r="X113" s="111">
        <v>4998.0259299190038</v>
      </c>
      <c r="Y113" s="111">
        <v>5049</v>
      </c>
      <c r="Z113" s="111">
        <v>4475</v>
      </c>
      <c r="AA113" s="111">
        <v>5560</v>
      </c>
    </row>
    <row r="114" spans="2:27" s="24" customFormat="1" x14ac:dyDescent="0.2">
      <c r="B114" s="112" t="s">
        <v>56</v>
      </c>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row>
    <row r="115" spans="2:27" s="24" customFormat="1" x14ac:dyDescent="0.2">
      <c r="B115" s="104"/>
      <c r="C115" s="89"/>
      <c r="D115" s="89"/>
      <c r="E115" s="89"/>
      <c r="F115" s="89"/>
      <c r="G115" s="89"/>
      <c r="H115" s="89"/>
      <c r="I115" s="89"/>
      <c r="J115" s="89"/>
      <c r="K115" s="89"/>
      <c r="L115" s="89"/>
      <c r="M115" s="89"/>
      <c r="N115" s="89"/>
      <c r="O115" s="89"/>
      <c r="P115" s="89"/>
      <c r="Q115" s="89"/>
      <c r="R115" s="89"/>
      <c r="S115" s="89"/>
      <c r="T115" s="89"/>
      <c r="U115" s="89"/>
      <c r="V115" s="89"/>
      <c r="W115" s="89"/>
      <c r="X115" s="89"/>
      <c r="Y115" s="79"/>
      <c r="Z115" s="79"/>
    </row>
    <row r="116" spans="2:27" s="24" customFormat="1" x14ac:dyDescent="0.2">
      <c r="B116" s="86" t="s">
        <v>47</v>
      </c>
      <c r="C116" s="87"/>
      <c r="D116" s="87"/>
      <c r="E116" s="87"/>
      <c r="F116" s="87"/>
      <c r="G116" s="87"/>
      <c r="H116" s="87"/>
      <c r="I116" s="87"/>
      <c r="J116" s="87"/>
      <c r="K116" s="87"/>
      <c r="L116" s="87"/>
      <c r="M116" s="87"/>
      <c r="N116" s="87"/>
      <c r="O116" s="87"/>
      <c r="P116" s="87"/>
      <c r="Q116" s="87"/>
      <c r="R116" s="79"/>
      <c r="S116" s="79"/>
      <c r="T116" s="79"/>
      <c r="U116" s="79"/>
      <c r="V116" s="79"/>
      <c r="W116" s="79"/>
      <c r="X116" s="79"/>
      <c r="Y116" s="79"/>
      <c r="Z116" s="79"/>
    </row>
    <row r="117" spans="2:27" s="24" customFormat="1" x14ac:dyDescent="0.2">
      <c r="B117" s="88" t="s">
        <v>6</v>
      </c>
      <c r="C117" s="31">
        <v>1996</v>
      </c>
      <c r="D117" s="31">
        <v>1997</v>
      </c>
      <c r="E117" s="31">
        <v>1998</v>
      </c>
      <c r="F117" s="31">
        <v>1999</v>
      </c>
      <c r="G117" s="31">
        <v>2000</v>
      </c>
      <c r="H117" s="31">
        <v>2001</v>
      </c>
      <c r="I117" s="31">
        <v>2002</v>
      </c>
      <c r="J117" s="31">
        <v>2003</v>
      </c>
      <c r="K117" s="31">
        <v>2004</v>
      </c>
      <c r="L117" s="31">
        <v>2005</v>
      </c>
      <c r="M117" s="31">
        <v>2006</v>
      </c>
      <c r="N117" s="31">
        <v>2007</v>
      </c>
      <c r="O117" s="31">
        <v>2008</v>
      </c>
      <c r="P117" s="31">
        <v>2009</v>
      </c>
      <c r="Q117" s="31">
        <v>2010</v>
      </c>
      <c r="R117" s="31">
        <v>2011</v>
      </c>
      <c r="S117" s="31">
        <v>2012</v>
      </c>
      <c r="T117" s="31">
        <v>2013</v>
      </c>
      <c r="U117" s="31">
        <v>2014</v>
      </c>
      <c r="V117" s="31">
        <v>2015</v>
      </c>
      <c r="W117" s="31">
        <v>2016</v>
      </c>
      <c r="X117" s="31">
        <v>2017</v>
      </c>
      <c r="Y117" s="31">
        <v>2018</v>
      </c>
      <c r="Z117" s="31">
        <v>2019</v>
      </c>
      <c r="AA117" s="114" t="s">
        <v>17</v>
      </c>
    </row>
    <row r="118" spans="2:27" s="24" customFormat="1" x14ac:dyDescent="0.2">
      <c r="B118" s="105" t="s">
        <v>18</v>
      </c>
      <c r="C118" s="106">
        <v>342</v>
      </c>
      <c r="D118" s="106">
        <v>258</v>
      </c>
      <c r="E118" s="106">
        <v>311</v>
      </c>
      <c r="F118" s="106">
        <v>259</v>
      </c>
      <c r="G118" s="106">
        <v>326</v>
      </c>
      <c r="H118" s="106">
        <v>342</v>
      </c>
      <c r="I118" s="106">
        <v>333</v>
      </c>
      <c r="J118" s="106">
        <v>583</v>
      </c>
      <c r="K118" s="106">
        <v>397</v>
      </c>
      <c r="L118" s="106">
        <v>475</v>
      </c>
      <c r="M118" s="106">
        <v>626</v>
      </c>
      <c r="N118" s="106">
        <v>529</v>
      </c>
      <c r="O118" s="38">
        <v>605</v>
      </c>
      <c r="P118" s="38">
        <v>680</v>
      </c>
      <c r="Q118" s="38">
        <v>591</v>
      </c>
      <c r="R118" s="38">
        <v>417</v>
      </c>
      <c r="S118" s="38">
        <v>534</v>
      </c>
      <c r="T118" s="38">
        <v>352</v>
      </c>
      <c r="U118" s="38">
        <v>343</v>
      </c>
      <c r="V118" s="38">
        <v>475</v>
      </c>
      <c r="W118" s="38">
        <v>484</v>
      </c>
      <c r="X118" s="38">
        <v>460</v>
      </c>
      <c r="Y118" s="38">
        <v>559</v>
      </c>
      <c r="Z118" s="38">
        <v>493</v>
      </c>
      <c r="AA118" s="38">
        <v>504</v>
      </c>
    </row>
    <row r="119" spans="2:27" s="24" customFormat="1" x14ac:dyDescent="0.2">
      <c r="B119" s="107" t="s">
        <v>19</v>
      </c>
      <c r="C119" s="39">
        <v>21.2</v>
      </c>
      <c r="D119" s="39">
        <v>14.7</v>
      </c>
      <c r="E119" s="39">
        <v>12.7</v>
      </c>
      <c r="F119" s="39">
        <v>12.7</v>
      </c>
      <c r="G119" s="39">
        <v>10.4</v>
      </c>
      <c r="H119" s="39">
        <v>10.7</v>
      </c>
      <c r="I119" s="39">
        <v>10</v>
      </c>
      <c r="J119" s="39">
        <v>13</v>
      </c>
      <c r="K119" s="39">
        <v>8.3000000000000007</v>
      </c>
      <c r="L119" s="39">
        <v>9.5</v>
      </c>
      <c r="M119" s="39">
        <v>12.2</v>
      </c>
      <c r="N119" s="39">
        <v>10.3</v>
      </c>
      <c r="O119" s="39">
        <v>8.9</v>
      </c>
      <c r="P119" s="39">
        <v>9.8000000000000007</v>
      </c>
      <c r="Q119" s="39">
        <v>8</v>
      </c>
      <c r="R119" s="39">
        <v>4.8</v>
      </c>
      <c r="S119" s="39">
        <v>7</v>
      </c>
      <c r="T119" s="39">
        <v>4.5999999999999996</v>
      </c>
      <c r="U119" s="39">
        <v>4.3</v>
      </c>
      <c r="V119" s="39">
        <v>4.5999999999999996</v>
      </c>
      <c r="W119" s="39">
        <v>4</v>
      </c>
      <c r="X119" s="39">
        <v>4.0999999999999996</v>
      </c>
      <c r="Y119" s="39">
        <v>5.2</v>
      </c>
      <c r="Z119" s="39">
        <v>3.8</v>
      </c>
      <c r="AA119" s="39">
        <v>4.4000000000000004</v>
      </c>
    </row>
    <row r="120" spans="2:27" s="24" customFormat="1" x14ac:dyDescent="0.2">
      <c r="B120" s="108" t="s">
        <v>23</v>
      </c>
      <c r="C120" s="109">
        <v>0.25600000000000001</v>
      </c>
      <c r="D120" s="109">
        <v>0.17100000000000001</v>
      </c>
      <c r="E120" s="109">
        <v>0.14499999999999999</v>
      </c>
      <c r="F120" s="109">
        <v>0.14499999999999999</v>
      </c>
      <c r="G120" s="109">
        <v>0.11700000000000001</v>
      </c>
      <c r="H120" s="109">
        <v>0.121</v>
      </c>
      <c r="I120" s="109">
        <v>0.112</v>
      </c>
      <c r="J120" s="109">
        <v>0.14899999999999999</v>
      </c>
      <c r="K120" s="109">
        <v>9.2999999999999999E-2</v>
      </c>
      <c r="L120" s="109">
        <v>0.107</v>
      </c>
      <c r="M120" s="109">
        <v>0.13900000000000001</v>
      </c>
      <c r="N120" s="109">
        <v>0.11600000000000001</v>
      </c>
      <c r="O120" s="109">
        <v>0.1</v>
      </c>
      <c r="P120" s="109">
        <v>0.11</v>
      </c>
      <c r="Q120" s="109">
        <v>8.8999999999999996E-2</v>
      </c>
      <c r="R120" s="109">
        <v>5.1999999999999998E-2</v>
      </c>
      <c r="S120" s="109">
        <v>7.6999999999999999E-2</v>
      </c>
      <c r="T120" s="109">
        <v>5.0999999999999997E-2</v>
      </c>
      <c r="U120" s="109">
        <v>4.7E-2</v>
      </c>
      <c r="V120" s="109">
        <v>0.05</v>
      </c>
      <c r="W120" s="109">
        <v>4.3999999999999997E-2</v>
      </c>
      <c r="X120" s="109">
        <v>4.3999999999999997E-2</v>
      </c>
      <c r="Y120" s="109">
        <v>5.7000000000000002E-2</v>
      </c>
      <c r="Z120" s="109">
        <v>4.1000000000000002E-2</v>
      </c>
      <c r="AA120" s="109">
        <v>4.8000000000000001E-2</v>
      </c>
    </row>
    <row r="121" spans="2:27" s="24" customFormat="1" x14ac:dyDescent="0.2">
      <c r="B121" s="78" t="s">
        <v>60</v>
      </c>
      <c r="C121" s="78"/>
      <c r="D121" s="78"/>
      <c r="E121" s="78"/>
      <c r="F121" s="78"/>
      <c r="G121" s="78"/>
      <c r="H121" s="78"/>
      <c r="I121" s="78"/>
      <c r="J121" s="78"/>
      <c r="K121" s="78"/>
      <c r="L121" s="78"/>
      <c r="M121" s="78"/>
      <c r="N121" s="78"/>
      <c r="O121" s="78"/>
      <c r="P121" s="78"/>
      <c r="Q121" s="78"/>
      <c r="R121" s="79"/>
      <c r="S121" s="79"/>
      <c r="T121" s="79"/>
      <c r="U121" s="79"/>
      <c r="V121" s="79"/>
      <c r="W121" s="79"/>
      <c r="X121" s="79"/>
      <c r="Y121" s="79"/>
      <c r="Z121" s="79"/>
    </row>
  </sheetData>
  <phoneticPr fontId="4"/>
  <pageMargins left="0.2" right="0.2" top="1" bottom="1" header="0.51200000000000001" footer="0.51200000000000001"/>
  <pageSetup paperSize="9" scale="90" fitToHeight="0" orientation="landscape"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表1</vt:lpstr>
      <vt:lpstr>表2</vt:lpstr>
      <vt:lpstr>表3</vt:lpstr>
      <vt:lpstr>表4</vt:lpstr>
      <vt:lpstr>補足表3-1</vt:lpstr>
      <vt:lpstr>補足表4-1～4-9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2022-08-09T07:00:40Z</dcterms:created>
  <dcterms:modified xsi:type="dcterms:W3CDTF">2022-08-09T07:01:01Z</dcterms:modified>
</cp:coreProperties>
</file>