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 filterPrivacy="1" defaultThemeVersion="124226"/>
  <xr:revisionPtr revIDLastSave="0" documentId="13_ncr:1_{A9A6CA7B-7F1A-4A48-8486-DBC112D94FC7}" xr6:coauthVersionLast="47" xr6:coauthVersionMax="47" xr10:uidLastSave="{00000000-0000-0000-0000-000000000000}"/>
  <bookViews>
    <workbookView xWindow="3075" yWindow="-15" windowWidth="25725" windowHeight="15600" tabRatio="781" xr2:uid="{00000000-000D-0000-FFFF-FFFF00000000}"/>
  </bookViews>
  <sheets>
    <sheet name="表3-１" sheetId="5" r:id="rId1"/>
    <sheet name="表3-2" sheetId="2" r:id="rId2"/>
    <sheet name="表4-1" sheetId="7" r:id="rId3"/>
    <sheet name="表5-1~5-2" sheetId="8" r:id="rId4"/>
    <sheet name="補足表2-1~2-3" sheetId="9" r:id="rId5"/>
    <sheet name="補足表3-1" sheetId="13" r:id="rId6"/>
    <sheet name="補足表3-2" sheetId="15" r:id="rId7"/>
    <sheet name="補足表3-3" sheetId="14" r:id="rId8"/>
    <sheet name="補足表3-4" sheetId="16" r:id="rId9"/>
    <sheet name="補足表3-5" sheetId="17" r:id="rId10"/>
    <sheet name="補足表3-6" sheetId="11" r:id="rId11"/>
    <sheet name="補足資料4" sheetId="6" r:id="rId12"/>
    <sheet name="補足資料5" sheetId="10" r:id="rId13"/>
    <sheet name="補足表6-1" sheetId="18" r:id="rId14"/>
    <sheet name="補足表8-1" sheetId="12" r:id="rId15"/>
  </sheets>
  <definedNames>
    <definedName name="OLE_LINK10" localSheetId="6">'補足表3-2'!$B$8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<sst xmlns="http://schemas.openxmlformats.org/spreadsheetml/2006/main" count="326" uniqueCount="225">
  <si>
    <t>令和5（2023）年度マサバ対馬暖流系群の資源評価のデータセット</t>
    <rPh sb="0" eb="2">
      <t>レイワ</t>
    </rPh>
    <rPh sb="9" eb="11">
      <t>ネンド</t>
    </rPh>
    <rPh sb="14" eb="16">
      <t>ツシマ</t>
    </rPh>
    <rPh sb="16" eb="18">
      <t>ダンリュウ</t>
    </rPh>
    <rPh sb="18" eb="20">
      <t>ケイグン</t>
    </rPh>
    <rPh sb="21" eb="23">
      <t>シゲン</t>
    </rPh>
    <rPh sb="23" eb="25">
      <t>ヒョウカ</t>
    </rPh>
    <phoneticPr fontId="1"/>
  </si>
  <si>
    <t>表3-1．大中型まき網のマサバ漁獲量と、大中型まき網以外の漁業種の府県別マサバ漁獲量（トン）</t>
    <rPh sb="0" eb="1">
      <t>ヒョウ</t>
    </rPh>
    <rPh sb="5" eb="8">
      <t>ダイチュウガタ</t>
    </rPh>
    <rPh sb="10" eb="11">
      <t>アミ</t>
    </rPh>
    <rPh sb="15" eb="18">
      <t>ギョカクリョウ</t>
    </rPh>
    <rPh sb="20" eb="23">
      <t>ダイチュウガタ</t>
    </rPh>
    <rPh sb="25" eb="26">
      <t>アミ</t>
    </rPh>
    <rPh sb="26" eb="28">
      <t>イガイ</t>
    </rPh>
    <rPh sb="29" eb="31">
      <t>ギョギョウ</t>
    </rPh>
    <rPh sb="31" eb="32">
      <t>シュ</t>
    </rPh>
    <rPh sb="33" eb="35">
      <t>フケン</t>
    </rPh>
    <rPh sb="35" eb="36">
      <t>ベツ</t>
    </rPh>
    <rPh sb="39" eb="42">
      <t>ギョカクリョウ</t>
    </rPh>
    <phoneticPr fontId="1"/>
  </si>
  <si>
    <t>暦年</t>
  </si>
  <si>
    <t>大中まき</t>
  </si>
  <si>
    <t>鹿児島</t>
  </si>
  <si>
    <t>熊本</t>
  </si>
  <si>
    <t>長崎</t>
  </si>
  <si>
    <t>佐賀</t>
  </si>
  <si>
    <t>福岡</t>
  </si>
  <si>
    <t>山口</t>
  </si>
  <si>
    <t>島根</t>
  </si>
  <si>
    <t>鳥取</t>
  </si>
  <si>
    <t>兵庫</t>
  </si>
  <si>
    <t>京都</t>
  </si>
  <si>
    <t>福井</t>
  </si>
  <si>
    <t>石川</t>
  </si>
  <si>
    <t>富山</t>
  </si>
  <si>
    <t>新潟</t>
  </si>
  <si>
    <t>山形</t>
  </si>
  <si>
    <t>秋田</t>
  </si>
  <si>
    <t>合計</t>
  </si>
  <si>
    <t>表3-2．日本と韓国の漁獲量と東シナ海・日本海で操業する大中型まき網漁業の漁獲努力量</t>
    <rPh sb="0" eb="1">
      <t>ヒョウ</t>
    </rPh>
    <rPh sb="5" eb="7">
      <t>ニホン</t>
    </rPh>
    <rPh sb="8" eb="10">
      <t>カンコク</t>
    </rPh>
    <rPh sb="11" eb="14">
      <t>ギョカクリョウ</t>
    </rPh>
    <rPh sb="15" eb="19">
      <t>ヒガシシナカイ</t>
    </rPh>
    <rPh sb="20" eb="22">
      <t>ニホン</t>
    </rPh>
    <rPh sb="22" eb="23">
      <t>カイ</t>
    </rPh>
    <rPh sb="24" eb="26">
      <t>ソウギョウ</t>
    </rPh>
    <rPh sb="28" eb="29">
      <t>ダイ</t>
    </rPh>
    <rPh sb="29" eb="31">
      <t>チュウガタ</t>
    </rPh>
    <rPh sb="33" eb="34">
      <t>アミ</t>
    </rPh>
    <rPh sb="34" eb="36">
      <t>ギョギョウ</t>
    </rPh>
    <rPh sb="37" eb="39">
      <t>ギョカク</t>
    </rPh>
    <rPh sb="39" eb="41">
      <t>ドリョク</t>
    </rPh>
    <rPh sb="41" eb="42">
      <t>リョウ</t>
    </rPh>
    <phoneticPr fontId="1"/>
  </si>
  <si>
    <t>年</t>
    <rPh sb="0" eb="1">
      <t>ネン</t>
    </rPh>
    <phoneticPr fontId="2"/>
  </si>
  <si>
    <t>漁獲量（千トン）</t>
    <rPh sb="0" eb="2">
      <t>ギョカク</t>
    </rPh>
    <rPh sb="2" eb="3">
      <t>リョウ</t>
    </rPh>
    <rPh sb="4" eb="5">
      <t>セン</t>
    </rPh>
    <phoneticPr fontId="2"/>
  </si>
  <si>
    <r>
      <rPr>
        <sz val="10.5"/>
        <rFont val="ＭＳ 明朝"/>
        <family val="1"/>
        <charset val="128"/>
      </rPr>
      <t>漁獲努力量</t>
    </r>
    <rPh sb="0" eb="2">
      <t>ギョカク</t>
    </rPh>
    <rPh sb="2" eb="4">
      <t>ドリョク</t>
    </rPh>
    <rPh sb="4" eb="5">
      <t>リョウ</t>
    </rPh>
    <phoneticPr fontId="2"/>
  </si>
  <si>
    <t>日本</t>
    <rPh sb="0" eb="2">
      <t>ニホン</t>
    </rPh>
    <phoneticPr fontId="2"/>
  </si>
  <si>
    <t>韓国</t>
    <rPh sb="0" eb="2">
      <t>カンコク</t>
    </rPh>
    <phoneticPr fontId="2"/>
  </si>
  <si>
    <t>計</t>
    <rPh sb="0" eb="1">
      <t>ケイ</t>
    </rPh>
    <phoneticPr fontId="2"/>
  </si>
  <si>
    <r>
      <rPr>
        <sz val="10.5"/>
        <rFont val="ＭＳ 明朝"/>
        <family val="1"/>
        <charset val="128"/>
      </rPr>
      <t>（千網）</t>
    </r>
    <rPh sb="1" eb="2">
      <t>セン</t>
    </rPh>
    <rPh sb="2" eb="3">
      <t>アミ</t>
    </rPh>
    <phoneticPr fontId="2"/>
  </si>
  <si>
    <t>表4-1.　 コホート解析結果</t>
  </si>
  <si>
    <t>資源量</t>
    <rPh sb="0" eb="3">
      <t>シゲンリョウ</t>
    </rPh>
    <phoneticPr fontId="2"/>
  </si>
  <si>
    <t>親魚量</t>
    <rPh sb="0" eb="1">
      <t>オヤ</t>
    </rPh>
    <rPh sb="1" eb="2">
      <t>ウオ</t>
    </rPh>
    <rPh sb="2" eb="3">
      <t>リョウ</t>
    </rPh>
    <phoneticPr fontId="2"/>
  </si>
  <si>
    <t>加入量</t>
    <rPh sb="0" eb="2">
      <t>カニュウリョウ</t>
    </rPh>
    <rPh sb="2" eb="3">
      <t>リョウ</t>
    </rPh>
    <phoneticPr fontId="2"/>
  </si>
  <si>
    <t>再生産成功率</t>
    <rPh sb="0" eb="3">
      <t>サイセイサン</t>
    </rPh>
    <rPh sb="3" eb="6">
      <t>セイコウリツ</t>
    </rPh>
    <phoneticPr fontId="2"/>
  </si>
  <si>
    <t>漁獲割合</t>
    <rPh sb="0" eb="2">
      <t>ギョカク</t>
    </rPh>
    <rPh sb="2" eb="4">
      <t>ワリアイ</t>
    </rPh>
    <phoneticPr fontId="2"/>
  </si>
  <si>
    <t>%SPR</t>
    <phoneticPr fontId="2"/>
  </si>
  <si>
    <t>F/Fmsy</t>
    <phoneticPr fontId="2"/>
  </si>
  <si>
    <t>（千トン）</t>
  </si>
  <si>
    <t>（100万尾）</t>
    <rPh sb="4" eb="5">
      <t>マン</t>
    </rPh>
    <rPh sb="5" eb="6">
      <t>ビ</t>
    </rPh>
    <phoneticPr fontId="2"/>
  </si>
  <si>
    <t>（尾/kg）</t>
    <rPh sb="1" eb="2">
      <t>ビ</t>
    </rPh>
    <phoneticPr fontId="2"/>
  </si>
  <si>
    <t>（%）</t>
    <phoneticPr fontId="2"/>
  </si>
  <si>
    <r>
      <t>表5-1.　 将来の親魚量が</t>
    </r>
    <r>
      <rPr>
        <sz val="10.5"/>
        <color theme="1"/>
        <rFont val="ＭＳ Ｐゴシック"/>
        <family val="3"/>
        <charset val="128"/>
        <scheme val="minor"/>
      </rPr>
      <t>（a）</t>
    </r>
    <r>
      <rPr>
        <sz val="10.5"/>
        <color theme="1"/>
        <rFont val="ＭＳ Ｐゴシック"/>
        <family val="2"/>
        <charset val="128"/>
        <scheme val="minor"/>
      </rPr>
      <t>目標</t>
    </r>
    <r>
      <rPr>
        <sz val="10.5"/>
        <color theme="1"/>
        <rFont val="ＭＳ Ｐゴシック"/>
        <family val="3"/>
        <charset val="128"/>
        <scheme val="minor"/>
      </rPr>
      <t>管理基準値、（b）</t>
    </r>
    <r>
      <rPr>
        <sz val="10.5"/>
        <color theme="1"/>
        <rFont val="ＭＳ Ｐゴシック"/>
        <family val="2"/>
        <charset val="128"/>
        <scheme val="minor"/>
      </rPr>
      <t>限界管理基準値を上回る確率</t>
    </r>
    <rPh sb="0" eb="1">
      <t>ヒョウ</t>
    </rPh>
    <rPh sb="19" eb="24">
      <t>カンリキジュンチ</t>
    </rPh>
    <phoneticPr fontId="1"/>
  </si>
  <si>
    <r>
      <t>a</t>
    </r>
    <r>
      <rPr>
        <sz val="10.5"/>
        <color theme="1"/>
        <rFont val="Yu Gothic"/>
        <family val="1"/>
        <charset val="128"/>
      </rPr>
      <t>）目標管理基準値を上回る確率（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Yu Gothic"/>
        <family val="1"/>
        <charset val="128"/>
      </rPr>
      <t>）</t>
    </r>
    <rPh sb="2" eb="4">
      <t>モクヒョウ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1"/>
  </si>
  <si>
    <t>β</t>
  </si>
  <si>
    <t>F2020-2022</t>
  </si>
  <si>
    <r>
      <t>b</t>
    </r>
    <r>
      <rPr>
        <sz val="10.5"/>
        <color theme="1"/>
        <rFont val="Yu Gothic"/>
        <family val="1"/>
        <charset val="128"/>
      </rPr>
      <t>）限界管理基準値を上回る確率（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Yu Gothic"/>
        <family val="1"/>
        <charset val="128"/>
      </rPr>
      <t>）</t>
    </r>
    <rPh sb="2" eb="4">
      <t>ゲンカイ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1"/>
  </si>
  <si>
    <r>
      <t>調整係数βを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で変更した場合の将来予測の結果を示す。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年の漁獲量は現状の漁獲圧（</t>
    </r>
    <r>
      <rPr>
        <sz val="10.5"/>
        <color theme="1"/>
        <rFont val="Times New Roman"/>
        <family val="1"/>
      </rPr>
      <t>F2020-2022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>236</t>
    </r>
    <r>
      <rPr>
        <sz val="10.5"/>
        <color theme="1"/>
        <rFont val="ＭＳ 明朝"/>
        <family val="1"/>
        <charset val="128"/>
      </rPr>
      <t>千トンとし、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年から漁獲管理規則による漁獲とした。比較のため現状の漁獲圧（</t>
    </r>
    <r>
      <rPr>
        <sz val="10.5"/>
        <color theme="1"/>
        <rFont val="Times New Roman"/>
        <family val="1"/>
      </rPr>
      <t>F2020-2022</t>
    </r>
    <r>
      <rPr>
        <sz val="10.5"/>
        <color theme="1"/>
        <rFont val="ＭＳ 明朝"/>
        <family val="1"/>
        <charset val="128"/>
      </rPr>
      <t>、β</t>
    </r>
    <r>
      <rPr>
        <sz val="10.5"/>
        <color theme="1"/>
        <rFont val="Times New Roman"/>
        <family val="1"/>
      </rPr>
      <t>=1.10</t>
    </r>
    <r>
      <rPr>
        <sz val="10.5"/>
        <color theme="1"/>
        <rFont val="ＭＳ 明朝"/>
        <family val="1"/>
        <charset val="128"/>
      </rPr>
      <t>に相当）で漁獲を続けた場合の結果も示した。太字は漁獲管理規則に基づく管理開始から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明朝"/>
        <family val="1"/>
        <charset val="128"/>
      </rPr>
      <t>年目となる目標年の値を示す。</t>
    </r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</si>
  <si>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将来の親魚量および漁獲量の平均値の推移</t>
    </r>
    <rPh sb="0" eb="1">
      <t>ヒョウ</t>
    </rPh>
    <phoneticPr fontId="1"/>
  </si>
  <si>
    <r>
      <t>a</t>
    </r>
    <r>
      <rPr>
        <sz val="10.5"/>
        <color theme="1"/>
        <rFont val="Yu Gothic"/>
        <family val="1"/>
        <charset val="128"/>
      </rPr>
      <t>）親魚量の平均値の推移（千トン）</t>
    </r>
    <rPh sb="2" eb="3">
      <t>シン</t>
    </rPh>
    <rPh sb="3" eb="4">
      <t>ギョ</t>
    </rPh>
    <rPh sb="4" eb="5">
      <t>リョウ</t>
    </rPh>
    <rPh sb="6" eb="9">
      <t>ヘイキンチ</t>
    </rPh>
    <rPh sb="10" eb="12">
      <t>スイイ</t>
    </rPh>
    <rPh sb="13" eb="14">
      <t>セン</t>
    </rPh>
    <phoneticPr fontId="1"/>
  </si>
  <si>
    <r>
      <t>b</t>
    </r>
    <r>
      <rPr>
        <sz val="10.5"/>
        <color theme="1"/>
        <rFont val="Yu Gothic"/>
        <family val="1"/>
        <charset val="128"/>
      </rPr>
      <t>）漁獲量の平均値の推移（千トン）</t>
    </r>
    <phoneticPr fontId="1"/>
  </si>
  <si>
    <t>調整係数βを0～1.0で変更した場合の将来予測の結果を示す。2023年の漁獲量は現状の漁獲圧（F2020-2022）から予測される236千トンとし、2024年から漁獲管理規則による漁獲とした。比較のため現状の漁獲圧（F2020-2022、β=1.10に相当）で漁獲を続けた場合の結果も示した。太字は漁獲管理規則に基づく管理開始から10年目となる目標年の値を示す</t>
    <phoneticPr fontId="1"/>
  </si>
  <si>
    <t>補足表2-1. 年齢別平均尾叉長と平均体重</t>
    <rPh sb="0" eb="3">
      <t xml:space="preserve">ホソクヒョウ </t>
    </rPh>
    <rPh sb="8" eb="11">
      <t xml:space="preserve">ネンレイベツ </t>
    </rPh>
    <rPh sb="11" eb="13">
      <t>ヘイキン</t>
    </rPh>
    <rPh sb="13" eb="16">
      <t>ビサチョウ</t>
    </rPh>
    <rPh sb="17" eb="21">
      <t xml:space="preserve">ヘイキンタイジュウ </t>
    </rPh>
    <phoneticPr fontId="1"/>
  </si>
  <si>
    <t>年齢</t>
  </si>
  <si>
    <t>3+</t>
  </si>
  <si>
    <t>尾叉長（cm）</t>
  </si>
  <si>
    <t>体重（g）</t>
  </si>
  <si>
    <t>成熟割合</t>
    <phoneticPr fontId="1"/>
  </si>
  <si>
    <t>補足表2-2. 年齢別資源量指標値（トン/網）と産卵量（兆粒）</t>
    <rPh sb="0" eb="3">
      <t xml:space="preserve">ホソクヒョウ </t>
    </rPh>
    <rPh sb="24" eb="26">
      <t>サンラン</t>
    </rPh>
    <rPh sb="26" eb="27">
      <t>リョウ</t>
    </rPh>
    <rPh sb="28" eb="29">
      <t>チョウ</t>
    </rPh>
    <rPh sb="29" eb="30">
      <t>リュウ</t>
    </rPh>
    <phoneticPr fontId="1"/>
  </si>
  <si>
    <t>k</t>
    <phoneticPr fontId="1"/>
  </si>
  <si>
    <t>指標値</t>
    <rPh sb="0" eb="3">
      <t>シヒョウチ</t>
    </rPh>
    <phoneticPr fontId="1"/>
  </si>
  <si>
    <t>0歳</t>
  </si>
  <si>
    <t>1歳</t>
  </si>
  <si>
    <t>2歳</t>
  </si>
  <si>
    <t>3歳以上</t>
  </si>
  <si>
    <t>島根中まき</t>
    <rPh sb="0" eb="2">
      <t xml:space="preserve">シマネ </t>
    </rPh>
    <phoneticPr fontId="1"/>
  </si>
  <si>
    <t xml:space="preserve"> </t>
  </si>
  <si>
    <t>産卵量</t>
    <rPh sb="0" eb="2">
      <t>サンラン</t>
    </rPh>
    <rPh sb="2" eb="3">
      <t>リョウ</t>
    </rPh>
    <phoneticPr fontId="1"/>
  </si>
  <si>
    <t>長崎中まき</t>
    <rPh sb="0" eb="2">
      <t>ナガサキ</t>
    </rPh>
    <rPh sb="2" eb="3">
      <t>チュウ</t>
    </rPh>
    <phoneticPr fontId="1"/>
  </si>
  <si>
    <t>補足表2-3. 将来予測計算に用いたパラメータ</t>
    <rPh sb="0" eb="3">
      <t xml:space="preserve">ホソクヒョウ </t>
    </rPh>
    <phoneticPr fontId="1"/>
  </si>
  <si>
    <t>選択率</t>
  </si>
  <si>
    <t>Fmsy</t>
  </si>
  <si>
    <t>F2020-2022</t>
    <phoneticPr fontId="1"/>
  </si>
  <si>
    <t>平均体重</t>
  </si>
  <si>
    <t>自然死亡</t>
  </si>
  <si>
    <t>成熟率</t>
    <rPh sb="2" eb="3">
      <t>リツ</t>
    </rPh>
    <phoneticPr fontId="1"/>
  </si>
  <si>
    <t>（注1）</t>
  </si>
  <si>
    <t>（注2）</t>
  </si>
  <si>
    <t>（注3）</t>
  </si>
  <si>
    <t>（g）</t>
  </si>
  <si>
    <t>係数</t>
  </si>
  <si>
    <r>
      <rPr>
        <sz val="10"/>
        <color theme="1"/>
        <rFont val="Meiryo UI"/>
        <family val="1"/>
        <charset val="128"/>
      </rPr>
      <t>注</t>
    </r>
    <r>
      <rPr>
        <sz val="10"/>
        <color theme="1"/>
        <rFont val="Times New Roman"/>
        <family val="1"/>
      </rPr>
      <t>1</t>
    </r>
    <r>
      <rPr>
        <sz val="10"/>
        <color theme="1"/>
        <rFont val="Meiryo UI"/>
        <family val="1"/>
        <charset val="128"/>
      </rPr>
      <t>：　平成</t>
    </r>
    <r>
      <rPr>
        <sz val="10"/>
        <color theme="1"/>
        <rFont val="Times New Roman"/>
        <family val="1"/>
      </rPr>
      <t>31</t>
    </r>
    <r>
      <rPr>
        <sz val="10"/>
        <color theme="1"/>
        <rFont val="Meiryo UI"/>
        <family val="1"/>
        <charset val="128"/>
      </rPr>
      <t>年度研究機関会議で</t>
    </r>
    <r>
      <rPr>
        <sz val="10"/>
        <color theme="1"/>
        <rFont val="Times New Roman"/>
        <family val="1"/>
      </rPr>
      <t>MSY</t>
    </r>
    <r>
      <rPr>
        <sz val="10"/>
        <color theme="1"/>
        <rFont val="Meiryo UI"/>
        <family val="1"/>
        <charset val="128"/>
      </rPr>
      <t>を実現する水準の推定の際に使用した選択率（すなわち、平成</t>
    </r>
    <r>
      <rPr>
        <sz val="10"/>
        <color theme="1"/>
        <rFont val="Times New Roman"/>
        <family val="1"/>
      </rPr>
      <t>30</t>
    </r>
    <r>
      <rPr>
        <sz val="10"/>
        <color theme="1"/>
        <rFont val="Meiryo UI"/>
        <family val="1"/>
        <charset val="128"/>
      </rPr>
      <t>年度資源評価での</t>
    </r>
    <r>
      <rPr>
        <sz val="10"/>
        <color theme="1"/>
        <rFont val="Times New Roman"/>
        <family val="1"/>
      </rPr>
      <t>Fcurrent</t>
    </r>
    <r>
      <rPr>
        <sz val="10"/>
        <color theme="1"/>
        <rFont val="Meiryo UI"/>
        <family val="1"/>
        <charset val="128"/>
      </rPr>
      <t>の選択率）。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Meiryo UI"/>
        <family val="1"/>
        <charset val="128"/>
      </rPr>
      <t>注</t>
    </r>
    <r>
      <rPr>
        <sz val="10"/>
        <color theme="1"/>
        <rFont val="Times New Roman"/>
        <family val="1"/>
      </rPr>
      <t>2</t>
    </r>
    <r>
      <rPr>
        <sz val="10"/>
        <color theme="1"/>
        <rFont val="Meiryo UI"/>
        <family val="1"/>
        <charset val="128"/>
      </rPr>
      <t>：　平成</t>
    </r>
    <r>
      <rPr>
        <sz val="10"/>
        <color theme="1"/>
        <rFont val="Times New Roman"/>
        <family val="1"/>
      </rPr>
      <t>31</t>
    </r>
    <r>
      <rPr>
        <sz val="10"/>
        <color theme="1"/>
        <rFont val="Meiryo UI"/>
        <family val="1"/>
        <charset val="128"/>
      </rPr>
      <t>年度研究機関会議で推定された</t>
    </r>
    <r>
      <rPr>
        <sz val="10"/>
        <color theme="1"/>
        <rFont val="Times New Roman"/>
        <family val="1"/>
      </rPr>
      <t>Fmsy</t>
    </r>
    <r>
      <rPr>
        <sz val="10"/>
        <color theme="1"/>
        <rFont val="Meiryo UI"/>
        <family val="1"/>
        <charset val="128"/>
      </rPr>
      <t>（すなわち、平成</t>
    </r>
    <r>
      <rPr>
        <sz val="10"/>
        <color theme="1"/>
        <rFont val="Times New Roman"/>
        <family val="1"/>
      </rPr>
      <t>30</t>
    </r>
    <r>
      <rPr>
        <sz val="10"/>
        <color theme="1"/>
        <rFont val="Meiryo UI"/>
        <family val="1"/>
        <charset val="128"/>
      </rPr>
      <t>年度資源評価での</t>
    </r>
    <r>
      <rPr>
        <sz val="10"/>
        <color theme="1"/>
        <rFont val="Times New Roman"/>
        <family val="1"/>
      </rPr>
      <t>Fcurrent</t>
    </r>
    <r>
      <rPr>
        <sz val="10"/>
        <color theme="1"/>
        <rFont val="Meiryo UI"/>
        <family val="1"/>
        <charset val="128"/>
      </rPr>
      <t>に</t>
    </r>
    <r>
      <rPr>
        <sz val="10"/>
        <color theme="1"/>
        <rFont val="Times New Roman"/>
        <family val="1"/>
      </rPr>
      <t>Fmsy/Fcurrent</t>
    </r>
    <r>
      <rPr>
        <sz val="10"/>
        <color theme="1"/>
        <rFont val="Meiryo UI"/>
        <family val="1"/>
        <charset val="128"/>
      </rPr>
      <t>を掛けたもの）。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Meiryo UI"/>
        <family val="1"/>
        <charset val="128"/>
      </rPr>
      <t>注</t>
    </r>
    <r>
      <rPr>
        <sz val="10"/>
        <color theme="1"/>
        <rFont val="Times New Roman"/>
        <family val="1"/>
      </rPr>
      <t>3</t>
    </r>
    <r>
      <rPr>
        <sz val="10"/>
        <color theme="1"/>
        <rFont val="Meiryo UI"/>
        <family val="1"/>
        <charset val="128"/>
      </rPr>
      <t>：　上記の選択率の下で、今回の資源評価で推定された</t>
    </r>
    <r>
      <rPr>
        <sz val="10"/>
        <color theme="1"/>
        <rFont val="Times New Roman"/>
        <family val="1"/>
      </rPr>
      <t>2020</t>
    </r>
    <r>
      <rPr>
        <sz val="10"/>
        <color theme="1"/>
        <rFont val="Meiryo UI"/>
        <family val="1"/>
        <charset val="128"/>
      </rPr>
      <t>～</t>
    </r>
    <r>
      <rPr>
        <sz val="10"/>
        <color theme="1"/>
        <rFont val="Times New Roman"/>
        <family val="1"/>
      </rPr>
      <t>2022</t>
    </r>
    <r>
      <rPr>
        <sz val="10"/>
        <color theme="1"/>
        <rFont val="Meiryo UI"/>
        <family val="1"/>
        <charset val="128"/>
      </rPr>
      <t>年の年齢別の平均</t>
    </r>
    <r>
      <rPr>
        <sz val="10"/>
        <color theme="1"/>
        <rFont val="Times New Roman"/>
        <family val="1"/>
      </rPr>
      <t>F</t>
    </r>
    <r>
      <rPr>
        <sz val="10"/>
        <color theme="1"/>
        <rFont val="Meiryo UI"/>
        <family val="1"/>
        <charset val="128"/>
      </rPr>
      <t>と同じ漁獲圧を与える</t>
    </r>
    <r>
      <rPr>
        <sz val="10"/>
        <color theme="1"/>
        <rFont val="Times New Roman"/>
        <family val="1"/>
      </rPr>
      <t>F</t>
    </r>
    <r>
      <rPr>
        <sz val="10"/>
        <color theme="1"/>
        <rFont val="Meiryo UI"/>
        <family val="1"/>
        <charset val="128"/>
      </rPr>
      <t>値を</t>
    </r>
    <r>
      <rPr>
        <sz val="10"/>
        <color theme="1"/>
        <rFont val="Times New Roman"/>
        <family val="1"/>
      </rPr>
      <t>%SPR</t>
    </r>
    <r>
      <rPr>
        <sz val="10"/>
        <color theme="1"/>
        <rFont val="Meiryo UI"/>
        <family val="1"/>
        <charset val="128"/>
      </rPr>
      <t>換算して算出した。この</t>
    </r>
    <r>
      <rPr>
        <sz val="10"/>
        <color theme="1"/>
        <rFont val="Times New Roman"/>
        <family val="1"/>
      </rPr>
      <t>F</t>
    </r>
    <r>
      <rPr>
        <sz val="10"/>
        <color theme="1"/>
        <rFont val="Meiryo UI"/>
        <family val="1"/>
        <charset val="128"/>
      </rPr>
      <t>値は</t>
    </r>
    <r>
      <rPr>
        <sz val="10"/>
        <color theme="1"/>
        <rFont val="Times New Roman"/>
        <family val="1"/>
      </rPr>
      <t>2023</t>
    </r>
    <r>
      <rPr>
        <sz val="10"/>
        <color theme="1"/>
        <rFont val="Meiryo UI"/>
        <family val="1"/>
        <charset val="128"/>
      </rPr>
      <t>年の漁獲量の仮定に使用した。</t>
    </r>
    <phoneticPr fontId="1"/>
  </si>
  <si>
    <r>
      <t>補足表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再生産関係式のパラメータ</t>
    </r>
  </si>
  <si>
    <t>再生産関係式</t>
  </si>
  <si>
    <t>最適化法</t>
  </si>
  <si>
    <t>自己相関</t>
  </si>
  <si>
    <t>a</t>
  </si>
  <si>
    <t>b</t>
  </si>
  <si>
    <t>S.D.</t>
  </si>
  <si>
    <t>ρ</t>
  </si>
  <si>
    <r>
      <t>ホッケー・スティック</t>
    </r>
    <r>
      <rPr>
        <sz val="10.5"/>
        <color rgb="FF000000"/>
        <rFont val="ＭＳ Ｐ明朝"/>
        <family val="1"/>
        <charset val="128"/>
      </rPr>
      <t>型</t>
    </r>
  </si>
  <si>
    <t>最小二乗法</t>
  </si>
  <si>
    <t>無</t>
  </si>
  <si>
    <t>-</t>
  </si>
  <si>
    <r>
      <t>補足表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管理基準値と</t>
    </r>
    <r>
      <rPr>
        <sz val="10.5"/>
        <color theme="1"/>
        <rFont val="Times New Roman"/>
        <family val="1"/>
      </rPr>
      <t>MSY</t>
    </r>
  </si>
  <si>
    <t>項目</t>
  </si>
  <si>
    <t>値</t>
  </si>
  <si>
    <t>説明</t>
  </si>
  <si>
    <t>SBtarget</t>
  </si>
  <si>
    <r>
      <t>310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</si>
  <si>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目標管理基準値。最大持続生産量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</si>
  <si>
    <t>SBlimit</t>
  </si>
  <si>
    <r>
      <t>143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</si>
  <si>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限界管理基準値。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</si>
  <si>
    <t>SBban</t>
  </si>
  <si>
    <r>
      <t>22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</si>
  <si>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禁漁水準。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の漁獲量が得られる親魚量（SB0.1msy）</t>
    </r>
    <phoneticPr fontId="1"/>
  </si>
  <si>
    <r>
      <t>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を実現する漁獲圧（漁獲係数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</si>
  <si>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歳以上）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0.33, 1.07, 0.69, 0.69</t>
    </r>
    <r>
      <rPr>
        <sz val="10.5"/>
        <color theme="1"/>
        <rFont val="ＭＳ Ｐ明朝"/>
        <family val="1"/>
        <charset val="128"/>
      </rPr>
      <t>）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</si>
  <si>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</si>
  <si>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</si>
  <si>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</si>
  <si>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323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</si>
  <si>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</si>
  <si>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r>
      <t>補足表</t>
    </r>
    <r>
      <rPr>
        <sz val="10.5"/>
        <color theme="1"/>
        <rFont val="Times New Roman"/>
        <family val="1"/>
      </rPr>
      <t>3-3.</t>
    </r>
    <r>
      <rPr>
        <sz val="10.5"/>
        <color theme="1"/>
        <rFont val="ＭＳ 明朝"/>
        <family val="1"/>
        <charset val="128"/>
      </rPr>
      <t>　最新年の親魚量と漁獲圧</t>
    </r>
  </si>
  <si>
    <t>SB2022</t>
  </si>
  <si>
    <r>
      <t>199</t>
    </r>
    <r>
      <rPr>
        <sz val="10.5"/>
        <color theme="1"/>
        <rFont val="ＭＳ Ｐ明朝"/>
        <family val="1"/>
        <charset val="128"/>
      </rPr>
      <t>千トン</t>
    </r>
  </si>
  <si>
    <r>
      <t>2022</t>
    </r>
    <r>
      <rPr>
        <sz val="10.5"/>
        <color rgb="FF000000"/>
        <rFont val="ＭＳ Ｐ明朝"/>
        <family val="1"/>
        <charset val="128"/>
      </rPr>
      <t>年の親魚量</t>
    </r>
  </si>
  <si>
    <t>F2022</t>
  </si>
  <si>
    <r>
      <t>2022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</si>
  <si>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0.36, 0.92, 1.30, 1.30</t>
    </r>
    <r>
      <rPr>
        <sz val="10.5"/>
        <color theme="1"/>
        <rFont val="ＭＳ Ｐ明朝"/>
        <family val="1"/>
        <charset val="128"/>
      </rPr>
      <t>）</t>
    </r>
  </si>
  <si>
    <t>U2022</t>
  </si>
  <si>
    <r>
      <t>2022</t>
    </r>
    <r>
      <rPr>
        <sz val="10.5"/>
        <color theme="1"/>
        <rFont val="ＭＳ Ｐ明朝"/>
        <family val="1"/>
        <charset val="128"/>
      </rPr>
      <t>年の漁獲割合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</si>
  <si>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F2022</t>
    </r>
    <r>
      <rPr>
        <sz val="10.5"/>
        <color theme="1"/>
        <rFont val="ＭＳ Ｐ明朝"/>
        <family val="1"/>
        <charset val="128"/>
      </rPr>
      <t>）</t>
    </r>
  </si>
  <si>
    <r>
      <t>2021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</si>
  <si>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F2020-2022</t>
    </r>
    <r>
      <rPr>
        <sz val="10.5"/>
        <color theme="1"/>
        <rFont val="ＭＳ Ｐ明朝"/>
        <family val="1"/>
        <charset val="128"/>
      </rPr>
      <t>）</t>
    </r>
  </si>
  <si>
    <r>
      <t>現状（</t>
    </r>
    <r>
      <rPr>
        <sz val="10.5"/>
        <color rgb="FF000000"/>
        <rFont val="Times New Roman"/>
        <family val="1"/>
      </rPr>
      <t>2020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</t>
    </r>
  </si>
  <si>
    <t>管理基準値との比較</t>
  </si>
  <si>
    <t>SB2022/ SBmsy</t>
  </si>
  <si>
    <r>
      <t>最大持続生産量を実現する親魚量（目標管理基準値）に対する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年の親魚量の比</t>
    </r>
  </si>
  <si>
    <t xml:space="preserve"> (SBtarget)</t>
  </si>
  <si>
    <t>F2022/ Fmsy</t>
  </si>
  <si>
    <r>
      <t>最大持続生産量を実現する漁獲圧に対する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</si>
  <si>
    <t>親魚量の水準</t>
  </si>
  <si>
    <r>
      <t>MSY</t>
    </r>
    <r>
      <rPr>
        <sz val="10.5"/>
        <color theme="1"/>
        <rFont val="ＭＳ Ｐ明朝"/>
        <family val="1"/>
        <charset val="128"/>
      </rPr>
      <t>を実現する水準を下回る</t>
    </r>
  </si>
  <si>
    <t>漁獲圧の水準</t>
  </si>
  <si>
    <r>
      <t>MSY</t>
    </r>
    <r>
      <rPr>
        <sz val="10.5"/>
        <color theme="1"/>
        <rFont val="ＭＳ Ｐ明朝"/>
        <family val="1"/>
        <charset val="128"/>
      </rPr>
      <t>を実現する水準を上回る</t>
    </r>
  </si>
  <si>
    <t>親魚量の動向</t>
  </si>
  <si>
    <t>横ばい</t>
  </si>
  <si>
    <r>
      <t>* 2022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</si>
  <si>
    <t>補足表3-4.　ABCと予測親魚量</t>
  </si>
  <si>
    <r>
      <t>2024</t>
    </r>
    <r>
      <rPr>
        <sz val="10.5"/>
        <color rgb="FF000000"/>
        <rFont val="ＭＳ Ｐ明朝"/>
        <family val="1"/>
        <charset val="128"/>
      </rPr>
      <t>年の</t>
    </r>
  </si>
  <si>
    <r>
      <t>2024</t>
    </r>
    <r>
      <rPr>
        <sz val="10.5"/>
        <color rgb="FF000000"/>
        <rFont val="ＭＳ Ｐ明朝"/>
        <family val="1"/>
        <charset val="128"/>
      </rPr>
      <t>年の親魚量</t>
    </r>
  </si>
  <si>
    <t>現状の漁獲圧に</t>
  </si>
  <si>
    <t>ABC</t>
  </si>
  <si>
    <t>予測平均値</t>
  </si>
  <si>
    <t>対する比</t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</si>
  <si>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</si>
  <si>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（</t>
    </r>
    <r>
      <rPr>
        <sz val="10.5"/>
        <color rgb="FF000000"/>
        <rFont val="Times New Roman"/>
        <family val="1"/>
      </rPr>
      <t>F/F2020-2022</t>
    </r>
    <r>
      <rPr>
        <sz val="10.5"/>
        <color rgb="FF000000"/>
        <rFont val="ＭＳ Ｐ明朝"/>
        <family val="1"/>
        <charset val="128"/>
      </rPr>
      <t>）</t>
    </r>
  </si>
  <si>
    <t>コメント：</t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</si>
  <si>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Ｐ明朝"/>
        <family val="1"/>
        <charset val="128"/>
      </rPr>
      <t>の算定には、令和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年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月に開催された「資源管理方針に関する検討会」にて取りまとめられ、令和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年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Ｐ明朝"/>
        <family val="1"/>
        <charset val="128"/>
      </rPr>
      <t>月に開催された「水産政策審議会」を経て定められた漁獲シナリオでの漁獲管理規則を用いた。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</si>
  <si>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ＭＳ 明朝"/>
        <family val="1"/>
        <charset val="128"/>
      </rPr>
      <t>数値はいずれも暦年の値である。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</si>
  <si>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明朝"/>
        <family val="1"/>
        <charset val="128"/>
      </rPr>
      <t>は日本と韓国を合わせた値。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</si>
  <si>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Ｐ明朝"/>
        <family val="1"/>
        <charset val="128"/>
      </rPr>
      <t>年漁期での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Ｐ明朝"/>
        <family val="1"/>
        <charset val="128"/>
      </rPr>
      <t>は</t>
    </r>
    <r>
      <rPr>
        <sz val="10.5"/>
        <color theme="1"/>
        <rFont val="Times New Roman"/>
        <family val="1"/>
      </rPr>
      <t>268</t>
    </r>
    <r>
      <rPr>
        <sz val="10.5"/>
        <color theme="1"/>
        <rFont val="ＭＳ Ｐ明朝"/>
        <family val="1"/>
        <charset val="128"/>
      </rPr>
      <t>千トンである（漁期は</t>
    </r>
    <r>
      <rPr>
        <sz val="10.5"/>
        <color theme="1"/>
        <rFont val="Times New Roman"/>
        <family val="1"/>
      </rPr>
      <t>7</t>
    </r>
    <r>
      <rPr>
        <sz val="10.5"/>
        <color theme="1"/>
        <rFont val="ＭＳ Ｐ明朝"/>
        <family val="1"/>
        <charset val="128"/>
      </rPr>
      <t>月～翌年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Ｐ明朝"/>
        <family val="1"/>
        <charset val="128"/>
      </rPr>
      <t>月）。</t>
    </r>
  </si>
  <si>
    <r>
      <t>補足表</t>
    </r>
    <r>
      <rPr>
        <sz val="10.5"/>
        <color theme="1"/>
        <rFont val="Times New Roman"/>
        <family val="1"/>
      </rPr>
      <t>3-5.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</si>
  <si>
    <r>
      <t>補足表</t>
    </r>
    <r>
      <rPr>
        <sz val="10.5"/>
        <color theme="1"/>
        <rFont val="Times New Roman"/>
        <family val="1"/>
      </rPr>
      <t>3-5.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を用いた将来予測結果（つづき）</t>
    </r>
  </si>
  <si>
    <r>
      <t>考慮している不確実性：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明朝"/>
        <family val="1"/>
        <charset val="128"/>
      </rPr>
      <t>加入量</t>
    </r>
  </si>
  <si>
    <t>考慮している不確実性：加入量</t>
  </si>
  <si>
    <r>
      <t>2030</t>
    </r>
    <r>
      <rPr>
        <sz val="10.5"/>
        <color rgb="FF000000"/>
        <rFont val="ＭＳ Ｐ明朝"/>
        <family val="1"/>
        <charset val="128"/>
      </rPr>
      <t>年</t>
    </r>
  </si>
  <si>
    <r>
      <t>2030</t>
    </r>
    <r>
      <rPr>
        <sz val="10.5"/>
        <color rgb="FF000000"/>
        <rFont val="ＭＳ Ｐ明朝"/>
        <family val="1"/>
        <charset val="128"/>
      </rPr>
      <t>年に親魚量が以下の</t>
    </r>
  </si>
  <si>
    <r>
      <t>親魚量が管理基準値を</t>
    </r>
    <r>
      <rPr>
        <sz val="10.5"/>
        <color rgb="FF000000"/>
        <rFont val="Times New Roman"/>
        <family val="1"/>
      </rPr>
      <t>50%</t>
    </r>
    <r>
      <rPr>
        <sz val="10.5"/>
        <color rgb="FF000000"/>
        <rFont val="ＭＳ Ｐ明朝"/>
        <family val="1"/>
        <charset val="128"/>
      </rPr>
      <t>以上の確率で上回る年</t>
    </r>
  </si>
  <si>
    <t>の親魚量</t>
  </si>
  <si>
    <t>予測区間</t>
  </si>
  <si>
    <r>
      <t>管理基準値を上回る確率（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</si>
  <si>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漁獲管理規則で使用する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　</t>
    </r>
  </si>
  <si>
    <r>
      <t>漁獲管理規則で使用する</t>
    </r>
    <r>
      <rPr>
        <sz val="10.5"/>
        <color rgb="FF000000"/>
        <rFont val="Times New Roman"/>
        <family val="1"/>
      </rPr>
      <t>β</t>
    </r>
  </si>
  <si>
    <t>β=0.95</t>
  </si>
  <si>
    <r>
      <t>2028</t>
    </r>
    <r>
      <rPr>
        <sz val="10.5"/>
        <color rgb="FF000000"/>
        <rFont val="ＭＳ Ｐ明朝"/>
        <family val="1"/>
        <charset val="128"/>
      </rPr>
      <t>年</t>
    </r>
  </si>
  <si>
    <r>
      <t>2023</t>
    </r>
    <r>
      <rPr>
        <sz val="10.5"/>
        <color rgb="FF000000"/>
        <rFont val="ＭＳ Ｐ明朝"/>
        <family val="1"/>
        <charset val="128"/>
      </rPr>
      <t>年</t>
    </r>
  </si>
  <si>
    <t>230 – 440</t>
  </si>
  <si>
    <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</si>
  <si>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t>β=1.0</t>
  </si>
  <si>
    <r>
      <t>2051</t>
    </r>
    <r>
      <rPr>
        <sz val="10.5"/>
        <color rgb="FF000000"/>
        <rFont val="ＭＳ Ｐ明朝"/>
        <family val="1"/>
        <charset val="128"/>
      </rPr>
      <t>年以降</t>
    </r>
  </si>
  <si>
    <t>209 – 419</t>
  </si>
  <si>
    <t>β=0.9</t>
  </si>
  <si>
    <r>
      <t>2027</t>
    </r>
    <r>
      <rPr>
        <sz val="10.5"/>
        <color rgb="FF000000"/>
        <rFont val="ＭＳ Ｐ明朝"/>
        <family val="1"/>
        <charset val="128"/>
      </rPr>
      <t>年</t>
    </r>
  </si>
  <si>
    <t>250 – 463</t>
  </si>
  <si>
    <t>β=0.8</t>
  </si>
  <si>
    <r>
      <t>2026</t>
    </r>
    <r>
      <rPr>
        <sz val="10.5"/>
        <color rgb="FF000000"/>
        <rFont val="ＭＳ Ｐ明朝"/>
        <family val="1"/>
        <charset val="128"/>
      </rPr>
      <t>年</t>
    </r>
  </si>
  <si>
    <t>289 – 514</t>
  </si>
  <si>
    <t>β=0</t>
  </si>
  <si>
    <r>
      <t>2025</t>
    </r>
    <r>
      <rPr>
        <sz val="10.5"/>
        <color rgb="FF000000"/>
        <rFont val="ＭＳ Ｐ明朝"/>
        <family val="1"/>
        <charset val="128"/>
      </rPr>
      <t>年</t>
    </r>
  </si>
  <si>
    <t>1,121 – 1,744</t>
  </si>
  <si>
    <t>154 – 376</t>
  </si>
  <si>
    <t>補足表3-6. 漁獲シナリオに対応する将来予測の年齢別詳細情報</t>
    <rPh sb="0" eb="3">
      <t xml:space="preserve">ホソクヒョウ </t>
    </rPh>
    <rPh sb="8" eb="10">
      <t xml:space="preserve">ギョカクシナリオ </t>
    </rPh>
    <rPh sb="15" eb="17">
      <t xml:space="preserve">タイオウスル </t>
    </rPh>
    <rPh sb="19" eb="23">
      <t xml:space="preserve">ショウライヨソクノ </t>
    </rPh>
    <rPh sb="24" eb="27">
      <t xml:space="preserve">ネンレイベツ </t>
    </rPh>
    <rPh sb="27" eb="29">
      <t xml:space="preserve">ショウサイ </t>
    </rPh>
    <rPh sb="29" eb="31">
      <t xml:space="preserve">ジョウホウ </t>
    </rPh>
    <phoneticPr fontId="1"/>
  </si>
  <si>
    <r>
      <t>年齢別漁獲係数（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値）</t>
    </r>
    <r>
      <rPr>
        <vertAlign val="superscript"/>
        <sz val="10.5"/>
        <color theme="1"/>
        <rFont val="ＭＳ 明朝"/>
        <family val="1"/>
        <charset val="128"/>
      </rPr>
      <t>＊</t>
    </r>
  </si>
  <si>
    <t>年齢＼年</t>
  </si>
  <si>
    <r>
      <t>0</t>
    </r>
    <r>
      <rPr>
        <sz val="10.5"/>
        <color rgb="FF000000"/>
        <rFont val="ＭＳ 明朝"/>
        <family val="1"/>
        <charset val="128"/>
      </rPr>
      <t>歳</t>
    </r>
  </si>
  <si>
    <r>
      <t>1</t>
    </r>
    <r>
      <rPr>
        <sz val="10.5"/>
        <color rgb="FF000000"/>
        <rFont val="ＭＳ 明朝"/>
        <family val="1"/>
        <charset val="128"/>
      </rPr>
      <t>歳</t>
    </r>
  </si>
  <si>
    <r>
      <t>2</t>
    </r>
    <r>
      <rPr>
        <sz val="10.5"/>
        <color rgb="FF000000"/>
        <rFont val="ＭＳ 明朝"/>
        <family val="1"/>
        <charset val="128"/>
      </rPr>
      <t>歳</t>
    </r>
  </si>
  <si>
    <r>
      <t>3</t>
    </r>
    <r>
      <rPr>
        <sz val="10.5"/>
        <color rgb="FF000000"/>
        <rFont val="ＭＳ 明朝"/>
        <family val="1"/>
        <charset val="128"/>
      </rPr>
      <t>歳以上</t>
    </r>
  </si>
  <si>
    <r>
      <t>年齢別平均資源尾数（百万尾）</t>
    </r>
    <r>
      <rPr>
        <vertAlign val="superscript"/>
        <sz val="10.5"/>
        <color theme="1"/>
        <rFont val="ＭＳ 明朝"/>
        <family val="1"/>
        <charset val="128"/>
      </rPr>
      <t>＊</t>
    </r>
  </si>
  <si>
    <r>
      <t>＊</t>
    </r>
    <r>
      <rPr>
        <sz val="10.5"/>
        <color theme="1"/>
        <rFont val="ＭＳ 明朝"/>
        <family val="1"/>
        <charset val="128"/>
      </rPr>
      <t>10,000回の繰り返し計算を行った平均値</t>
    </r>
  </si>
  <si>
    <r>
      <t>補足資料</t>
    </r>
    <r>
      <rPr>
        <sz val="10.5"/>
        <color theme="1"/>
        <rFont val="Arial"/>
        <family val="2"/>
      </rPr>
      <t>4</t>
    </r>
    <r>
      <rPr>
        <sz val="10.5"/>
        <color theme="1"/>
        <rFont val="ＭＳ ゴシック"/>
        <family val="3"/>
        <charset val="128"/>
      </rPr>
      <t>　調査船調査の結果</t>
    </r>
    <phoneticPr fontId="1"/>
  </si>
  <si>
    <t>（1）計量魚探などを用いた浮魚類魚群量調査による現存量指標値</t>
    <rPh sb="3" eb="5">
      <t xml:space="preserve">ケイリョウ </t>
    </rPh>
    <rPh sb="5" eb="7">
      <t xml:space="preserve">ケイリョウギョタン </t>
    </rPh>
    <rPh sb="10" eb="11">
      <t xml:space="preserve">モチイタ </t>
    </rPh>
    <rPh sb="13" eb="16">
      <t xml:space="preserve">ウキウオルイ </t>
    </rPh>
    <rPh sb="16" eb="18">
      <t xml:space="preserve">ギョグン </t>
    </rPh>
    <rPh sb="18" eb="19">
      <t xml:space="preserve">リョウ </t>
    </rPh>
    <rPh sb="19" eb="21">
      <t xml:space="preserve">チョウサ </t>
    </rPh>
    <rPh sb="24" eb="26">
      <t>ゲンゾン</t>
    </rPh>
    <rPh sb="26" eb="27">
      <t>リョウ</t>
    </rPh>
    <rPh sb="27" eb="29">
      <t>シヒョウ</t>
    </rPh>
    <rPh sb="29" eb="30">
      <t>アタイ</t>
    </rPh>
    <phoneticPr fontId="1"/>
  </si>
  <si>
    <t>年</t>
  </si>
  <si>
    <t>さば類</t>
  </si>
  <si>
    <t>（2）底魚類現存量調査（東シナ海）による現存量推定値（トン）</t>
    <rPh sb="3" eb="6">
      <t xml:space="preserve">ソコウオルイ </t>
    </rPh>
    <rPh sb="6" eb="8">
      <t xml:space="preserve">ゲンゾン </t>
    </rPh>
    <rPh sb="8" eb="9">
      <t xml:space="preserve">リョウ </t>
    </rPh>
    <rPh sb="9" eb="11">
      <t xml:space="preserve">チョウサ </t>
    </rPh>
    <rPh sb="20" eb="22">
      <t>ゲンゾン</t>
    </rPh>
    <rPh sb="22" eb="23">
      <t>リョウ</t>
    </rPh>
    <rPh sb="23" eb="26">
      <t>スイテイチ</t>
    </rPh>
    <phoneticPr fontId="1"/>
  </si>
  <si>
    <t>マサバ</t>
  </si>
  <si>
    <t>未実施</t>
    <rPh sb="0" eb="3">
      <t>ミジッシ</t>
    </rPh>
    <phoneticPr fontId="1"/>
  </si>
  <si>
    <t>補足資料5 コホート解析結果の詳細</t>
    <rPh sb="15" eb="17">
      <t>カイセキケッカショウサイ</t>
    </rPh>
    <phoneticPr fontId="1"/>
  </si>
  <si>
    <r>
      <rPr>
        <sz val="10.5"/>
        <rFont val="ＭＳ 明朝"/>
        <family val="1"/>
        <charset val="128"/>
      </rPr>
      <t>漁獲尾数（百万尾）</t>
    </r>
    <rPh sb="0" eb="2">
      <t>ギョカク</t>
    </rPh>
    <rPh sb="2" eb="4">
      <t>ビスウ</t>
    </rPh>
    <rPh sb="5" eb="7">
      <t>ヒャクマン</t>
    </rPh>
    <rPh sb="7" eb="8">
      <t>ビ</t>
    </rPh>
    <phoneticPr fontId="2"/>
  </si>
  <si>
    <r>
      <rPr>
        <sz val="10.5"/>
        <rFont val="ＭＳ 明朝"/>
        <family val="1"/>
        <charset val="128"/>
      </rPr>
      <t>漁獲重量（千トン）</t>
    </r>
    <rPh sb="0" eb="2">
      <t>ギョカク</t>
    </rPh>
    <rPh sb="2" eb="4">
      <t>ジュウリョウ</t>
    </rPh>
    <rPh sb="5" eb="6">
      <t>セン</t>
    </rPh>
    <phoneticPr fontId="2"/>
  </si>
  <si>
    <r>
      <rPr>
        <sz val="10.5"/>
        <rFont val="ＭＳ 明朝"/>
        <family val="1"/>
        <charset val="128"/>
      </rPr>
      <t>漁獲係数</t>
    </r>
    <r>
      <rPr>
        <sz val="10.5"/>
        <rFont val="Times New Roman"/>
        <family val="1"/>
      </rPr>
      <t>F</t>
    </r>
    <rPh sb="0" eb="2">
      <t>ギョカク</t>
    </rPh>
    <rPh sb="2" eb="4">
      <t>ケイスウ</t>
    </rPh>
    <phoneticPr fontId="2"/>
  </si>
  <si>
    <r>
      <rPr>
        <sz val="10.5"/>
        <rFont val="ＭＳ 明朝"/>
        <family val="1"/>
        <charset val="128"/>
      </rPr>
      <t>平均体重</t>
    </r>
    <r>
      <rPr>
        <sz val="10.5"/>
        <rFont val="Times New Roman"/>
        <family val="1"/>
      </rPr>
      <t>(g)</t>
    </r>
    <rPh sb="0" eb="2">
      <t>ヘイキン</t>
    </rPh>
    <rPh sb="2" eb="4">
      <t>タイジュウ</t>
    </rPh>
    <phoneticPr fontId="2"/>
  </si>
  <si>
    <t xml:space="preserve"> </t>
    <phoneticPr fontId="2"/>
  </si>
  <si>
    <r>
      <rPr>
        <sz val="10.5"/>
        <rFont val="ＭＳ 明朝"/>
        <family val="1"/>
        <charset val="128"/>
      </rPr>
      <t>資源尾数（百万尾）</t>
    </r>
    <rPh sb="0" eb="2">
      <t>シゲン</t>
    </rPh>
    <rPh sb="2" eb="4">
      <t>ビスウ</t>
    </rPh>
    <rPh sb="5" eb="7">
      <t>ヒャクマン</t>
    </rPh>
    <rPh sb="7" eb="8">
      <t>ビ</t>
    </rPh>
    <phoneticPr fontId="2"/>
  </si>
  <si>
    <r>
      <rPr>
        <sz val="10.5"/>
        <rFont val="ＭＳ 明朝"/>
        <family val="1"/>
        <charset val="128"/>
      </rPr>
      <t>資源量（千トン）</t>
    </r>
    <rPh sb="0" eb="2">
      <t>シゲン</t>
    </rPh>
    <rPh sb="2" eb="3">
      <t>リョウ</t>
    </rPh>
    <rPh sb="4" eb="5">
      <t>セン</t>
    </rPh>
    <phoneticPr fontId="2"/>
  </si>
  <si>
    <r>
      <rPr>
        <sz val="10.5"/>
        <rFont val="ＭＳ 明朝"/>
        <family val="1"/>
        <charset val="128"/>
      </rPr>
      <t>年＼年齢</t>
    </r>
    <rPh sb="0" eb="1">
      <t>ネン</t>
    </rPh>
    <rPh sb="2" eb="4">
      <t>ネンレイ</t>
    </rPh>
    <phoneticPr fontId="2"/>
  </si>
  <si>
    <t>3+</t>
    <phoneticPr fontId="2"/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</si>
  <si>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明朝"/>
        <family val="1"/>
        <charset val="128"/>
      </rPr>
      <t>と予測親魚量</t>
    </r>
  </si>
  <si>
    <r>
      <t>2024</t>
    </r>
    <r>
      <rPr>
        <sz val="10.5"/>
        <color rgb="FF000000"/>
        <rFont val="ＭＳ Ｐ明朝"/>
        <family val="1"/>
        <charset val="128"/>
      </rPr>
      <t>年漁期の</t>
    </r>
  </si>
  <si>
    <r>
      <t>2024</t>
    </r>
    <r>
      <rPr>
        <sz val="10.5"/>
        <color rgb="FF000000"/>
        <rFont val="ＭＳ Ｐ明朝"/>
        <family val="1"/>
        <charset val="128"/>
      </rPr>
      <t>年漁期の親魚量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</si>
  <si>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ＭＳ 明朝"/>
        <family val="1"/>
        <charset val="128"/>
      </rPr>
      <t>数値はいずれも漁期年の値である。</t>
    </r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</si>
  <si>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ＭＳ Ｐ明朝"/>
        <family val="1"/>
        <charset val="128"/>
      </rPr>
      <t>加入変動を考慮しない決定論的な結果である。</t>
    </r>
  </si>
  <si>
    <t>補足表8-1.　 各年の評価年別の加入量（百万尾）、親魚量（千トン）、資源量（千トン）、漁獲圧（Fmsy比）。赤色の数字は当該年ABC計算時の予測値もしくは仮定値を、青色の数字は評価年の予測値もしくは仮定値を、黒色の数字は資源評価での推定値をそれぞれ示す</t>
    <phoneticPr fontId="1"/>
  </si>
  <si>
    <t>加入量</t>
    <rPh sb="0" eb="2">
      <t>カニュウ</t>
    </rPh>
    <rPh sb="2" eb="3">
      <t>リョウ</t>
    </rPh>
    <phoneticPr fontId="1"/>
  </si>
  <si>
    <t>評価年</t>
  </si>
  <si>
    <r>
      <t>2020</t>
    </r>
    <r>
      <rPr>
        <sz val="10.5"/>
        <color rgb="FF0D0D0D"/>
        <rFont val="ＭＳ 明朝"/>
        <family val="1"/>
        <charset val="128"/>
      </rPr>
      <t>年</t>
    </r>
  </si>
  <si>
    <r>
      <t>2021</t>
    </r>
    <r>
      <rPr>
        <sz val="10.5"/>
        <color rgb="FF0D0D0D"/>
        <rFont val="ＭＳ 明朝"/>
        <family val="1"/>
        <charset val="128"/>
      </rPr>
      <t>年</t>
    </r>
  </si>
  <si>
    <r>
      <t>2022</t>
    </r>
    <r>
      <rPr>
        <sz val="10.5"/>
        <color rgb="FF0D0D0D"/>
        <rFont val="ＭＳ 明朝"/>
        <family val="1"/>
        <charset val="128"/>
      </rPr>
      <t>年</t>
    </r>
  </si>
  <si>
    <r>
      <t>2023</t>
    </r>
    <r>
      <rPr>
        <sz val="10.5"/>
        <color rgb="FF0D0D0D"/>
        <rFont val="ＭＳ 明朝"/>
        <family val="1"/>
        <charset val="128"/>
      </rPr>
      <t>年</t>
    </r>
  </si>
  <si>
    <r>
      <t>2024</t>
    </r>
    <r>
      <rPr>
        <sz val="10.5"/>
        <color rgb="FF0D0D0D"/>
        <rFont val="ＭＳ 明朝"/>
        <family val="1"/>
        <charset val="128"/>
      </rPr>
      <t>年</t>
    </r>
  </si>
  <si>
    <t>親魚量</t>
    <rPh sb="0" eb="1">
      <t>シン</t>
    </rPh>
    <rPh sb="1" eb="2">
      <t>ギョ</t>
    </rPh>
    <rPh sb="2" eb="3">
      <t>リョウ</t>
    </rPh>
    <phoneticPr fontId="1"/>
  </si>
  <si>
    <t>資源量</t>
    <rPh sb="0" eb="2">
      <t>シゲン</t>
    </rPh>
    <rPh sb="2" eb="3">
      <t>リョウ</t>
    </rPh>
    <phoneticPr fontId="1"/>
  </si>
  <si>
    <t>漁獲圧</t>
    <rPh sb="0" eb="2">
      <t>ギョカク</t>
    </rPh>
    <rPh sb="2" eb="3">
      <t>アツ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</si>
</sst>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,##0_ "/>
    <numFmt numFmtId="177" formatCode="0_ "/>
    <numFmt numFmtId="178" formatCode="0.00_ "/>
    <numFmt numFmtId="179" formatCode="#,##0_);[Red]\(#,##0\)"/>
    <numFmt numFmtId="180" formatCode="0.00_);[Red]\(0.00\)"/>
    <numFmt numFmtId="181" formatCode="0.0_ "/>
    <numFmt numFmtId="182" formatCode="0.0"/>
    <numFmt numFmtId="183" formatCode="#,##0.000_);[Red]\(#,##0.000\)"/>
    <numFmt numFmtId="184" formatCode="#,##0.000_ "/>
    <numFmt numFmtId="185" formatCode="#,##0.00_);[Red]\(#,##0.00\)"/>
    <numFmt numFmtId="186" formatCode="0_);[Red]\(0\)"/>
    <numFmt numFmtId="187" formatCode="#,##0.00_ "/>
    <numFmt numFmtId="188" formatCode="0.0%"/>
  </numFmts>
  <fonts count="4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.5"/>
      <name val="Times New Roman"/>
      <family val="1"/>
    </font>
    <font>
      <sz val="12"/>
      <name val="Osaka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10.5"/>
      <name val="ＭＳ 明朝"/>
      <family val="1"/>
      <charset val="128"/>
    </font>
    <font>
      <sz val="11"/>
      <color rgb="FF000000"/>
      <name val="ＭＳ Ｐゴシック"/>
      <family val="3"/>
      <charset val="128"/>
      <scheme val="minor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0.5"/>
      <color theme="1"/>
      <name val="Yu Gothic"/>
      <family val="1"/>
      <charset val="128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ＭＳ Ｐゴシック"/>
      <family val="2"/>
      <charset val="128"/>
      <scheme val="minor"/>
    </font>
    <font>
      <vertAlign val="superscript"/>
      <sz val="10.5"/>
      <color theme="1"/>
      <name val="ＭＳ 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name val="ＭＳ Ｐ明朝"/>
      <family val="1"/>
      <charset val="128"/>
    </font>
    <font>
      <sz val="10.5"/>
      <color rgb="FF0D0D0D"/>
      <name val="ＭＳ 明朝"/>
      <family val="1"/>
      <charset val="128"/>
    </font>
    <font>
      <sz val="10.5"/>
      <color rgb="FF0D0D0D"/>
      <name val="Times New Roman"/>
      <family val="1"/>
    </font>
    <font>
      <sz val="10.5"/>
      <color rgb="FFFF0000"/>
      <name val="Times New Roman"/>
      <family val="1"/>
    </font>
    <font>
      <sz val="10.5"/>
      <color rgb="FF0070C0"/>
      <name val="Times New Roman"/>
      <family val="1"/>
    </font>
    <font>
      <b/>
      <sz val="11"/>
      <color rgb="FFFF0000"/>
      <name val="ＭＳ Ｐゴシック"/>
      <family val="3"/>
      <charset val="128"/>
      <scheme val="minor"/>
    </font>
    <font>
      <sz val="10.5"/>
      <color rgb="FFFF0000"/>
      <name val="ＭＳ 明朝"/>
      <family val="1"/>
      <charset val="128"/>
    </font>
    <font>
      <b/>
      <sz val="11"/>
      <color rgb="FFFF0000"/>
      <name val="ＭＳ Ｐ明朝"/>
      <family val="1"/>
      <charset val="128"/>
    </font>
    <font>
      <sz val="10.5"/>
      <color rgb="FF00B0F0"/>
      <name val="Times New Roman"/>
      <family val="1"/>
      <charset val="128"/>
    </font>
    <font>
      <sz val="11"/>
      <name val="ＭＳ Ｐゴシック"/>
      <family val="3"/>
      <charset val="128"/>
      <scheme val="minor"/>
    </font>
    <font>
      <b/>
      <sz val="11"/>
      <color theme="4"/>
      <name val="ＭＳ Ｐゴシック"/>
      <family val="3"/>
      <charset val="128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Times New Roman"/>
      <family val="1"/>
      <charset val="128"/>
    </font>
    <font>
      <sz val="10"/>
      <color theme="1"/>
      <name val="Meiryo UI"/>
      <family val="1"/>
      <charset val="128"/>
    </font>
    <font>
      <sz val="10.5"/>
      <color rgb="FF000000"/>
      <name val="ＭＳ Ｐ明朝"/>
      <family val="1"/>
      <charset val="128"/>
    </font>
    <font>
      <sz val="7"/>
      <color theme="1"/>
      <name val="Times New Roman"/>
      <family val="1"/>
    </font>
    <font>
      <sz val="10.5"/>
      <color theme="1"/>
      <name val="ＭＳ ゴシック"/>
      <family val="3"/>
      <charset val="128"/>
    </font>
    <font>
      <sz val="10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7" fillId="0" borderId="0"/>
    <xf numFmtId="38" fontId="7" fillId="0" borderId="0" applyFont="0" applyFill="0" applyBorder="0" applyAlignment="0" applyProtection="0">
      <alignment vertical="center"/>
    </xf>
    <xf numFmtId="0" fontId="7" fillId="0" borderId="0"/>
    <xf numFmtId="0" fontId="8" fillId="0" borderId="0"/>
  </cellStyleXfs>
  <cellXfs count="254">
    <xf numFmtId="0" fontId="0" fillId="0" borderId="0" xfId="0">
      <alignment vertical="center"/>
    </xf>
    <xf numFmtId="0" fontId="3" fillId="0" borderId="0" xfId="0" applyFont="1">
      <alignment vertical="center"/>
    </xf>
    <xf numFmtId="3" fontId="0" fillId="0" borderId="0" xfId="0" applyNumberFormat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6" xfId="0" applyBorder="1">
      <alignment vertical="center"/>
    </xf>
    <xf numFmtId="0" fontId="3" fillId="0" borderId="2" xfId="0" applyFont="1" applyBorder="1">
      <alignment vertical="center"/>
    </xf>
    <xf numFmtId="179" fontId="6" fillId="2" borderId="7" xfId="0" applyNumberFormat="1" applyFont="1" applyFill="1" applyBorder="1">
      <alignment vertical="center"/>
    </xf>
    <xf numFmtId="179" fontId="6" fillId="2" borderId="4" xfId="0" applyNumberFormat="1" applyFont="1" applyFill="1" applyBorder="1">
      <alignment vertical="center"/>
    </xf>
    <xf numFmtId="183" fontId="0" fillId="0" borderId="0" xfId="0" applyNumberFormat="1">
      <alignment vertical="center"/>
    </xf>
    <xf numFmtId="179" fontId="0" fillId="0" borderId="0" xfId="0" applyNumberFormat="1">
      <alignment vertical="center"/>
    </xf>
    <xf numFmtId="183" fontId="6" fillId="2" borderId="10" xfId="0" applyNumberFormat="1" applyFont="1" applyFill="1" applyBorder="1">
      <alignment vertical="center"/>
    </xf>
    <xf numFmtId="179" fontId="6" fillId="2" borderId="10" xfId="0" applyNumberFormat="1" applyFont="1" applyFill="1" applyBorder="1">
      <alignment vertical="center"/>
    </xf>
    <xf numFmtId="179" fontId="6" fillId="2" borderId="8" xfId="0" applyNumberFormat="1" applyFont="1" applyFill="1" applyBorder="1">
      <alignment vertical="center"/>
    </xf>
    <xf numFmtId="179" fontId="6" fillId="2" borderId="9" xfId="0" applyNumberFormat="1" applyFont="1" applyFill="1" applyBorder="1">
      <alignment vertical="center"/>
    </xf>
    <xf numFmtId="0" fontId="6" fillId="2" borderId="7" xfId="0" applyFont="1" applyFill="1" applyBorder="1">
      <alignment vertical="center"/>
    </xf>
    <xf numFmtId="183" fontId="6" fillId="2" borderId="6" xfId="0" applyNumberFormat="1" applyFont="1" applyFill="1" applyBorder="1">
      <alignment vertical="center"/>
    </xf>
    <xf numFmtId="179" fontId="6" fillId="2" borderId="6" xfId="0" applyNumberFormat="1" applyFont="1" applyFill="1" applyBorder="1">
      <alignment vertical="center"/>
    </xf>
    <xf numFmtId="179" fontId="6" fillId="2" borderId="0" xfId="0" applyNumberFormat="1" applyFont="1" applyFill="1">
      <alignment vertical="center"/>
    </xf>
    <xf numFmtId="179" fontId="6" fillId="2" borderId="5" xfId="0" applyNumberFormat="1" applyFont="1" applyFill="1" applyBorder="1">
      <alignment vertical="center"/>
    </xf>
    <xf numFmtId="0" fontId="6" fillId="2" borderId="4" xfId="0" applyFont="1" applyFill="1" applyBorder="1">
      <alignment vertical="center"/>
    </xf>
    <xf numFmtId="38" fontId="0" fillId="0" borderId="0" xfId="1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180" fontId="3" fillId="0" borderId="12" xfId="0" applyNumberFormat="1" applyFont="1" applyBorder="1" applyAlignment="1">
      <alignment horizontal="right" vertical="center"/>
    </xf>
    <xf numFmtId="180" fontId="3" fillId="0" borderId="0" xfId="0" applyNumberFormat="1" applyFont="1">
      <alignment vertical="center"/>
    </xf>
    <xf numFmtId="180" fontId="3" fillId="0" borderId="0" xfId="0" applyNumberFormat="1" applyFont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180" fontId="3" fillId="0" borderId="8" xfId="0" applyNumberFormat="1" applyFont="1" applyBorder="1" applyAlignment="1">
      <alignment horizontal="right" vertical="center"/>
    </xf>
    <xf numFmtId="180" fontId="3" fillId="0" borderId="8" xfId="0" applyNumberFormat="1" applyFont="1" applyBorder="1">
      <alignment vertical="center"/>
    </xf>
    <xf numFmtId="0" fontId="3" fillId="0" borderId="8" xfId="0" applyFont="1" applyBorder="1">
      <alignment vertical="center"/>
    </xf>
    <xf numFmtId="0" fontId="3" fillId="0" borderId="12" xfId="0" applyFont="1" applyBorder="1">
      <alignment vertical="center"/>
    </xf>
    <xf numFmtId="2" fontId="3" fillId="0" borderId="0" xfId="0" applyNumberFormat="1" applyFont="1">
      <alignment vertical="center"/>
    </xf>
    <xf numFmtId="2" fontId="3" fillId="0" borderId="8" xfId="0" applyNumberFormat="1" applyFont="1" applyBorder="1">
      <alignment vertical="center"/>
    </xf>
    <xf numFmtId="181" fontId="3" fillId="0" borderId="2" xfId="0" applyNumberFormat="1" applyFont="1" applyBorder="1">
      <alignment vertical="center"/>
    </xf>
    <xf numFmtId="3" fontId="3" fillId="0" borderId="2" xfId="0" applyNumberFormat="1" applyFont="1" applyBorder="1">
      <alignment vertical="center"/>
    </xf>
    <xf numFmtId="182" fontId="3" fillId="0" borderId="2" xfId="0" applyNumberFormat="1" applyFont="1" applyBorder="1">
      <alignment vertical="center"/>
    </xf>
    <xf numFmtId="0" fontId="6" fillId="0" borderId="13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176" fontId="6" fillId="0" borderId="0" xfId="0" applyNumberFormat="1" applyFont="1">
      <alignment vertical="center"/>
    </xf>
    <xf numFmtId="177" fontId="6" fillId="0" borderId="5" xfId="0" applyNumberFormat="1" applyFont="1" applyBorder="1">
      <alignment vertical="center"/>
    </xf>
    <xf numFmtId="177" fontId="6" fillId="0" borderId="0" xfId="0" applyNumberFormat="1" applyFont="1">
      <alignment vertical="center"/>
    </xf>
    <xf numFmtId="177" fontId="6" fillId="0" borderId="6" xfId="0" applyNumberFormat="1" applyFont="1" applyBorder="1">
      <alignment vertical="center"/>
    </xf>
    <xf numFmtId="178" fontId="6" fillId="0" borderId="0" xfId="0" applyNumberFormat="1" applyFont="1">
      <alignment vertical="center"/>
    </xf>
    <xf numFmtId="178" fontId="6" fillId="0" borderId="6" xfId="0" applyNumberFormat="1" applyFont="1" applyBorder="1">
      <alignment vertical="center"/>
    </xf>
    <xf numFmtId="176" fontId="6" fillId="0" borderId="6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184" fontId="3" fillId="0" borderId="0" xfId="0" applyNumberFormat="1" applyFont="1">
      <alignment vertical="center"/>
    </xf>
    <xf numFmtId="176" fontId="6" fillId="0" borderId="5" xfId="0" applyNumberFormat="1" applyFont="1" applyBorder="1">
      <alignment vertical="center"/>
    </xf>
    <xf numFmtId="0" fontId="6" fillId="0" borderId="7" xfId="0" applyFont="1" applyBorder="1">
      <alignment vertical="center"/>
    </xf>
    <xf numFmtId="176" fontId="6" fillId="0" borderId="9" xfId="0" applyNumberFormat="1" applyFont="1" applyBorder="1">
      <alignment vertical="center"/>
    </xf>
    <xf numFmtId="176" fontId="6" fillId="0" borderId="8" xfId="0" applyNumberFormat="1" applyFont="1" applyBorder="1">
      <alignment vertical="center"/>
    </xf>
    <xf numFmtId="176" fontId="6" fillId="0" borderId="10" xfId="0" applyNumberFormat="1" applyFont="1" applyBorder="1">
      <alignment vertical="center"/>
    </xf>
    <xf numFmtId="177" fontId="6" fillId="0" borderId="9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7" fontId="6" fillId="0" borderId="10" xfId="0" applyNumberFormat="1" applyFont="1" applyBorder="1">
      <alignment vertical="center"/>
    </xf>
    <xf numFmtId="178" fontId="6" fillId="0" borderId="9" xfId="0" applyNumberFormat="1" applyFont="1" applyBorder="1">
      <alignment vertical="center"/>
    </xf>
    <xf numFmtId="178" fontId="6" fillId="0" borderId="8" xfId="0" applyNumberFormat="1" applyFont="1" applyBorder="1">
      <alignment vertical="center"/>
    </xf>
    <xf numFmtId="178" fontId="6" fillId="0" borderId="10" xfId="0" applyNumberFormat="1" applyFont="1" applyBorder="1">
      <alignment vertical="center"/>
    </xf>
    <xf numFmtId="38" fontId="0" fillId="0" borderId="0" xfId="0" applyNumberFormat="1">
      <alignment vertical="center"/>
    </xf>
    <xf numFmtId="185" fontId="0" fillId="0" borderId="0" xfId="0" applyNumberFormat="1">
      <alignment vertical="center"/>
    </xf>
    <xf numFmtId="180" fontId="6" fillId="2" borderId="4" xfId="0" applyNumberFormat="1" applyFont="1" applyFill="1" applyBorder="1">
      <alignment vertical="center"/>
    </xf>
    <xf numFmtId="180" fontId="6" fillId="2" borderId="7" xfId="0" applyNumberFormat="1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0" borderId="2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2" fontId="6" fillId="2" borderId="4" xfId="0" applyNumberFormat="1" applyFont="1" applyFill="1" applyBorder="1">
      <alignment vertical="center"/>
    </xf>
    <xf numFmtId="2" fontId="6" fillId="2" borderId="7" xfId="0" applyNumberFormat="1" applyFont="1" applyFill="1" applyBorder="1">
      <alignment vertical="center"/>
    </xf>
    <xf numFmtId="180" fontId="6" fillId="2" borderId="6" xfId="0" applyNumberFormat="1" applyFont="1" applyFill="1" applyBorder="1">
      <alignment vertical="center"/>
    </xf>
    <xf numFmtId="186" fontId="6" fillId="2" borderId="7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38" fontId="14" fillId="0" borderId="0" xfId="0" applyNumberFormat="1" applyFont="1">
      <alignment vertical="center"/>
    </xf>
    <xf numFmtId="2" fontId="3" fillId="0" borderId="12" xfId="0" applyNumberFormat="1" applyFont="1" applyBorder="1">
      <alignment vertical="center"/>
    </xf>
    <xf numFmtId="3" fontId="3" fillId="0" borderId="0" xfId="0" applyNumberFormat="1" applyFont="1">
      <alignment vertical="center"/>
    </xf>
    <xf numFmtId="3" fontId="3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82" fontId="6" fillId="0" borderId="0" xfId="0" applyNumberFormat="1" applyFont="1">
      <alignment vertical="center"/>
    </xf>
    <xf numFmtId="0" fontId="12" fillId="0" borderId="0" xfId="0" applyFont="1" applyAlignment="1">
      <alignment horizontal="left" vertical="center"/>
    </xf>
    <xf numFmtId="0" fontId="20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right" vertical="center"/>
    </xf>
    <xf numFmtId="0" fontId="2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right" vertical="center"/>
    </xf>
    <xf numFmtId="0" fontId="0" fillId="0" borderId="0" xfId="0" applyAlignment="1"/>
    <xf numFmtId="0" fontId="19" fillId="0" borderId="0" xfId="0" applyFo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87" fontId="3" fillId="0" borderId="0" xfId="0" applyNumberFormat="1" applyFont="1">
      <alignment vertical="center"/>
    </xf>
    <xf numFmtId="0" fontId="23" fillId="3" borderId="14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3" borderId="16" xfId="0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38" fontId="0" fillId="0" borderId="0" xfId="1" applyFont="1" applyFill="1" applyBorder="1">
      <alignment vertical="center"/>
    </xf>
    <xf numFmtId="38" fontId="27" fillId="0" borderId="0" xfId="0" applyNumberFormat="1" applyFont="1">
      <alignment vertical="center"/>
    </xf>
    <xf numFmtId="0" fontId="28" fillId="0" borderId="0" xfId="0" applyFont="1" applyAlignment="1">
      <alignment vertical="top" wrapText="1"/>
    </xf>
    <xf numFmtId="0" fontId="29" fillId="0" borderId="0" xfId="0" applyFont="1">
      <alignment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vertical="top" wrapText="1"/>
    </xf>
    <xf numFmtId="179" fontId="32" fillId="0" borderId="0" xfId="0" applyNumberFormat="1" applyFont="1">
      <alignment vertical="center"/>
    </xf>
    <xf numFmtId="38" fontId="32" fillId="0" borderId="0" xfId="0" applyNumberFormat="1" applyFont="1">
      <alignment vertical="center"/>
    </xf>
    <xf numFmtId="0" fontId="32" fillId="0" borderId="0" xfId="0" applyFont="1">
      <alignment vertical="center"/>
    </xf>
    <xf numFmtId="38" fontId="0" fillId="0" borderId="8" xfId="1" applyFont="1" applyFill="1" applyBorder="1">
      <alignment vertical="center"/>
    </xf>
    <xf numFmtId="0" fontId="22" fillId="0" borderId="11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7" fillId="0" borderId="13" xfId="4" applyFont="1" applyBorder="1" applyAlignment="1">
      <alignment vertical="center"/>
    </xf>
    <xf numFmtId="0" fontId="33" fillId="0" borderId="13" xfId="4" applyFont="1" applyBorder="1" applyAlignment="1">
      <alignment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right" vertical="center"/>
    </xf>
    <xf numFmtId="0" fontId="33" fillId="0" borderId="13" xfId="0" applyFont="1" applyBorder="1" applyAlignment="1">
      <alignment horizontal="right" vertical="center"/>
    </xf>
    <xf numFmtId="2" fontId="17" fillId="0" borderId="13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34" fillId="0" borderId="13" xfId="0" applyFont="1" applyBorder="1" applyAlignment="1">
      <alignment horizontal="right" vertical="center"/>
    </xf>
    <xf numFmtId="38" fontId="17" fillId="0" borderId="13" xfId="3" applyFont="1" applyBorder="1">
      <alignment vertical="center"/>
    </xf>
    <xf numFmtId="38" fontId="33" fillId="0" borderId="13" xfId="3" applyFont="1" applyBorder="1">
      <alignment vertical="center"/>
    </xf>
    <xf numFmtId="0" fontId="31" fillId="0" borderId="0" xfId="0" applyFont="1">
      <alignment vertical="center"/>
    </xf>
    <xf numFmtId="0" fontId="12" fillId="0" borderId="0" xfId="0" applyFont="1">
      <alignment vertical="center"/>
    </xf>
    <xf numFmtId="0" fontId="38" fillId="3" borderId="14" xfId="0" applyFont="1" applyFill="1" applyBorder="1" applyAlignment="1">
      <alignment horizontal="center" vertical="center" wrapText="1"/>
    </xf>
    <xf numFmtId="0" fontId="38" fillId="3" borderId="15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justify" vertical="center" wrapText="1"/>
    </xf>
    <xf numFmtId="0" fontId="38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1" fontId="11" fillId="0" borderId="17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justify" vertical="center" wrapText="1"/>
    </xf>
    <xf numFmtId="0" fontId="11" fillId="0" borderId="17" xfId="0" applyFont="1" applyBorder="1" applyAlignment="1">
      <alignment horizontal="right" vertical="center" wrapText="1"/>
    </xf>
    <xf numFmtId="0" fontId="38" fillId="0" borderId="17" xfId="0" applyFont="1" applyBorder="1" applyAlignment="1">
      <alignment horizontal="justify" vertical="center" wrapText="1"/>
    </xf>
    <xf numFmtId="0" fontId="11" fillId="0" borderId="19" xfId="0" applyFont="1" applyBorder="1" applyAlignment="1">
      <alignment horizontal="justify" vertical="center" wrapText="1"/>
    </xf>
    <xf numFmtId="0" fontId="38" fillId="0" borderId="20" xfId="0" applyFont="1" applyBorder="1" applyAlignment="1">
      <alignment horizontal="justify" vertical="center" wrapText="1"/>
    </xf>
    <xf numFmtId="9" fontId="11" fillId="0" borderId="17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justify" vertical="center" wrapText="1"/>
    </xf>
    <xf numFmtId="0" fontId="11" fillId="0" borderId="22" xfId="0" applyFont="1" applyBorder="1" applyAlignment="1">
      <alignment horizontal="right" vertical="center" wrapText="1"/>
    </xf>
    <xf numFmtId="0" fontId="11" fillId="0" borderId="22" xfId="0" applyFont="1" applyBorder="1" applyAlignment="1">
      <alignment vertical="center" wrapText="1"/>
    </xf>
    <xf numFmtId="9" fontId="11" fillId="0" borderId="17" xfId="0" applyNumberFormat="1" applyFont="1" applyBorder="1" applyAlignment="1">
      <alignment horizontal="right" vertical="center" wrapText="1"/>
    </xf>
    <xf numFmtId="0" fontId="38" fillId="3" borderId="14" xfId="0" applyFont="1" applyFill="1" applyBorder="1" applyAlignment="1">
      <alignment horizontal="justify" vertical="center" wrapText="1"/>
    </xf>
    <xf numFmtId="0" fontId="38" fillId="3" borderId="15" xfId="0" applyFont="1" applyFill="1" applyBorder="1" applyAlignment="1">
      <alignment horizontal="justify" vertical="center" wrapText="1"/>
    </xf>
    <xf numFmtId="0" fontId="21" fillId="0" borderId="17" xfId="0" applyFont="1" applyBorder="1" applyAlignment="1">
      <alignment horizontal="justify" vertical="center" wrapText="1"/>
    </xf>
    <xf numFmtId="0" fontId="11" fillId="0" borderId="16" xfId="0" applyFont="1" applyBorder="1" applyAlignment="1">
      <alignment horizontal="center" vertical="center" wrapText="1"/>
    </xf>
    <xf numFmtId="0" fontId="21" fillId="3" borderId="22" xfId="0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38" fillId="3" borderId="16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38" fillId="3" borderId="20" xfId="0" applyFont="1" applyFill="1" applyBorder="1" applyAlignment="1">
      <alignment horizontal="center" vertical="center" wrapText="1"/>
    </xf>
    <xf numFmtId="0" fontId="38" fillId="3" borderId="17" xfId="0" applyFont="1" applyFill="1" applyBorder="1" applyAlignment="1">
      <alignment horizontal="center" vertical="center" wrapText="1"/>
    </xf>
    <xf numFmtId="0" fontId="38" fillId="3" borderId="24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vertical="center" wrapText="1"/>
    </xf>
    <xf numFmtId="0" fontId="38" fillId="3" borderId="19" xfId="0" applyFont="1" applyFill="1" applyBorder="1" applyAlignment="1">
      <alignment horizontal="center" vertical="center" wrapText="1"/>
    </xf>
    <xf numFmtId="9" fontId="21" fillId="3" borderId="20" xfId="0" applyNumberFormat="1" applyFont="1" applyFill="1" applyBorder="1" applyAlignment="1">
      <alignment horizontal="center" vertical="center"/>
    </xf>
    <xf numFmtId="0" fontId="38" fillId="3" borderId="20" xfId="0" applyFont="1" applyFill="1" applyBorder="1" applyAlignment="1">
      <alignment horizontal="center" vertical="center"/>
    </xf>
    <xf numFmtId="0" fontId="38" fillId="3" borderId="17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 wrapText="1"/>
    </xf>
    <xf numFmtId="0" fontId="21" fillId="4" borderId="29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right" vertical="center"/>
    </xf>
    <xf numFmtId="0" fontId="21" fillId="4" borderId="16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right" vertical="center" indent="1"/>
    </xf>
    <xf numFmtId="3" fontId="21" fillId="4" borderId="17" xfId="0" applyNumberFormat="1" applyFont="1" applyFill="1" applyBorder="1" applyAlignment="1">
      <alignment horizontal="right" vertical="center" indent="1"/>
    </xf>
    <xf numFmtId="0" fontId="21" fillId="3" borderId="14" xfId="0" applyFont="1" applyFill="1" applyBorder="1" applyAlignment="1">
      <alignment horizontal="center" vertical="center" wrapText="1"/>
    </xf>
    <xf numFmtId="0" fontId="38" fillId="3" borderId="19" xfId="0" applyFont="1" applyFill="1" applyBorder="1" applyAlignment="1">
      <alignment horizontal="left" vertical="center"/>
    </xf>
    <xf numFmtId="0" fontId="38" fillId="3" borderId="16" xfId="0" applyFont="1" applyFill="1" applyBorder="1" applyAlignment="1">
      <alignment horizontal="left" vertical="center"/>
    </xf>
    <xf numFmtId="0" fontId="21" fillId="4" borderId="17" xfId="0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2" fontId="11" fillId="0" borderId="17" xfId="0" applyNumberFormat="1" applyFont="1" applyBorder="1" applyAlignment="1">
      <alignment horizontal="right" vertical="center"/>
    </xf>
    <xf numFmtId="0" fontId="40" fillId="0" borderId="0" xfId="0" applyFont="1">
      <alignment vertical="center"/>
    </xf>
    <xf numFmtId="2" fontId="11" fillId="0" borderId="17" xfId="0" applyNumberFormat="1" applyFont="1" applyBorder="1" applyAlignment="1">
      <alignment horizontal="center" vertical="center" wrapText="1"/>
    </xf>
    <xf numFmtId="188" fontId="11" fillId="0" borderId="17" xfId="0" applyNumberFormat="1" applyFont="1" applyBorder="1" applyAlignment="1">
      <alignment horizontal="center" vertical="center" wrapText="1"/>
    </xf>
    <xf numFmtId="176" fontId="22" fillId="2" borderId="1" xfId="0" applyNumberFormat="1" applyFont="1" applyFill="1" applyBorder="1" applyAlignment="1">
      <alignment horizontal="center" vertical="center"/>
    </xf>
    <xf numFmtId="176" fontId="22" fillId="2" borderId="2" xfId="0" applyNumberFormat="1" applyFont="1" applyFill="1" applyBorder="1" applyAlignment="1">
      <alignment horizontal="center" vertical="center"/>
    </xf>
    <xf numFmtId="176" fontId="22" fillId="2" borderId="3" xfId="0" applyNumberFormat="1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center" wrapText="1"/>
    </xf>
    <xf numFmtId="0" fontId="3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1" fillId="0" borderId="22" xfId="0" applyFont="1" applyBorder="1" applyAlignment="1">
      <alignment horizontal="justify" vertical="center" wrapText="1"/>
    </xf>
    <xf numFmtId="0" fontId="11" fillId="0" borderId="16" xfId="0" applyFont="1" applyBorder="1" applyAlignment="1">
      <alignment horizontal="justify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justify" vertical="center" wrapText="1"/>
    </xf>
    <xf numFmtId="0" fontId="11" fillId="0" borderId="15" xfId="0" applyFont="1" applyBorder="1" applyAlignment="1">
      <alignment horizontal="justify" vertical="center" wrapText="1"/>
    </xf>
    <xf numFmtId="0" fontId="13" fillId="0" borderId="26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21" fillId="0" borderId="28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20" fillId="3" borderId="26" xfId="0" applyFont="1" applyFill="1" applyBorder="1" applyAlignment="1">
      <alignment horizontal="justify" vertical="center" wrapText="1"/>
    </xf>
    <xf numFmtId="0" fontId="20" fillId="3" borderId="27" xfId="0" applyFont="1" applyFill="1" applyBorder="1" applyAlignment="1">
      <alignment horizontal="justify" vertical="center" wrapText="1"/>
    </xf>
    <xf numFmtId="0" fontId="20" fillId="3" borderId="15" xfId="0" applyFont="1" applyFill="1" applyBorder="1" applyAlignment="1">
      <alignment horizontal="justify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justify" vertical="center" wrapText="1"/>
    </xf>
    <xf numFmtId="0" fontId="38" fillId="0" borderId="16" xfId="0" applyFont="1" applyBorder="1" applyAlignment="1">
      <alignment horizontal="justify" vertical="center" wrapText="1"/>
    </xf>
    <xf numFmtId="0" fontId="13" fillId="0" borderId="23" xfId="0" applyFont="1" applyBorder="1" applyAlignment="1">
      <alignment horizontal="justify" vertical="center" wrapText="1"/>
    </xf>
    <xf numFmtId="0" fontId="13" fillId="0" borderId="28" xfId="0" applyFont="1" applyBorder="1" applyAlignment="1">
      <alignment horizontal="justify" vertical="center" wrapText="1"/>
    </xf>
    <xf numFmtId="0" fontId="13" fillId="0" borderId="24" xfId="0" applyFont="1" applyBorder="1" applyAlignment="1">
      <alignment horizontal="justify" vertical="center" wrapText="1"/>
    </xf>
    <xf numFmtId="0" fontId="13" fillId="0" borderId="29" xfId="0" applyFont="1" applyBorder="1" applyAlignment="1">
      <alignment horizontal="justify" vertical="center" wrapText="1"/>
    </xf>
    <xf numFmtId="0" fontId="13" fillId="0" borderId="0" xfId="0" applyFont="1" applyAlignment="1">
      <alignment horizontal="justify" vertical="center" wrapText="1"/>
    </xf>
    <xf numFmtId="0" fontId="13" fillId="0" borderId="20" xfId="0" applyFont="1" applyBorder="1" applyAlignment="1">
      <alignment horizontal="justify" vertical="center" wrapText="1"/>
    </xf>
    <xf numFmtId="0" fontId="13" fillId="0" borderId="25" xfId="0" applyFont="1" applyBorder="1" applyAlignment="1">
      <alignment horizontal="justify" vertical="center" wrapText="1"/>
    </xf>
    <xf numFmtId="0" fontId="13" fillId="0" borderId="21" xfId="0" applyFont="1" applyBorder="1" applyAlignment="1">
      <alignment horizontal="justify" vertical="center" wrapText="1"/>
    </xf>
    <xf numFmtId="0" fontId="13" fillId="0" borderId="17" xfId="0" applyFont="1" applyBorder="1" applyAlignment="1">
      <alignment horizontal="justify" vertical="center" wrapText="1"/>
    </xf>
    <xf numFmtId="0" fontId="38" fillId="3" borderId="26" xfId="0" applyFont="1" applyFill="1" applyBorder="1" applyAlignment="1">
      <alignment horizontal="left" vertical="center"/>
    </xf>
    <xf numFmtId="0" fontId="38" fillId="3" borderId="27" xfId="0" applyFont="1" applyFill="1" applyBorder="1" applyAlignment="1">
      <alignment horizontal="left" vertical="center"/>
    </xf>
    <xf numFmtId="0" fontId="38" fillId="3" borderId="15" xfId="0" applyFont="1" applyFill="1" applyBorder="1" applyAlignment="1">
      <alignment horizontal="left" vertical="center"/>
    </xf>
    <xf numFmtId="0" fontId="38" fillId="3" borderId="32" xfId="0" applyFont="1" applyFill="1" applyBorder="1" applyAlignment="1">
      <alignment horizontal="left" vertical="center"/>
    </xf>
    <xf numFmtId="0" fontId="38" fillId="3" borderId="26" xfId="0" applyFont="1" applyFill="1" applyBorder="1" applyAlignment="1">
      <alignment horizontal="center" vertical="center"/>
    </xf>
    <xf numFmtId="0" fontId="38" fillId="3" borderId="27" xfId="0" applyFont="1" applyFill="1" applyBorder="1" applyAlignment="1">
      <alignment horizontal="center" vertical="center"/>
    </xf>
    <xf numFmtId="0" fontId="38" fillId="3" borderId="15" xfId="0" applyFont="1" applyFill="1" applyBorder="1" applyAlignment="1">
      <alignment horizontal="center" vertical="center"/>
    </xf>
    <xf numFmtId="0" fontId="38" fillId="3" borderId="22" xfId="0" applyFont="1" applyFill="1" applyBorder="1" applyAlignment="1">
      <alignment horizontal="center" vertical="center"/>
    </xf>
    <xf numFmtId="0" fontId="38" fillId="3" borderId="19" xfId="0" applyFont="1" applyFill="1" applyBorder="1" applyAlignment="1">
      <alignment horizontal="center" vertical="center"/>
    </xf>
    <xf numFmtId="0" fontId="38" fillId="3" borderId="16" xfId="0" applyFont="1" applyFill="1" applyBorder="1" applyAlignment="1">
      <alignment horizontal="center" vertical="center"/>
    </xf>
    <xf numFmtId="0" fontId="21" fillId="3" borderId="23" xfId="0" applyFont="1" applyFill="1" applyBorder="1" applyAlignment="1">
      <alignment horizontal="center" vertical="center"/>
    </xf>
    <xf numFmtId="0" fontId="21" fillId="3" borderId="28" xfId="0" applyFont="1" applyFill="1" applyBorder="1" applyAlignment="1">
      <alignment horizontal="center" vertical="center"/>
    </xf>
    <xf numFmtId="0" fontId="21" fillId="3" borderId="31" xfId="0" applyFont="1" applyFill="1" applyBorder="1" applyAlignment="1">
      <alignment horizontal="center" vertical="center"/>
    </xf>
    <xf numFmtId="0" fontId="38" fillId="3" borderId="29" xfId="0" applyFont="1" applyFill="1" applyBorder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38" fillId="3" borderId="3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0" fillId="0" borderId="0" xfId="0" applyAlignment="1">
      <alignment horizontal="left" vertical="center" wrapText="1"/>
    </xf>
  </cellXfs>
  <cellStyles count="6">
    <cellStyle name="桁区切り" xfId="1" builtinId="6"/>
    <cellStyle name="桁区切り 2" xfId="3" xr:uid="{4854F694-4B7B-48E0-99FC-8776872231F0}"/>
    <cellStyle name="標準" xfId="0" builtinId="0"/>
    <cellStyle name="標準 2" xfId="4" xr:uid="{52F62936-197B-4768-AD84-A0D1C1983288}"/>
    <cellStyle name="標準 3" xfId="5" xr:uid="{194EDF86-0152-4BC2-BD60-3CA54112EDE4}"/>
    <cellStyle name="標準 4" xfId="2" xr:uid="{8F909499-7E87-412C-ABE7-50F459BF4B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workbookViewId="0">
      <selection activeCell="C64" sqref="C64"/>
    </sheetView>
  </sheetViews>
  <sheetFormatPr defaultColWidth="8.875" defaultRowHeight="13.5"/>
  <cols>
    <col min="2" max="2" width="9.5" bestFit="1" customWidth="1"/>
    <col min="3" max="4" width="9.375" bestFit="1" customWidth="1"/>
    <col min="5" max="5" width="9.5" bestFit="1" customWidth="1"/>
    <col min="6" max="8" width="9.375" bestFit="1" customWidth="1"/>
    <col min="9" max="9" width="9.5" bestFit="1" customWidth="1"/>
    <col min="10" max="18" width="9.375" bestFit="1" customWidth="1"/>
    <col min="19" max="19" width="10.5" bestFit="1" customWidth="1"/>
  </cols>
  <sheetData>
    <row r="1" spans="1:19">
      <c r="A1" s="1" t="s">
        <v>0</v>
      </c>
    </row>
    <row r="2" spans="1:19">
      <c r="A2" s="1"/>
    </row>
    <row r="3" spans="1:19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4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spans="1:19">
      <c r="A5" s="5">
        <v>1973</v>
      </c>
      <c r="B5" s="2">
        <v>215160</v>
      </c>
      <c r="C5">
        <v>966</v>
      </c>
      <c r="D5">
        <v>942</v>
      </c>
      <c r="E5" s="2">
        <v>2414</v>
      </c>
      <c r="F5">
        <v>34</v>
      </c>
      <c r="G5">
        <v>764</v>
      </c>
      <c r="H5" s="2">
        <v>1911</v>
      </c>
      <c r="I5" s="2">
        <v>38598</v>
      </c>
      <c r="J5">
        <v>9</v>
      </c>
      <c r="K5">
        <v>340</v>
      </c>
      <c r="L5" s="2">
        <v>1235</v>
      </c>
      <c r="M5" s="2">
        <v>2252</v>
      </c>
      <c r="N5" s="2">
        <v>1254</v>
      </c>
      <c r="O5">
        <v>539</v>
      </c>
      <c r="P5" s="2">
        <v>2039</v>
      </c>
      <c r="Q5">
        <v>10</v>
      </c>
      <c r="R5">
        <v>84</v>
      </c>
      <c r="S5" s="2">
        <v>268551</v>
      </c>
    </row>
    <row r="6" spans="1:19">
      <c r="A6" s="5">
        <v>1974</v>
      </c>
      <c r="B6" s="2">
        <v>295856</v>
      </c>
      <c r="C6">
        <v>746</v>
      </c>
      <c r="D6">
        <v>575</v>
      </c>
      <c r="E6" s="2">
        <v>1716</v>
      </c>
      <c r="F6">
        <v>17</v>
      </c>
      <c r="G6">
        <v>676</v>
      </c>
      <c r="H6" s="2">
        <v>2821</v>
      </c>
      <c r="I6" s="2">
        <v>33423</v>
      </c>
      <c r="J6">
        <v>487</v>
      </c>
      <c r="K6" s="2">
        <v>1486</v>
      </c>
      <c r="L6">
        <v>477</v>
      </c>
      <c r="M6" s="2">
        <v>2520</v>
      </c>
      <c r="N6" s="2">
        <v>3172</v>
      </c>
      <c r="O6" s="2">
        <v>1205</v>
      </c>
      <c r="P6" s="2">
        <v>1500</v>
      </c>
      <c r="Q6">
        <v>6</v>
      </c>
      <c r="R6">
        <v>144</v>
      </c>
      <c r="S6" s="2">
        <v>346826</v>
      </c>
    </row>
    <row r="7" spans="1:19">
      <c r="A7" s="5">
        <v>1975</v>
      </c>
      <c r="B7" s="2">
        <v>237859</v>
      </c>
      <c r="C7" s="2">
        <v>1361</v>
      </c>
      <c r="D7">
        <v>828</v>
      </c>
      <c r="E7" s="2">
        <v>2132</v>
      </c>
      <c r="F7">
        <v>14</v>
      </c>
      <c r="G7">
        <v>662</v>
      </c>
      <c r="H7" s="2">
        <v>1619</v>
      </c>
      <c r="I7" s="2">
        <v>38432</v>
      </c>
      <c r="J7">
        <v>212</v>
      </c>
      <c r="K7">
        <v>279</v>
      </c>
      <c r="L7">
        <v>130</v>
      </c>
      <c r="M7" s="2">
        <v>1937</v>
      </c>
      <c r="N7" s="2">
        <v>1916</v>
      </c>
      <c r="O7">
        <v>519</v>
      </c>
      <c r="P7" s="2">
        <v>1881</v>
      </c>
      <c r="Q7">
        <v>5</v>
      </c>
      <c r="R7">
        <v>147</v>
      </c>
      <c r="S7" s="2">
        <v>289932</v>
      </c>
    </row>
    <row r="8" spans="1:19">
      <c r="A8" s="5">
        <v>1976</v>
      </c>
      <c r="B8" s="2">
        <v>215601</v>
      </c>
      <c r="C8" s="2">
        <v>1789</v>
      </c>
      <c r="D8">
        <v>889</v>
      </c>
      <c r="E8" s="2">
        <v>2138</v>
      </c>
      <c r="F8">
        <v>24</v>
      </c>
      <c r="G8">
        <v>332</v>
      </c>
      <c r="H8">
        <v>772</v>
      </c>
      <c r="I8" s="2">
        <v>36709</v>
      </c>
      <c r="J8">
        <v>868</v>
      </c>
      <c r="K8">
        <v>678</v>
      </c>
      <c r="L8">
        <v>169</v>
      </c>
      <c r="M8" s="2">
        <v>2070</v>
      </c>
      <c r="N8" s="2">
        <v>3356</v>
      </c>
      <c r="O8" s="2">
        <v>1120</v>
      </c>
      <c r="P8" s="2">
        <v>2041</v>
      </c>
      <c r="Q8">
        <v>2</v>
      </c>
      <c r="R8">
        <v>227</v>
      </c>
      <c r="S8" s="2">
        <v>268787</v>
      </c>
    </row>
    <row r="9" spans="1:19">
      <c r="A9" s="5">
        <v>1977</v>
      </c>
      <c r="B9" s="2">
        <v>250593</v>
      </c>
      <c r="C9" s="2">
        <v>1749</v>
      </c>
      <c r="D9">
        <v>863</v>
      </c>
      <c r="E9" s="2">
        <v>3647</v>
      </c>
      <c r="F9">
        <v>41</v>
      </c>
      <c r="G9">
        <v>674</v>
      </c>
      <c r="H9" s="2">
        <v>1338</v>
      </c>
      <c r="I9" s="2">
        <v>21241</v>
      </c>
      <c r="J9">
        <v>247</v>
      </c>
      <c r="K9" s="2">
        <v>1725</v>
      </c>
      <c r="L9">
        <v>80</v>
      </c>
      <c r="M9" s="2">
        <v>1481</v>
      </c>
      <c r="N9" s="2">
        <v>3646</v>
      </c>
      <c r="O9" s="2">
        <v>1689</v>
      </c>
      <c r="P9" s="2">
        <v>2494</v>
      </c>
      <c r="Q9">
        <v>9</v>
      </c>
      <c r="R9">
        <v>233</v>
      </c>
      <c r="S9" s="2">
        <v>291750</v>
      </c>
    </row>
    <row r="10" spans="1:19">
      <c r="A10" s="5">
        <v>1978</v>
      </c>
      <c r="B10" s="2">
        <v>257417</v>
      </c>
      <c r="C10">
        <v>959</v>
      </c>
      <c r="D10" s="2">
        <v>1197</v>
      </c>
      <c r="E10" s="2">
        <v>9622</v>
      </c>
      <c r="F10">
        <v>51</v>
      </c>
      <c r="G10">
        <v>648</v>
      </c>
      <c r="H10">
        <v>587</v>
      </c>
      <c r="I10" s="2">
        <v>18498</v>
      </c>
      <c r="J10">
        <v>262</v>
      </c>
      <c r="K10" s="2">
        <v>1676</v>
      </c>
      <c r="L10">
        <v>61</v>
      </c>
      <c r="M10">
        <v>979</v>
      </c>
      <c r="N10" s="2">
        <v>3415</v>
      </c>
      <c r="O10" s="2">
        <v>1419</v>
      </c>
      <c r="P10" s="2">
        <v>1495</v>
      </c>
      <c r="Q10">
        <v>0</v>
      </c>
      <c r="R10">
        <v>153</v>
      </c>
      <c r="S10" s="2">
        <v>298439</v>
      </c>
    </row>
    <row r="11" spans="1:19">
      <c r="A11" s="5">
        <v>1979</v>
      </c>
      <c r="B11" s="2">
        <v>212769</v>
      </c>
      <c r="C11" s="2">
        <v>2542</v>
      </c>
      <c r="D11" s="2">
        <v>1093</v>
      </c>
      <c r="E11" s="2">
        <v>7102</v>
      </c>
      <c r="F11">
        <v>106</v>
      </c>
      <c r="G11">
        <v>705</v>
      </c>
      <c r="H11" s="2">
        <v>1069</v>
      </c>
      <c r="I11" s="2">
        <v>38385</v>
      </c>
      <c r="J11">
        <v>118</v>
      </c>
      <c r="K11">
        <v>377</v>
      </c>
      <c r="L11">
        <v>503</v>
      </c>
      <c r="M11" s="2">
        <v>1235</v>
      </c>
      <c r="N11" s="2">
        <v>1816</v>
      </c>
      <c r="O11">
        <v>465</v>
      </c>
      <c r="P11" s="2">
        <v>1225</v>
      </c>
      <c r="Q11">
        <v>7</v>
      </c>
      <c r="R11">
        <v>352</v>
      </c>
      <c r="S11" s="2">
        <v>269867</v>
      </c>
    </row>
    <row r="12" spans="1:19">
      <c r="A12" s="5">
        <v>1980</v>
      </c>
      <c r="B12" s="2">
        <v>255753</v>
      </c>
      <c r="C12" s="2">
        <v>2100</v>
      </c>
      <c r="D12">
        <v>623</v>
      </c>
      <c r="E12" s="2">
        <v>4595</v>
      </c>
      <c r="F12">
        <v>84</v>
      </c>
      <c r="G12">
        <v>617</v>
      </c>
      <c r="H12" s="2">
        <v>1378</v>
      </c>
      <c r="I12" s="2">
        <v>25388</v>
      </c>
      <c r="J12">
        <v>171</v>
      </c>
      <c r="K12">
        <v>43</v>
      </c>
      <c r="L12">
        <v>295</v>
      </c>
      <c r="M12">
        <v>894</v>
      </c>
      <c r="N12" s="2">
        <v>2492</v>
      </c>
      <c r="O12" s="2">
        <v>1000</v>
      </c>
      <c r="P12" s="2">
        <v>1446</v>
      </c>
      <c r="Q12">
        <v>7</v>
      </c>
      <c r="R12">
        <v>215</v>
      </c>
      <c r="S12" s="2">
        <v>297101</v>
      </c>
    </row>
    <row r="13" spans="1:19">
      <c r="A13" s="5">
        <v>1981</v>
      </c>
      <c r="B13" s="2">
        <v>203333</v>
      </c>
      <c r="C13" s="2">
        <v>2740</v>
      </c>
      <c r="D13" s="2">
        <v>2106</v>
      </c>
      <c r="E13" s="2">
        <v>7098</v>
      </c>
      <c r="F13">
        <v>140</v>
      </c>
      <c r="G13">
        <v>549</v>
      </c>
      <c r="H13" s="2">
        <v>1477</v>
      </c>
      <c r="I13" s="2">
        <v>19952</v>
      </c>
      <c r="J13">
        <v>260</v>
      </c>
      <c r="K13">
        <v>650</v>
      </c>
      <c r="L13">
        <v>153</v>
      </c>
      <c r="M13">
        <v>903</v>
      </c>
      <c r="N13" s="2">
        <v>2665</v>
      </c>
      <c r="O13" s="2">
        <v>1010</v>
      </c>
      <c r="P13">
        <v>405</v>
      </c>
      <c r="Q13">
        <v>1</v>
      </c>
      <c r="R13">
        <v>101</v>
      </c>
      <c r="S13" s="2">
        <v>243544</v>
      </c>
    </row>
    <row r="14" spans="1:19">
      <c r="A14" s="5">
        <v>1982</v>
      </c>
      <c r="B14" s="2">
        <v>233390</v>
      </c>
      <c r="C14" s="2">
        <v>2848</v>
      </c>
      <c r="D14" s="2">
        <v>2883</v>
      </c>
      <c r="E14" s="2">
        <v>6753</v>
      </c>
      <c r="F14">
        <v>182</v>
      </c>
      <c r="G14" s="2">
        <v>1016</v>
      </c>
      <c r="H14" s="2">
        <v>2094</v>
      </c>
      <c r="I14" s="2">
        <v>25179</v>
      </c>
      <c r="J14">
        <v>630</v>
      </c>
      <c r="K14" s="2">
        <v>1772</v>
      </c>
      <c r="L14">
        <v>95</v>
      </c>
      <c r="M14">
        <v>791</v>
      </c>
      <c r="N14" s="2">
        <v>2579</v>
      </c>
      <c r="O14">
        <v>402</v>
      </c>
      <c r="P14">
        <v>603</v>
      </c>
      <c r="Q14">
        <v>1</v>
      </c>
      <c r="R14">
        <v>140</v>
      </c>
      <c r="S14" s="2">
        <v>281358</v>
      </c>
    </row>
    <row r="15" spans="1:19">
      <c r="A15" s="5">
        <v>1983</v>
      </c>
      <c r="B15" s="2">
        <v>197112</v>
      </c>
      <c r="C15" s="2">
        <v>2863</v>
      </c>
      <c r="D15" s="2">
        <v>1268</v>
      </c>
      <c r="E15" s="2">
        <v>5590</v>
      </c>
      <c r="F15">
        <v>266</v>
      </c>
      <c r="G15" s="2">
        <v>1440</v>
      </c>
      <c r="H15" s="2">
        <v>2235</v>
      </c>
      <c r="I15" s="2">
        <v>24158</v>
      </c>
      <c r="J15">
        <v>377</v>
      </c>
      <c r="K15">
        <v>942</v>
      </c>
      <c r="L15">
        <v>97</v>
      </c>
      <c r="M15" s="2">
        <v>2045</v>
      </c>
      <c r="N15" s="2">
        <v>2406</v>
      </c>
      <c r="O15">
        <v>330</v>
      </c>
      <c r="P15" s="2">
        <v>1054</v>
      </c>
      <c r="Q15">
        <v>3</v>
      </c>
      <c r="R15">
        <v>79</v>
      </c>
      <c r="S15" s="2">
        <v>242265</v>
      </c>
    </row>
    <row r="16" spans="1:19">
      <c r="A16" s="5">
        <v>1984</v>
      </c>
      <c r="B16" s="2">
        <v>150995</v>
      </c>
      <c r="C16" s="2">
        <v>2952</v>
      </c>
      <c r="D16" s="2">
        <v>1308</v>
      </c>
      <c r="E16" s="2">
        <v>5063</v>
      </c>
      <c r="F16">
        <v>77</v>
      </c>
      <c r="G16">
        <v>789</v>
      </c>
      <c r="H16" s="2">
        <v>2150</v>
      </c>
      <c r="I16" s="2">
        <v>28426</v>
      </c>
      <c r="J16">
        <v>24</v>
      </c>
      <c r="K16">
        <v>557</v>
      </c>
      <c r="L16">
        <v>106</v>
      </c>
      <c r="M16" s="2">
        <v>1504</v>
      </c>
      <c r="N16" s="2">
        <v>2224</v>
      </c>
      <c r="O16">
        <v>239</v>
      </c>
      <c r="P16">
        <v>905</v>
      </c>
      <c r="Q16">
        <v>6</v>
      </c>
      <c r="R16">
        <v>204</v>
      </c>
      <c r="S16" s="2">
        <v>197530</v>
      </c>
    </row>
    <row r="17" spans="1:19">
      <c r="A17" s="5">
        <v>1985</v>
      </c>
      <c r="B17" s="2">
        <v>152021</v>
      </c>
      <c r="C17" s="2">
        <v>3853</v>
      </c>
      <c r="D17" s="2">
        <v>2784</v>
      </c>
      <c r="E17" s="2">
        <v>12803</v>
      </c>
      <c r="F17">
        <v>42</v>
      </c>
      <c r="G17">
        <v>743</v>
      </c>
      <c r="H17" s="2">
        <v>2957</v>
      </c>
      <c r="I17" s="2">
        <v>21189</v>
      </c>
      <c r="J17">
        <v>233</v>
      </c>
      <c r="K17">
        <v>393</v>
      </c>
      <c r="L17">
        <v>333</v>
      </c>
      <c r="M17" s="2">
        <v>2199</v>
      </c>
      <c r="N17" s="2">
        <v>2988</v>
      </c>
      <c r="O17">
        <v>223</v>
      </c>
      <c r="P17">
        <v>799</v>
      </c>
      <c r="Q17">
        <v>11</v>
      </c>
      <c r="R17">
        <v>98</v>
      </c>
      <c r="S17" s="2">
        <v>203670</v>
      </c>
    </row>
    <row r="18" spans="1:19">
      <c r="A18" s="5">
        <v>1986</v>
      </c>
      <c r="B18" s="2">
        <v>144646</v>
      </c>
      <c r="C18" s="2">
        <v>2082</v>
      </c>
      <c r="D18">
        <v>551</v>
      </c>
      <c r="E18" s="2">
        <v>4902</v>
      </c>
      <c r="F18">
        <v>107</v>
      </c>
      <c r="G18" s="2">
        <v>1060</v>
      </c>
      <c r="H18" s="2">
        <v>1778</v>
      </c>
      <c r="I18" s="2">
        <v>30167</v>
      </c>
      <c r="J18">
        <v>893</v>
      </c>
      <c r="K18">
        <v>383</v>
      </c>
      <c r="L18">
        <v>93</v>
      </c>
      <c r="M18" s="2">
        <v>1164</v>
      </c>
      <c r="N18" s="2">
        <v>3382</v>
      </c>
      <c r="O18">
        <v>465</v>
      </c>
      <c r="P18" s="2">
        <v>1059</v>
      </c>
      <c r="Q18">
        <v>15</v>
      </c>
      <c r="R18">
        <v>110</v>
      </c>
      <c r="S18" s="2">
        <v>192858</v>
      </c>
    </row>
    <row r="19" spans="1:19">
      <c r="A19" s="5">
        <v>1987</v>
      </c>
      <c r="B19" s="2">
        <v>124383</v>
      </c>
      <c r="C19" s="2">
        <v>2307</v>
      </c>
      <c r="D19" s="2">
        <v>2358</v>
      </c>
      <c r="E19" s="2">
        <v>25887</v>
      </c>
      <c r="F19">
        <v>370</v>
      </c>
      <c r="G19" s="2">
        <v>1623</v>
      </c>
      <c r="H19" s="2">
        <v>2863</v>
      </c>
      <c r="I19" s="2">
        <v>25006</v>
      </c>
      <c r="J19">
        <v>266</v>
      </c>
      <c r="K19">
        <v>722</v>
      </c>
      <c r="L19">
        <v>100</v>
      </c>
      <c r="M19" s="2">
        <v>1984</v>
      </c>
      <c r="N19" s="2">
        <v>4920</v>
      </c>
      <c r="O19">
        <v>207</v>
      </c>
      <c r="P19">
        <v>622</v>
      </c>
      <c r="Q19">
        <v>5</v>
      </c>
      <c r="R19">
        <v>78</v>
      </c>
      <c r="S19" s="2">
        <v>193701</v>
      </c>
    </row>
    <row r="20" spans="1:19">
      <c r="A20" s="5">
        <v>1988</v>
      </c>
      <c r="B20" s="2">
        <v>158964</v>
      </c>
      <c r="C20" s="2">
        <v>1782</v>
      </c>
      <c r="D20" s="2">
        <v>1050</v>
      </c>
      <c r="E20" s="2">
        <v>10914</v>
      </c>
      <c r="F20">
        <v>316</v>
      </c>
      <c r="G20" s="2">
        <v>1409</v>
      </c>
      <c r="H20" s="2">
        <v>3738</v>
      </c>
      <c r="I20" s="2">
        <v>52260</v>
      </c>
      <c r="J20">
        <v>255</v>
      </c>
      <c r="K20">
        <v>369</v>
      </c>
      <c r="L20">
        <v>140</v>
      </c>
      <c r="M20" s="2">
        <v>2179</v>
      </c>
      <c r="N20" s="2">
        <v>5408</v>
      </c>
      <c r="O20">
        <v>316</v>
      </c>
      <c r="P20">
        <v>838</v>
      </c>
      <c r="Q20">
        <v>4</v>
      </c>
      <c r="R20">
        <v>102</v>
      </c>
      <c r="S20" s="2">
        <v>240043</v>
      </c>
    </row>
    <row r="21" spans="1:19">
      <c r="A21" s="5">
        <v>1989</v>
      </c>
      <c r="B21" s="2">
        <v>213583</v>
      </c>
      <c r="C21" s="2">
        <v>1524</v>
      </c>
      <c r="D21" s="2">
        <v>1019</v>
      </c>
      <c r="E21" s="2">
        <v>7711</v>
      </c>
      <c r="F21">
        <v>613</v>
      </c>
      <c r="G21" s="2">
        <v>1625</v>
      </c>
      <c r="H21" s="2">
        <v>1485</v>
      </c>
      <c r="I21" s="2">
        <v>47890</v>
      </c>
      <c r="J21">
        <v>13</v>
      </c>
      <c r="K21">
        <v>474</v>
      </c>
      <c r="L21">
        <v>692</v>
      </c>
      <c r="M21" s="2">
        <v>1340</v>
      </c>
      <c r="N21" s="2">
        <v>3678</v>
      </c>
      <c r="O21">
        <v>216</v>
      </c>
      <c r="P21">
        <v>638</v>
      </c>
      <c r="Q21">
        <v>7</v>
      </c>
      <c r="R21">
        <v>73</v>
      </c>
      <c r="S21" s="2">
        <v>282580</v>
      </c>
    </row>
    <row r="22" spans="1:19">
      <c r="A22" s="5">
        <v>1990</v>
      </c>
      <c r="B22" s="2">
        <v>104467</v>
      </c>
      <c r="C22">
        <v>696</v>
      </c>
      <c r="D22">
        <v>254</v>
      </c>
      <c r="E22" s="2">
        <v>3490</v>
      </c>
      <c r="F22">
        <v>75</v>
      </c>
      <c r="G22">
        <v>798</v>
      </c>
      <c r="H22" s="2">
        <v>4035</v>
      </c>
      <c r="I22" s="2">
        <v>14554</v>
      </c>
      <c r="J22">
        <v>21</v>
      </c>
      <c r="K22">
        <v>187</v>
      </c>
      <c r="L22">
        <v>301</v>
      </c>
      <c r="M22">
        <v>494</v>
      </c>
      <c r="N22" s="2">
        <v>1510</v>
      </c>
      <c r="O22">
        <v>134</v>
      </c>
      <c r="P22">
        <v>184</v>
      </c>
      <c r="Q22">
        <v>0</v>
      </c>
      <c r="R22">
        <v>29</v>
      </c>
      <c r="S22" s="2">
        <v>131228</v>
      </c>
    </row>
    <row r="23" spans="1:19">
      <c r="A23" s="5">
        <v>1991</v>
      </c>
      <c r="B23" s="2">
        <v>111700</v>
      </c>
      <c r="C23">
        <v>867</v>
      </c>
      <c r="D23" s="2">
        <v>1454</v>
      </c>
      <c r="E23" s="2">
        <v>4227</v>
      </c>
      <c r="F23">
        <v>65</v>
      </c>
      <c r="G23">
        <v>571</v>
      </c>
      <c r="H23" s="2">
        <v>6687</v>
      </c>
      <c r="I23" s="2">
        <v>25152</v>
      </c>
      <c r="J23">
        <v>3</v>
      </c>
      <c r="K23">
        <v>69</v>
      </c>
      <c r="L23">
        <v>146</v>
      </c>
      <c r="M23">
        <v>390</v>
      </c>
      <c r="N23" s="2">
        <v>1233</v>
      </c>
      <c r="O23">
        <v>172</v>
      </c>
      <c r="P23">
        <v>216</v>
      </c>
      <c r="Q23">
        <v>0</v>
      </c>
      <c r="R23">
        <v>37</v>
      </c>
      <c r="S23" s="2">
        <v>152991</v>
      </c>
    </row>
    <row r="24" spans="1:19">
      <c r="A24" s="5">
        <v>1992</v>
      </c>
      <c r="B24" s="2">
        <v>111697</v>
      </c>
      <c r="C24" s="2">
        <v>1208</v>
      </c>
      <c r="D24" s="2">
        <v>1242</v>
      </c>
      <c r="E24" s="2">
        <v>4849</v>
      </c>
      <c r="F24">
        <v>163</v>
      </c>
      <c r="G24">
        <v>883</v>
      </c>
      <c r="H24" s="2">
        <v>3639</v>
      </c>
      <c r="I24" s="2">
        <v>17885</v>
      </c>
      <c r="J24">
        <v>0</v>
      </c>
      <c r="K24">
        <v>70</v>
      </c>
      <c r="L24">
        <v>120</v>
      </c>
      <c r="M24">
        <v>190</v>
      </c>
      <c r="N24" s="2">
        <v>1047</v>
      </c>
      <c r="O24">
        <v>230</v>
      </c>
      <c r="P24">
        <v>140</v>
      </c>
      <c r="Q24">
        <v>0</v>
      </c>
      <c r="R24">
        <v>24</v>
      </c>
      <c r="S24" s="2">
        <v>143385</v>
      </c>
    </row>
    <row r="25" spans="1:19">
      <c r="A25" s="5">
        <v>1993</v>
      </c>
      <c r="B25" s="2">
        <v>175995</v>
      </c>
      <c r="C25" s="2">
        <v>2240</v>
      </c>
      <c r="D25" s="2">
        <v>1457</v>
      </c>
      <c r="E25" s="2">
        <v>10058</v>
      </c>
      <c r="F25">
        <v>489</v>
      </c>
      <c r="G25" s="2">
        <v>3518</v>
      </c>
      <c r="H25" s="2">
        <v>3202</v>
      </c>
      <c r="I25" s="2">
        <v>33375</v>
      </c>
      <c r="J25">
        <v>5</v>
      </c>
      <c r="K25">
        <v>76</v>
      </c>
      <c r="L25">
        <v>447</v>
      </c>
      <c r="M25">
        <v>835</v>
      </c>
      <c r="N25" s="2">
        <v>1916</v>
      </c>
      <c r="O25">
        <v>665</v>
      </c>
      <c r="P25">
        <v>249</v>
      </c>
      <c r="Q25">
        <v>2</v>
      </c>
      <c r="R25">
        <v>26</v>
      </c>
      <c r="S25" s="2">
        <v>234555</v>
      </c>
    </row>
    <row r="26" spans="1:19">
      <c r="A26" s="5">
        <v>1994</v>
      </c>
      <c r="B26" s="2">
        <v>265917</v>
      </c>
      <c r="C26" s="2">
        <v>1143</v>
      </c>
      <c r="D26">
        <v>610</v>
      </c>
      <c r="E26" s="2">
        <v>8742</v>
      </c>
      <c r="F26">
        <v>452</v>
      </c>
      <c r="G26" s="2">
        <v>2453</v>
      </c>
      <c r="H26" s="2">
        <v>5394</v>
      </c>
      <c r="I26" s="2">
        <v>44236</v>
      </c>
      <c r="J26">
        <v>6</v>
      </c>
      <c r="K26">
        <v>746</v>
      </c>
      <c r="L26">
        <v>632</v>
      </c>
      <c r="M26" s="2">
        <v>1334</v>
      </c>
      <c r="N26" s="2">
        <v>5180</v>
      </c>
      <c r="O26" s="2">
        <v>1357</v>
      </c>
      <c r="P26">
        <v>498</v>
      </c>
      <c r="Q26">
        <v>3</v>
      </c>
      <c r="R26">
        <v>50</v>
      </c>
      <c r="S26" s="2">
        <v>338751</v>
      </c>
    </row>
    <row r="27" spans="1:19">
      <c r="A27" s="5">
        <v>1995</v>
      </c>
      <c r="B27" s="2">
        <v>154712</v>
      </c>
      <c r="C27" s="2">
        <v>1051</v>
      </c>
      <c r="D27" s="2">
        <v>1933</v>
      </c>
      <c r="E27" s="2">
        <v>9467</v>
      </c>
      <c r="F27">
        <v>187</v>
      </c>
      <c r="G27" s="2">
        <v>1483</v>
      </c>
      <c r="H27" s="2">
        <v>5683</v>
      </c>
      <c r="I27" s="2">
        <v>28748</v>
      </c>
      <c r="J27">
        <v>2</v>
      </c>
      <c r="K27">
        <v>373</v>
      </c>
      <c r="L27">
        <v>388</v>
      </c>
      <c r="M27">
        <v>478</v>
      </c>
      <c r="N27" s="2">
        <v>2237</v>
      </c>
      <c r="O27" s="2">
        <v>1039</v>
      </c>
      <c r="P27">
        <v>250</v>
      </c>
      <c r="Q27">
        <v>0</v>
      </c>
      <c r="R27">
        <v>48</v>
      </c>
      <c r="S27" s="2">
        <v>208078</v>
      </c>
    </row>
    <row r="28" spans="1:19">
      <c r="A28" s="5">
        <v>1996</v>
      </c>
      <c r="B28" s="2">
        <v>358199</v>
      </c>
      <c r="C28" s="2">
        <v>1742</v>
      </c>
      <c r="D28" s="2">
        <v>2106</v>
      </c>
      <c r="E28" s="2">
        <v>9232</v>
      </c>
      <c r="F28">
        <v>149</v>
      </c>
      <c r="G28" s="2">
        <v>1814</v>
      </c>
      <c r="H28" s="2">
        <v>5244</v>
      </c>
      <c r="I28" s="2">
        <v>26246</v>
      </c>
      <c r="J28">
        <v>0</v>
      </c>
      <c r="K28">
        <v>283</v>
      </c>
      <c r="L28">
        <v>298</v>
      </c>
      <c r="M28">
        <v>516</v>
      </c>
      <c r="N28" s="2">
        <v>4255</v>
      </c>
      <c r="O28">
        <v>764</v>
      </c>
      <c r="P28">
        <v>335</v>
      </c>
      <c r="Q28">
        <v>2</v>
      </c>
      <c r="R28">
        <v>31</v>
      </c>
      <c r="S28" s="2">
        <v>411217</v>
      </c>
    </row>
    <row r="29" spans="1:19">
      <c r="A29" s="5">
        <v>1997</v>
      </c>
      <c r="B29" s="2">
        <v>173610</v>
      </c>
      <c r="C29" s="2">
        <v>2297</v>
      </c>
      <c r="D29" s="2">
        <v>2748</v>
      </c>
      <c r="E29" s="2">
        <v>11288</v>
      </c>
      <c r="F29">
        <v>275</v>
      </c>
      <c r="G29">
        <v>786</v>
      </c>
      <c r="H29" s="2">
        <v>3900</v>
      </c>
      <c r="I29" s="2">
        <v>12204</v>
      </c>
      <c r="J29">
        <v>11</v>
      </c>
      <c r="K29">
        <v>54</v>
      </c>
      <c r="L29">
        <v>409</v>
      </c>
      <c r="M29">
        <v>405</v>
      </c>
      <c r="N29" s="2">
        <v>1802</v>
      </c>
      <c r="O29">
        <v>509</v>
      </c>
      <c r="P29">
        <v>280</v>
      </c>
      <c r="Q29">
        <v>5</v>
      </c>
      <c r="R29">
        <v>37</v>
      </c>
      <c r="S29" s="2">
        <v>210618</v>
      </c>
    </row>
    <row r="30" spans="1:19">
      <c r="A30" s="5">
        <v>1998</v>
      </c>
      <c r="B30" s="2">
        <v>125813</v>
      </c>
      <c r="C30" s="2">
        <v>1137</v>
      </c>
      <c r="D30">
        <v>472</v>
      </c>
      <c r="E30" s="2">
        <v>7321</v>
      </c>
      <c r="F30">
        <v>152</v>
      </c>
      <c r="G30" s="2">
        <v>1194</v>
      </c>
      <c r="H30" s="2">
        <v>6260</v>
      </c>
      <c r="I30" s="2">
        <v>18756</v>
      </c>
      <c r="J30">
        <v>11</v>
      </c>
      <c r="K30">
        <v>10</v>
      </c>
      <c r="L30">
        <v>472</v>
      </c>
      <c r="M30">
        <v>183</v>
      </c>
      <c r="N30" s="2">
        <v>1257</v>
      </c>
      <c r="O30" s="2">
        <v>1306</v>
      </c>
      <c r="P30">
        <v>144</v>
      </c>
      <c r="Q30">
        <v>4</v>
      </c>
      <c r="R30">
        <v>32</v>
      </c>
      <c r="S30" s="2">
        <v>164524</v>
      </c>
    </row>
    <row r="31" spans="1:19">
      <c r="A31" s="5">
        <v>1999</v>
      </c>
      <c r="B31" s="2">
        <v>79681</v>
      </c>
      <c r="C31" s="2">
        <v>1372</v>
      </c>
      <c r="D31">
        <v>671</v>
      </c>
      <c r="E31" s="2">
        <v>8745</v>
      </c>
      <c r="F31">
        <v>149</v>
      </c>
      <c r="G31" s="2">
        <v>1373</v>
      </c>
      <c r="H31" s="2">
        <v>2713</v>
      </c>
      <c r="I31" s="2">
        <v>10555</v>
      </c>
      <c r="J31">
        <v>12</v>
      </c>
      <c r="K31">
        <v>167</v>
      </c>
      <c r="L31">
        <v>294</v>
      </c>
      <c r="M31">
        <v>409</v>
      </c>
      <c r="N31">
        <v>564</v>
      </c>
      <c r="O31">
        <v>842</v>
      </c>
      <c r="P31">
        <v>337</v>
      </c>
      <c r="Q31">
        <v>3</v>
      </c>
      <c r="R31">
        <v>34</v>
      </c>
      <c r="S31" s="2">
        <v>107839</v>
      </c>
    </row>
    <row r="32" spans="1:19">
      <c r="A32" s="5">
        <v>2000</v>
      </c>
      <c r="B32" s="2">
        <v>65284</v>
      </c>
      <c r="C32" s="2">
        <v>1400</v>
      </c>
      <c r="D32">
        <v>286</v>
      </c>
      <c r="E32" s="2">
        <v>6046</v>
      </c>
      <c r="F32">
        <v>70</v>
      </c>
      <c r="G32">
        <v>519</v>
      </c>
      <c r="H32" s="2">
        <v>4649</v>
      </c>
      <c r="I32" s="2">
        <v>7797</v>
      </c>
      <c r="J32">
        <v>9</v>
      </c>
      <c r="K32">
        <v>113</v>
      </c>
      <c r="L32">
        <v>409</v>
      </c>
      <c r="M32">
        <v>265</v>
      </c>
      <c r="N32" s="2">
        <v>1028</v>
      </c>
      <c r="O32" s="2">
        <v>1134</v>
      </c>
      <c r="P32">
        <v>178</v>
      </c>
      <c r="Q32">
        <v>1</v>
      </c>
      <c r="R32">
        <v>59</v>
      </c>
      <c r="S32" s="2">
        <v>89249</v>
      </c>
    </row>
    <row r="33" spans="1:19">
      <c r="A33" s="5">
        <v>2001</v>
      </c>
      <c r="B33" s="2">
        <v>54132</v>
      </c>
      <c r="C33" s="2">
        <v>1157</v>
      </c>
      <c r="D33">
        <v>50</v>
      </c>
      <c r="E33" s="2">
        <v>7580</v>
      </c>
      <c r="F33">
        <v>145</v>
      </c>
      <c r="G33" s="2">
        <v>1142</v>
      </c>
      <c r="H33" s="2">
        <v>3602</v>
      </c>
      <c r="I33" s="2">
        <v>7824</v>
      </c>
      <c r="J33">
        <v>8</v>
      </c>
      <c r="K33">
        <v>2</v>
      </c>
      <c r="L33">
        <v>202</v>
      </c>
      <c r="M33">
        <v>147</v>
      </c>
      <c r="N33">
        <v>990</v>
      </c>
      <c r="O33">
        <v>319</v>
      </c>
      <c r="P33">
        <v>144</v>
      </c>
      <c r="Q33">
        <v>1</v>
      </c>
      <c r="R33">
        <v>68</v>
      </c>
      <c r="S33" s="2">
        <v>77514</v>
      </c>
    </row>
    <row r="34" spans="1:19">
      <c r="A34" s="5">
        <v>2002</v>
      </c>
      <c r="B34" s="2">
        <v>62323</v>
      </c>
      <c r="C34">
        <v>345</v>
      </c>
      <c r="D34">
        <v>76</v>
      </c>
      <c r="E34" s="2">
        <v>7822</v>
      </c>
      <c r="F34">
        <v>25</v>
      </c>
      <c r="G34">
        <v>988</v>
      </c>
      <c r="H34" s="2">
        <v>3360</v>
      </c>
      <c r="I34" s="2">
        <v>9877</v>
      </c>
      <c r="J34">
        <v>5</v>
      </c>
      <c r="K34">
        <v>6</v>
      </c>
      <c r="L34">
        <v>276</v>
      </c>
      <c r="M34">
        <v>151</v>
      </c>
      <c r="N34">
        <v>630</v>
      </c>
      <c r="O34">
        <v>117</v>
      </c>
      <c r="P34">
        <v>85</v>
      </c>
      <c r="Q34">
        <v>1</v>
      </c>
      <c r="R34">
        <v>33</v>
      </c>
      <c r="S34" s="2">
        <v>86121</v>
      </c>
    </row>
    <row r="35" spans="1:19">
      <c r="A35" s="5">
        <v>2003</v>
      </c>
      <c r="B35" s="2">
        <v>62440</v>
      </c>
      <c r="C35" s="2">
        <v>1135</v>
      </c>
      <c r="D35">
        <v>7</v>
      </c>
      <c r="E35" s="2">
        <v>8046</v>
      </c>
      <c r="F35">
        <v>11</v>
      </c>
      <c r="G35" s="2">
        <v>1177</v>
      </c>
      <c r="H35">
        <v>939</v>
      </c>
      <c r="I35" s="2">
        <v>7850</v>
      </c>
      <c r="J35">
        <v>0</v>
      </c>
      <c r="K35">
        <v>24</v>
      </c>
      <c r="L35">
        <v>363</v>
      </c>
      <c r="M35">
        <v>164</v>
      </c>
      <c r="N35">
        <v>765</v>
      </c>
      <c r="O35">
        <v>192</v>
      </c>
      <c r="P35">
        <v>102</v>
      </c>
      <c r="Q35">
        <v>0</v>
      </c>
      <c r="R35">
        <v>4</v>
      </c>
      <c r="S35" s="2">
        <v>83219</v>
      </c>
    </row>
    <row r="36" spans="1:19">
      <c r="A36" s="5">
        <v>2004</v>
      </c>
      <c r="B36" s="2">
        <v>58008</v>
      </c>
      <c r="C36">
        <v>959</v>
      </c>
      <c r="D36">
        <v>131</v>
      </c>
      <c r="E36" s="2">
        <v>14251</v>
      </c>
      <c r="F36">
        <v>37</v>
      </c>
      <c r="G36">
        <v>953</v>
      </c>
      <c r="H36">
        <v>319</v>
      </c>
      <c r="I36" s="2">
        <v>6648</v>
      </c>
      <c r="J36">
        <v>0</v>
      </c>
      <c r="K36">
        <v>2</v>
      </c>
      <c r="L36">
        <v>180</v>
      </c>
      <c r="M36">
        <v>51</v>
      </c>
      <c r="N36" s="2">
        <v>1144</v>
      </c>
      <c r="O36">
        <v>525</v>
      </c>
      <c r="P36">
        <v>112</v>
      </c>
      <c r="Q36">
        <v>6</v>
      </c>
      <c r="R36">
        <v>51</v>
      </c>
      <c r="S36" s="2">
        <v>83377</v>
      </c>
    </row>
    <row r="37" spans="1:19">
      <c r="A37" s="5">
        <v>2005</v>
      </c>
      <c r="B37" s="2">
        <v>61858</v>
      </c>
      <c r="C37" s="2">
        <v>2331</v>
      </c>
      <c r="D37">
        <v>117</v>
      </c>
      <c r="E37" s="2">
        <v>10843</v>
      </c>
      <c r="F37">
        <v>20</v>
      </c>
      <c r="G37">
        <v>879</v>
      </c>
      <c r="H37">
        <v>928</v>
      </c>
      <c r="I37" s="2">
        <v>10252</v>
      </c>
      <c r="J37">
        <v>1</v>
      </c>
      <c r="K37">
        <v>81</v>
      </c>
      <c r="L37">
        <v>88</v>
      </c>
      <c r="M37">
        <v>146</v>
      </c>
      <c r="N37" s="2">
        <v>3665</v>
      </c>
      <c r="O37">
        <v>390</v>
      </c>
      <c r="P37">
        <v>193</v>
      </c>
      <c r="Q37">
        <v>7</v>
      </c>
      <c r="R37">
        <v>70</v>
      </c>
      <c r="S37" s="2">
        <v>91870</v>
      </c>
    </row>
    <row r="38" spans="1:19">
      <c r="A38" s="5">
        <v>2006</v>
      </c>
      <c r="B38" s="2">
        <v>55971</v>
      </c>
      <c r="C38" s="2">
        <v>2326</v>
      </c>
      <c r="D38">
        <v>125</v>
      </c>
      <c r="E38" s="2">
        <v>13799</v>
      </c>
      <c r="F38">
        <v>231</v>
      </c>
      <c r="G38">
        <v>962</v>
      </c>
      <c r="H38" s="2">
        <v>1579</v>
      </c>
      <c r="I38" s="2">
        <v>11929</v>
      </c>
      <c r="J38">
        <v>12</v>
      </c>
      <c r="K38">
        <v>35</v>
      </c>
      <c r="L38" s="2">
        <v>1399</v>
      </c>
      <c r="M38">
        <v>602</v>
      </c>
      <c r="N38">
        <v>878</v>
      </c>
      <c r="O38">
        <v>348</v>
      </c>
      <c r="P38">
        <v>232</v>
      </c>
      <c r="Q38">
        <v>27</v>
      </c>
      <c r="R38">
        <v>58</v>
      </c>
      <c r="S38" s="2">
        <v>90514</v>
      </c>
    </row>
    <row r="39" spans="1:19">
      <c r="A39" s="5">
        <v>2007</v>
      </c>
      <c r="B39" s="2">
        <v>71649</v>
      </c>
      <c r="C39" s="2">
        <v>1771</v>
      </c>
      <c r="D39">
        <v>282</v>
      </c>
      <c r="E39" s="2">
        <v>12065</v>
      </c>
      <c r="F39">
        <v>51</v>
      </c>
      <c r="G39" s="2">
        <v>2353</v>
      </c>
      <c r="H39" s="2">
        <v>1728</v>
      </c>
      <c r="I39" s="2">
        <v>13451</v>
      </c>
      <c r="J39">
        <v>2</v>
      </c>
      <c r="K39">
        <v>10</v>
      </c>
      <c r="L39">
        <v>348</v>
      </c>
      <c r="M39">
        <v>258</v>
      </c>
      <c r="N39" s="2">
        <v>1714</v>
      </c>
      <c r="O39">
        <v>310</v>
      </c>
      <c r="P39">
        <v>338</v>
      </c>
      <c r="Q39">
        <v>11</v>
      </c>
      <c r="R39">
        <v>43</v>
      </c>
      <c r="S39" s="2">
        <v>106384</v>
      </c>
    </row>
    <row r="40" spans="1:19">
      <c r="A40" s="5">
        <v>2008</v>
      </c>
      <c r="B40" s="2">
        <v>82358</v>
      </c>
      <c r="C40" s="2">
        <v>2793</v>
      </c>
      <c r="D40">
        <v>313</v>
      </c>
      <c r="E40" s="2">
        <v>13478</v>
      </c>
      <c r="F40">
        <v>146</v>
      </c>
      <c r="G40">
        <v>743</v>
      </c>
      <c r="H40" s="2">
        <v>1606</v>
      </c>
      <c r="I40" s="2">
        <v>16412</v>
      </c>
      <c r="J40">
        <v>4</v>
      </c>
      <c r="K40">
        <v>57</v>
      </c>
      <c r="L40">
        <v>279</v>
      </c>
      <c r="M40">
        <v>188</v>
      </c>
      <c r="N40" s="2">
        <v>1316</v>
      </c>
      <c r="O40">
        <v>764</v>
      </c>
      <c r="P40">
        <v>545</v>
      </c>
      <c r="Q40">
        <v>16</v>
      </c>
      <c r="R40">
        <v>53</v>
      </c>
      <c r="S40" s="2">
        <v>121073</v>
      </c>
    </row>
    <row r="41" spans="1:19">
      <c r="A41" s="5">
        <v>2009</v>
      </c>
      <c r="B41" s="2">
        <v>92412</v>
      </c>
      <c r="C41" s="2">
        <v>1744</v>
      </c>
      <c r="D41">
        <v>59</v>
      </c>
      <c r="E41" s="2">
        <v>14416</v>
      </c>
      <c r="F41">
        <v>13</v>
      </c>
      <c r="G41">
        <v>578</v>
      </c>
      <c r="H41" s="2">
        <v>2005</v>
      </c>
      <c r="I41" s="2">
        <v>17123</v>
      </c>
      <c r="J41">
        <v>5</v>
      </c>
      <c r="K41">
        <v>16</v>
      </c>
      <c r="L41">
        <v>306</v>
      </c>
      <c r="M41">
        <v>142</v>
      </c>
      <c r="N41">
        <v>984</v>
      </c>
      <c r="O41">
        <v>365</v>
      </c>
      <c r="P41">
        <v>344</v>
      </c>
      <c r="Q41">
        <v>5</v>
      </c>
      <c r="R41">
        <v>44</v>
      </c>
      <c r="S41" s="2">
        <v>130559</v>
      </c>
    </row>
    <row r="42" spans="1:19">
      <c r="A42" s="5">
        <v>2010</v>
      </c>
      <c r="B42" s="2">
        <v>89528</v>
      </c>
      <c r="C42" s="2">
        <v>2476</v>
      </c>
      <c r="D42">
        <v>126</v>
      </c>
      <c r="E42" s="2">
        <v>11666</v>
      </c>
      <c r="F42">
        <v>83</v>
      </c>
      <c r="G42">
        <v>844</v>
      </c>
      <c r="H42" s="2">
        <v>1416</v>
      </c>
      <c r="I42" s="2">
        <v>9000</v>
      </c>
      <c r="J42">
        <v>7</v>
      </c>
      <c r="K42">
        <v>14</v>
      </c>
      <c r="L42">
        <v>86</v>
      </c>
      <c r="M42">
        <v>199</v>
      </c>
      <c r="N42" s="2">
        <v>1368</v>
      </c>
      <c r="O42">
        <v>495</v>
      </c>
      <c r="P42">
        <v>339</v>
      </c>
      <c r="Q42">
        <v>4</v>
      </c>
      <c r="R42">
        <v>26</v>
      </c>
      <c r="S42" s="2">
        <v>117678</v>
      </c>
    </row>
    <row r="43" spans="1:19">
      <c r="A43" s="5">
        <v>2011</v>
      </c>
      <c r="B43" s="2">
        <v>62842</v>
      </c>
      <c r="C43" s="2">
        <v>4164</v>
      </c>
      <c r="D43">
        <v>290</v>
      </c>
      <c r="E43" s="2">
        <v>19802</v>
      </c>
      <c r="F43">
        <v>19</v>
      </c>
      <c r="G43" s="2">
        <v>1282</v>
      </c>
      <c r="H43" s="2">
        <v>1528</v>
      </c>
      <c r="I43" s="2">
        <v>15684</v>
      </c>
      <c r="J43">
        <v>2</v>
      </c>
      <c r="K43">
        <v>26</v>
      </c>
      <c r="L43">
        <v>275</v>
      </c>
      <c r="M43">
        <v>164</v>
      </c>
      <c r="N43" s="2">
        <v>3212</v>
      </c>
      <c r="O43" s="2">
        <v>1004</v>
      </c>
      <c r="P43">
        <v>382</v>
      </c>
      <c r="Q43">
        <v>14</v>
      </c>
      <c r="R43">
        <v>109</v>
      </c>
      <c r="S43" s="2">
        <v>110798</v>
      </c>
    </row>
    <row r="44" spans="1:19">
      <c r="A44" s="5">
        <v>2012</v>
      </c>
      <c r="B44" s="2">
        <v>70195</v>
      </c>
      <c r="C44" s="2">
        <v>2515</v>
      </c>
      <c r="D44">
        <v>108</v>
      </c>
      <c r="E44" s="2">
        <v>14034</v>
      </c>
      <c r="F44">
        <v>69</v>
      </c>
      <c r="G44" s="2">
        <v>860</v>
      </c>
      <c r="H44" s="2">
        <v>818</v>
      </c>
      <c r="I44" s="2">
        <v>14772</v>
      </c>
      <c r="J44">
        <v>75</v>
      </c>
      <c r="K44">
        <v>18</v>
      </c>
      <c r="L44">
        <v>53</v>
      </c>
      <c r="M44">
        <v>162</v>
      </c>
      <c r="N44" s="2">
        <v>2870</v>
      </c>
      <c r="O44" s="2">
        <v>1193</v>
      </c>
      <c r="P44">
        <v>283</v>
      </c>
      <c r="Q44">
        <v>1</v>
      </c>
      <c r="R44">
        <v>23</v>
      </c>
      <c r="S44" s="2">
        <v>108048</v>
      </c>
    </row>
    <row r="45" spans="1:19">
      <c r="A45" s="5">
        <v>2013</v>
      </c>
      <c r="B45" s="2">
        <v>41032</v>
      </c>
      <c r="C45" s="2">
        <v>2172</v>
      </c>
      <c r="D45">
        <v>117</v>
      </c>
      <c r="E45" s="2">
        <v>9062</v>
      </c>
      <c r="F45">
        <v>45</v>
      </c>
      <c r="G45">
        <v>69</v>
      </c>
      <c r="H45">
        <v>557</v>
      </c>
      <c r="I45" s="2">
        <v>6818</v>
      </c>
      <c r="J45">
        <v>114</v>
      </c>
      <c r="K45">
        <v>7</v>
      </c>
      <c r="L45">
        <v>146</v>
      </c>
      <c r="M45">
        <v>137</v>
      </c>
      <c r="N45" s="2">
        <v>2826</v>
      </c>
      <c r="O45" s="2">
        <v>994</v>
      </c>
      <c r="P45">
        <v>246</v>
      </c>
      <c r="Q45">
        <v>4</v>
      </c>
      <c r="R45">
        <v>28</v>
      </c>
      <c r="S45" s="2">
        <v>64373</v>
      </c>
    </row>
    <row r="46" spans="1:19">
      <c r="A46" s="5">
        <v>2014</v>
      </c>
      <c r="B46" s="2">
        <v>46591</v>
      </c>
      <c r="C46" s="2">
        <v>1946</v>
      </c>
      <c r="D46">
        <v>192</v>
      </c>
      <c r="E46" s="2">
        <v>14736</v>
      </c>
      <c r="F46">
        <v>17</v>
      </c>
      <c r="G46">
        <v>201</v>
      </c>
      <c r="H46">
        <v>856</v>
      </c>
      <c r="I46" s="2">
        <v>15081</v>
      </c>
      <c r="J46">
        <v>1</v>
      </c>
      <c r="K46">
        <v>4</v>
      </c>
      <c r="L46">
        <v>514</v>
      </c>
      <c r="M46">
        <v>29</v>
      </c>
      <c r="N46" s="2">
        <v>3156</v>
      </c>
      <c r="O46" s="2">
        <v>3201</v>
      </c>
      <c r="P46">
        <v>447</v>
      </c>
      <c r="Q46">
        <v>3</v>
      </c>
      <c r="R46">
        <v>15</v>
      </c>
      <c r="S46" s="2">
        <v>86990</v>
      </c>
    </row>
    <row r="47" spans="1:19">
      <c r="A47" s="5">
        <v>2015</v>
      </c>
      <c r="B47" s="2">
        <v>76914</v>
      </c>
      <c r="C47" s="2">
        <v>2390</v>
      </c>
      <c r="D47">
        <v>301</v>
      </c>
      <c r="E47" s="2">
        <v>14489</v>
      </c>
      <c r="F47">
        <v>20</v>
      </c>
      <c r="G47">
        <v>614</v>
      </c>
      <c r="H47" s="2">
        <v>1763</v>
      </c>
      <c r="I47" s="2">
        <v>9917</v>
      </c>
      <c r="J47">
        <v>6</v>
      </c>
      <c r="K47">
        <v>57</v>
      </c>
      <c r="L47">
        <v>263</v>
      </c>
      <c r="M47">
        <v>268</v>
      </c>
      <c r="N47" s="2">
        <v>3529</v>
      </c>
      <c r="O47" s="2">
        <v>4018</v>
      </c>
      <c r="P47">
        <v>547</v>
      </c>
      <c r="Q47">
        <v>5</v>
      </c>
      <c r="R47">
        <v>50</v>
      </c>
      <c r="S47" s="2">
        <v>115149</v>
      </c>
    </row>
    <row r="48" spans="1:19">
      <c r="A48" s="5">
        <v>2016</v>
      </c>
      <c r="B48" s="2">
        <v>47860</v>
      </c>
      <c r="C48" s="2">
        <v>2134</v>
      </c>
      <c r="D48">
        <v>278</v>
      </c>
      <c r="E48" s="2">
        <v>13326</v>
      </c>
      <c r="F48">
        <v>52</v>
      </c>
      <c r="G48">
        <v>193</v>
      </c>
      <c r="H48" s="2">
        <v>2580</v>
      </c>
      <c r="I48" s="2">
        <v>23633</v>
      </c>
      <c r="J48">
        <v>5</v>
      </c>
      <c r="K48">
        <v>4</v>
      </c>
      <c r="L48">
        <v>217</v>
      </c>
      <c r="M48">
        <v>249</v>
      </c>
      <c r="N48" s="2">
        <v>2989</v>
      </c>
      <c r="O48">
        <v>754</v>
      </c>
      <c r="P48">
        <v>456</v>
      </c>
      <c r="Q48">
        <v>3</v>
      </c>
      <c r="R48">
        <v>32</v>
      </c>
      <c r="S48" s="2">
        <v>94765</v>
      </c>
    </row>
    <row r="49" spans="1:19">
      <c r="A49" s="5">
        <v>2017</v>
      </c>
      <c r="B49" s="2">
        <v>60078</v>
      </c>
      <c r="C49" s="2">
        <v>5035</v>
      </c>
      <c r="D49">
        <v>548</v>
      </c>
      <c r="E49" s="2">
        <v>21291</v>
      </c>
      <c r="F49">
        <v>35</v>
      </c>
      <c r="G49">
        <v>450</v>
      </c>
      <c r="H49" s="2">
        <v>1504</v>
      </c>
      <c r="I49" s="2">
        <v>19358</v>
      </c>
      <c r="J49">
        <v>7</v>
      </c>
      <c r="K49">
        <v>5</v>
      </c>
      <c r="L49">
        <v>257</v>
      </c>
      <c r="M49">
        <v>193</v>
      </c>
      <c r="N49" s="2">
        <v>2762</v>
      </c>
      <c r="O49">
        <v>808</v>
      </c>
      <c r="P49">
        <v>305</v>
      </c>
      <c r="Q49">
        <v>3</v>
      </c>
      <c r="R49">
        <v>25</v>
      </c>
      <c r="S49" s="2">
        <v>112669</v>
      </c>
    </row>
    <row r="50" spans="1:19">
      <c r="A50" s="5">
        <v>2018</v>
      </c>
      <c r="B50" s="21">
        <v>84054</v>
      </c>
      <c r="C50" s="21">
        <v>3861</v>
      </c>
      <c r="D50" s="21">
        <v>278</v>
      </c>
      <c r="E50" s="21">
        <v>26090</v>
      </c>
      <c r="F50" s="21">
        <v>83</v>
      </c>
      <c r="G50" s="21">
        <v>825</v>
      </c>
      <c r="H50" s="21">
        <v>2170</v>
      </c>
      <c r="I50" s="21">
        <v>26207</v>
      </c>
      <c r="J50" s="21">
        <v>2</v>
      </c>
      <c r="K50" s="21">
        <v>10</v>
      </c>
      <c r="L50" s="21">
        <v>134</v>
      </c>
      <c r="M50" s="21">
        <v>194</v>
      </c>
      <c r="N50" s="21">
        <v>5358</v>
      </c>
      <c r="O50" s="21">
        <v>1251</v>
      </c>
      <c r="P50" s="21">
        <v>567</v>
      </c>
      <c r="Q50" s="21">
        <v>4</v>
      </c>
      <c r="R50" s="21">
        <v>55</v>
      </c>
      <c r="S50" s="21">
        <v>151145</v>
      </c>
    </row>
    <row r="51" spans="1:19">
      <c r="A51" s="5">
        <v>2019</v>
      </c>
      <c r="B51" s="21">
        <v>62747</v>
      </c>
      <c r="C51" s="21">
        <v>7858</v>
      </c>
      <c r="D51" s="21">
        <v>414</v>
      </c>
      <c r="E51" s="21">
        <v>15642</v>
      </c>
      <c r="F51" s="21">
        <v>86</v>
      </c>
      <c r="G51" s="21">
        <v>343</v>
      </c>
      <c r="H51" s="21">
        <v>777</v>
      </c>
      <c r="I51" s="21">
        <v>8104</v>
      </c>
      <c r="J51" s="21">
        <v>5</v>
      </c>
      <c r="K51" s="21">
        <v>6</v>
      </c>
      <c r="L51" s="21">
        <v>205</v>
      </c>
      <c r="M51" s="21">
        <v>149</v>
      </c>
      <c r="N51" s="21">
        <v>2361</v>
      </c>
      <c r="O51" s="21">
        <v>1048</v>
      </c>
      <c r="P51" s="21">
        <v>703</v>
      </c>
      <c r="Q51" s="21">
        <v>11</v>
      </c>
      <c r="R51" s="21">
        <v>84</v>
      </c>
      <c r="S51" s="21">
        <v>100543</v>
      </c>
    </row>
    <row r="52" spans="1:19">
      <c r="A52" s="5">
        <v>2020</v>
      </c>
      <c r="B52" s="117">
        <v>38909</v>
      </c>
      <c r="C52" s="117">
        <v>8936</v>
      </c>
      <c r="D52" s="117">
        <v>227</v>
      </c>
      <c r="E52" s="117">
        <v>15185</v>
      </c>
      <c r="F52" s="117">
        <v>26</v>
      </c>
      <c r="G52" s="117">
        <v>649</v>
      </c>
      <c r="H52" s="117">
        <v>904</v>
      </c>
      <c r="I52" s="117">
        <v>8336</v>
      </c>
      <c r="J52" s="117">
        <v>2</v>
      </c>
      <c r="K52" s="117">
        <v>8</v>
      </c>
      <c r="L52" s="117">
        <v>290</v>
      </c>
      <c r="M52" s="117">
        <v>128</v>
      </c>
      <c r="N52" s="117">
        <v>4854</v>
      </c>
      <c r="O52" s="117">
        <v>759</v>
      </c>
      <c r="P52" s="117">
        <v>325</v>
      </c>
      <c r="Q52" s="117">
        <v>21</v>
      </c>
      <c r="R52" s="117">
        <v>296</v>
      </c>
      <c r="S52" s="117">
        <v>79856</v>
      </c>
    </row>
    <row r="53" spans="1:19">
      <c r="A53" s="5">
        <v>2021</v>
      </c>
      <c r="B53" s="117">
        <v>55392</v>
      </c>
      <c r="C53" s="117">
        <v>2193</v>
      </c>
      <c r="D53" s="117">
        <v>149</v>
      </c>
      <c r="E53" s="117">
        <v>17952</v>
      </c>
      <c r="F53" s="117">
        <v>113</v>
      </c>
      <c r="G53" s="117">
        <v>996</v>
      </c>
      <c r="H53" s="117">
        <v>1401</v>
      </c>
      <c r="I53" s="117">
        <v>7465</v>
      </c>
      <c r="J53" s="117">
        <v>17</v>
      </c>
      <c r="K53" s="117">
        <v>38</v>
      </c>
      <c r="L53" s="117">
        <v>544</v>
      </c>
      <c r="M53" s="117">
        <v>557</v>
      </c>
      <c r="N53" s="117">
        <v>3062</v>
      </c>
      <c r="O53" s="117">
        <v>789</v>
      </c>
      <c r="P53" s="117">
        <v>362</v>
      </c>
      <c r="Q53" s="117">
        <v>8</v>
      </c>
      <c r="R53" s="117">
        <v>63</v>
      </c>
      <c r="S53" s="117">
        <v>91102</v>
      </c>
    </row>
    <row r="54" spans="1:19">
      <c r="A54" s="4">
        <v>2022</v>
      </c>
      <c r="B54" s="126">
        <v>45347</v>
      </c>
      <c r="C54" s="126">
        <v>1892</v>
      </c>
      <c r="D54" s="126">
        <v>286</v>
      </c>
      <c r="E54" s="126">
        <v>22549</v>
      </c>
      <c r="F54" s="126">
        <v>59</v>
      </c>
      <c r="G54" s="126">
        <v>760</v>
      </c>
      <c r="H54" s="126">
        <v>2121</v>
      </c>
      <c r="I54" s="126">
        <v>13873</v>
      </c>
      <c r="J54" s="126">
        <v>10</v>
      </c>
      <c r="K54" s="126">
        <v>4</v>
      </c>
      <c r="L54" s="126">
        <v>580</v>
      </c>
      <c r="M54" s="126">
        <v>482</v>
      </c>
      <c r="N54" s="126">
        <v>7356</v>
      </c>
      <c r="O54" s="126">
        <v>4332</v>
      </c>
      <c r="P54" s="126">
        <v>1043</v>
      </c>
      <c r="Q54" s="126">
        <v>15</v>
      </c>
      <c r="R54" s="126">
        <v>612</v>
      </c>
      <c r="S54" s="126">
        <v>101322</v>
      </c>
    </row>
    <row r="56" spans="1:19">
      <c r="B56" s="66"/>
      <c r="C56" s="66"/>
      <c r="D56" s="66"/>
      <c r="E56" s="118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</row>
    <row r="57" spans="1:19"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"/>
  <sheetViews>
    <sheetView workbookViewId="0">
      <selection activeCell="F66" sqref="F66"/>
    </sheetView>
  </sheetViews>
  <sheetFormatPr defaultColWidth="8.875" defaultRowHeight="13.5"/>
  <cols>
    <col min="1" max="5" width="9" style="1"/>
  </cols>
  <sheetData>
    <row r="1" spans="1:15">
      <c r="A1" s="1" t="s">
        <v>21</v>
      </c>
      <c r="J1" s="123"/>
    </row>
    <row r="2" spans="1:15">
      <c r="A2" s="194" t="s">
        <v>22</v>
      </c>
      <c r="B2" s="191" t="s">
        <v>23</v>
      </c>
      <c r="C2" s="192"/>
      <c r="D2" s="193"/>
      <c r="E2" s="101" t="s">
        <v>24</v>
      </c>
    </row>
    <row r="3" spans="1:15">
      <c r="A3" s="195"/>
      <c r="B3" s="103" t="s">
        <v>25</v>
      </c>
      <c r="C3" s="104" t="s">
        <v>26</v>
      </c>
      <c r="D3" s="105" t="s">
        <v>27</v>
      </c>
      <c r="E3" s="106" t="s">
        <v>28</v>
      </c>
    </row>
    <row r="4" spans="1:15">
      <c r="A4" s="20">
        <v>1973</v>
      </c>
      <c r="B4" s="19">
        <v>269</v>
      </c>
      <c r="C4" s="18">
        <v>61</v>
      </c>
      <c r="D4" s="17">
        <v>330</v>
      </c>
      <c r="E4" s="16">
        <v>12.398999999999999</v>
      </c>
      <c r="H4" s="10"/>
      <c r="I4" s="10"/>
      <c r="J4" s="9"/>
      <c r="L4" s="10"/>
      <c r="M4" s="10"/>
      <c r="N4" s="10"/>
      <c r="O4" s="9"/>
    </row>
    <row r="5" spans="1:15">
      <c r="A5" s="20">
        <v>1974</v>
      </c>
      <c r="B5" s="19">
        <v>347</v>
      </c>
      <c r="C5" s="18">
        <v>72</v>
      </c>
      <c r="D5" s="17">
        <v>419</v>
      </c>
      <c r="E5" s="16">
        <v>12.22</v>
      </c>
      <c r="G5" s="10"/>
      <c r="H5" s="10"/>
      <c r="I5" s="10"/>
      <c r="J5" s="9"/>
      <c r="L5" s="10"/>
      <c r="M5" s="10"/>
      <c r="N5" s="10"/>
      <c r="O5" s="9"/>
    </row>
    <row r="6" spans="1:15">
      <c r="A6" s="20">
        <v>1975</v>
      </c>
      <c r="B6" s="19">
        <v>290</v>
      </c>
      <c r="C6" s="18">
        <v>65</v>
      </c>
      <c r="D6" s="17">
        <v>355</v>
      </c>
      <c r="E6" s="16">
        <v>13.348000000000001</v>
      </c>
      <c r="G6" s="10"/>
      <c r="H6" s="10"/>
      <c r="I6" s="10"/>
      <c r="J6" s="9"/>
      <c r="L6" s="10"/>
      <c r="M6" s="10"/>
      <c r="N6" s="10"/>
      <c r="O6" s="9"/>
    </row>
    <row r="7" spans="1:15">
      <c r="A7" s="20">
        <v>1976</v>
      </c>
      <c r="B7" s="19">
        <v>269</v>
      </c>
      <c r="C7" s="18">
        <v>95</v>
      </c>
      <c r="D7" s="17">
        <v>364</v>
      </c>
      <c r="E7" s="16">
        <v>14.602</v>
      </c>
      <c r="G7" s="10"/>
      <c r="H7" s="10"/>
      <c r="I7" s="10"/>
      <c r="J7" s="9"/>
      <c r="L7" s="10"/>
      <c r="M7" s="10"/>
      <c r="N7" s="10"/>
      <c r="O7" s="9"/>
    </row>
    <row r="8" spans="1:15">
      <c r="A8" s="20">
        <v>1977</v>
      </c>
      <c r="B8" s="19">
        <v>292</v>
      </c>
      <c r="C8" s="18">
        <v>101</v>
      </c>
      <c r="D8" s="17">
        <v>393</v>
      </c>
      <c r="E8" s="16">
        <v>14.182</v>
      </c>
      <c r="G8" s="10"/>
      <c r="H8" s="10"/>
      <c r="I8" s="10"/>
      <c r="J8" s="9"/>
      <c r="L8" s="10"/>
      <c r="M8" s="10"/>
      <c r="N8" s="10"/>
      <c r="O8" s="9"/>
    </row>
    <row r="9" spans="1:15">
      <c r="A9" s="20">
        <v>1978</v>
      </c>
      <c r="B9" s="19">
        <v>298</v>
      </c>
      <c r="C9" s="18">
        <v>79</v>
      </c>
      <c r="D9" s="17">
        <v>378</v>
      </c>
      <c r="E9" s="16">
        <v>14.061</v>
      </c>
      <c r="G9" s="10"/>
      <c r="H9" s="10"/>
      <c r="I9" s="10"/>
      <c r="J9" s="9"/>
      <c r="L9" s="10"/>
      <c r="M9" s="10"/>
      <c r="N9" s="10"/>
      <c r="O9" s="9"/>
    </row>
    <row r="10" spans="1:15">
      <c r="A10" s="20">
        <v>1979</v>
      </c>
      <c r="B10" s="19">
        <v>270</v>
      </c>
      <c r="C10" s="18">
        <v>104</v>
      </c>
      <c r="D10" s="17">
        <v>374</v>
      </c>
      <c r="E10" s="16">
        <v>14.760999999999999</v>
      </c>
      <c r="G10" s="10"/>
      <c r="H10" s="10"/>
      <c r="I10" s="10"/>
      <c r="J10" s="9"/>
      <c r="L10" s="10"/>
      <c r="M10" s="10"/>
      <c r="N10" s="10"/>
      <c r="O10" s="9"/>
    </row>
    <row r="11" spans="1:15">
      <c r="A11" s="20">
        <v>1980</v>
      </c>
      <c r="B11" s="19">
        <v>297</v>
      </c>
      <c r="C11" s="18">
        <v>57</v>
      </c>
      <c r="D11" s="17">
        <v>354</v>
      </c>
      <c r="E11" s="16">
        <v>14.372999999999999</v>
      </c>
      <c r="G11" s="10"/>
      <c r="H11" s="10"/>
      <c r="I11" s="10"/>
      <c r="J11" s="9"/>
      <c r="L11" s="10"/>
      <c r="M11" s="10"/>
      <c r="N11" s="10"/>
      <c r="O11" s="9"/>
    </row>
    <row r="12" spans="1:15">
      <c r="A12" s="20">
        <v>1981</v>
      </c>
      <c r="B12" s="19">
        <v>244</v>
      </c>
      <c r="C12" s="18">
        <v>105</v>
      </c>
      <c r="D12" s="17">
        <v>348</v>
      </c>
      <c r="E12" s="16">
        <v>14.821</v>
      </c>
      <c r="G12" s="10"/>
      <c r="H12" s="10"/>
      <c r="I12" s="10"/>
      <c r="J12" s="9"/>
      <c r="L12" s="10"/>
      <c r="M12" s="10"/>
      <c r="N12" s="10"/>
      <c r="O12" s="9"/>
    </row>
    <row r="13" spans="1:15">
      <c r="A13" s="20">
        <v>1982</v>
      </c>
      <c r="B13" s="19">
        <v>281</v>
      </c>
      <c r="C13" s="18">
        <v>93</v>
      </c>
      <c r="D13" s="17">
        <v>374</v>
      </c>
      <c r="E13" s="16">
        <v>16.486999999999998</v>
      </c>
      <c r="G13" s="10"/>
      <c r="H13" s="10"/>
      <c r="I13" s="10"/>
      <c r="J13" s="9"/>
      <c r="L13" s="10"/>
      <c r="M13" s="10"/>
      <c r="N13" s="10"/>
      <c r="O13" s="9"/>
    </row>
    <row r="14" spans="1:15">
      <c r="A14" s="20">
        <v>1983</v>
      </c>
      <c r="B14" s="19">
        <v>242</v>
      </c>
      <c r="C14" s="18">
        <v>110</v>
      </c>
      <c r="D14" s="17">
        <v>352</v>
      </c>
      <c r="E14" s="16">
        <v>15.760999999999999</v>
      </c>
      <c r="G14" s="10"/>
      <c r="H14" s="10"/>
      <c r="I14" s="10"/>
      <c r="J14" s="9"/>
      <c r="L14" s="10"/>
      <c r="M14" s="10"/>
      <c r="N14" s="10"/>
      <c r="O14" s="9"/>
    </row>
    <row r="15" spans="1:15">
      <c r="A15" s="20">
        <v>1984</v>
      </c>
      <c r="B15" s="19">
        <v>198</v>
      </c>
      <c r="C15" s="18">
        <v>93</v>
      </c>
      <c r="D15" s="17">
        <v>291</v>
      </c>
      <c r="E15" s="16">
        <v>16.489999999999998</v>
      </c>
      <c r="G15" s="10"/>
      <c r="H15" s="10"/>
      <c r="I15" s="10"/>
      <c r="J15" s="9"/>
      <c r="L15" s="10"/>
      <c r="M15" s="10"/>
      <c r="N15" s="10"/>
      <c r="O15" s="9"/>
    </row>
    <row r="16" spans="1:15">
      <c r="A16" s="20">
        <v>1985</v>
      </c>
      <c r="B16" s="19">
        <v>204</v>
      </c>
      <c r="C16" s="18">
        <v>60</v>
      </c>
      <c r="D16" s="17">
        <v>264</v>
      </c>
      <c r="E16" s="16">
        <v>17.440999999999999</v>
      </c>
      <c r="G16" s="10"/>
      <c r="H16" s="10"/>
      <c r="I16" s="10"/>
      <c r="J16" s="9"/>
      <c r="L16" s="10"/>
      <c r="M16" s="10"/>
      <c r="N16" s="10"/>
      <c r="O16" s="9"/>
    </row>
    <row r="17" spans="1:15">
      <c r="A17" s="20">
        <v>1986</v>
      </c>
      <c r="B17" s="19">
        <v>193</v>
      </c>
      <c r="C17" s="18">
        <v>97</v>
      </c>
      <c r="D17" s="17">
        <v>290</v>
      </c>
      <c r="E17" s="16">
        <v>16.93</v>
      </c>
      <c r="G17" s="10"/>
      <c r="H17" s="10"/>
      <c r="I17" s="10"/>
      <c r="J17" s="9"/>
      <c r="L17" s="10"/>
      <c r="M17" s="10"/>
      <c r="N17" s="10"/>
      <c r="O17" s="9"/>
    </row>
    <row r="18" spans="1:15">
      <c r="A18" s="20">
        <v>1987</v>
      </c>
      <c r="B18" s="19">
        <v>194</v>
      </c>
      <c r="C18" s="18">
        <v>98</v>
      </c>
      <c r="D18" s="17">
        <v>292</v>
      </c>
      <c r="E18" s="16">
        <v>18.03</v>
      </c>
      <c r="G18" s="10"/>
      <c r="H18" s="10"/>
      <c r="I18" s="10"/>
      <c r="J18" s="9"/>
      <c r="L18" s="10"/>
      <c r="M18" s="10"/>
      <c r="N18" s="10"/>
      <c r="O18" s="9"/>
    </row>
    <row r="19" spans="1:15">
      <c r="A19" s="20">
        <v>1988</v>
      </c>
      <c r="B19" s="19">
        <v>240</v>
      </c>
      <c r="C19" s="18">
        <v>149</v>
      </c>
      <c r="D19" s="17">
        <v>389</v>
      </c>
      <c r="E19" s="16">
        <v>17.968</v>
      </c>
      <c r="G19" s="10"/>
      <c r="H19" s="10"/>
      <c r="I19" s="10"/>
      <c r="J19" s="9"/>
      <c r="L19" s="10"/>
      <c r="M19" s="10"/>
      <c r="N19" s="10"/>
      <c r="O19" s="9"/>
    </row>
    <row r="20" spans="1:15">
      <c r="A20" s="20">
        <v>1989</v>
      </c>
      <c r="B20" s="19">
        <v>283</v>
      </c>
      <c r="C20" s="18">
        <v>154</v>
      </c>
      <c r="D20" s="17">
        <v>437</v>
      </c>
      <c r="E20" s="16">
        <v>18.093</v>
      </c>
      <c r="G20" s="10"/>
      <c r="H20" s="10"/>
      <c r="I20" s="10"/>
      <c r="J20" s="9"/>
      <c r="L20" s="10"/>
      <c r="M20" s="10"/>
      <c r="N20" s="10"/>
      <c r="O20" s="9"/>
    </row>
    <row r="21" spans="1:15">
      <c r="A21" s="20">
        <v>1990</v>
      </c>
      <c r="B21" s="19">
        <v>131</v>
      </c>
      <c r="C21" s="18">
        <v>91</v>
      </c>
      <c r="D21" s="17">
        <v>222</v>
      </c>
      <c r="E21" s="16">
        <v>17.222000000000001</v>
      </c>
      <c r="G21" s="10"/>
      <c r="H21" s="10"/>
      <c r="I21" s="10"/>
      <c r="J21" s="9"/>
      <c r="L21" s="10"/>
      <c r="M21" s="10"/>
      <c r="N21" s="10"/>
      <c r="O21" s="9"/>
    </row>
    <row r="22" spans="1:15">
      <c r="A22" s="20">
        <v>1991</v>
      </c>
      <c r="B22" s="19">
        <v>153</v>
      </c>
      <c r="C22" s="18">
        <v>89</v>
      </c>
      <c r="D22" s="17">
        <v>242</v>
      </c>
      <c r="E22" s="16">
        <v>16.577000000000002</v>
      </c>
      <c r="G22" s="10"/>
      <c r="H22" s="10"/>
      <c r="I22" s="10"/>
      <c r="J22" s="9"/>
      <c r="L22" s="10"/>
      <c r="M22" s="10"/>
      <c r="N22" s="10"/>
      <c r="O22" s="9"/>
    </row>
    <row r="23" spans="1:15">
      <c r="A23" s="20">
        <v>1992</v>
      </c>
      <c r="B23" s="19">
        <v>143</v>
      </c>
      <c r="C23" s="18">
        <v>114</v>
      </c>
      <c r="D23" s="17">
        <v>258</v>
      </c>
      <c r="E23" s="16">
        <v>15.929</v>
      </c>
      <c r="G23" s="10"/>
      <c r="H23" s="10"/>
      <c r="I23" s="10"/>
      <c r="J23" s="9"/>
      <c r="L23" s="10"/>
      <c r="M23" s="10"/>
      <c r="N23" s="10"/>
      <c r="O23" s="9"/>
    </row>
    <row r="24" spans="1:15">
      <c r="A24" s="20">
        <v>1993</v>
      </c>
      <c r="B24" s="19">
        <v>235</v>
      </c>
      <c r="C24" s="18">
        <v>168</v>
      </c>
      <c r="D24" s="17">
        <v>403</v>
      </c>
      <c r="E24" s="16">
        <v>16.126999999999999</v>
      </c>
      <c r="G24" s="10"/>
      <c r="H24" s="10"/>
      <c r="I24" s="10"/>
      <c r="J24" s="9"/>
      <c r="L24" s="10"/>
      <c r="M24" s="10"/>
      <c r="N24" s="10"/>
      <c r="O24" s="9"/>
    </row>
    <row r="25" spans="1:15">
      <c r="A25" s="20">
        <v>1994</v>
      </c>
      <c r="B25" s="19">
        <v>339</v>
      </c>
      <c r="C25" s="18">
        <v>205</v>
      </c>
      <c r="D25" s="17">
        <v>544</v>
      </c>
      <c r="E25" s="16">
        <v>14.994</v>
      </c>
      <c r="G25" s="10"/>
      <c r="H25" s="10"/>
      <c r="I25" s="10"/>
      <c r="J25" s="9"/>
      <c r="L25" s="10"/>
      <c r="M25" s="10"/>
      <c r="N25" s="10"/>
      <c r="O25" s="9"/>
    </row>
    <row r="26" spans="1:15">
      <c r="A26" s="20">
        <v>1995</v>
      </c>
      <c r="B26" s="19">
        <v>208</v>
      </c>
      <c r="C26" s="18">
        <v>192</v>
      </c>
      <c r="D26" s="17">
        <v>400</v>
      </c>
      <c r="E26" s="16">
        <v>13.58</v>
      </c>
      <c r="G26" s="10"/>
      <c r="H26" s="10"/>
      <c r="I26" s="10"/>
      <c r="J26" s="9"/>
      <c r="L26" s="10"/>
      <c r="M26" s="10"/>
      <c r="N26" s="10"/>
      <c r="O26" s="9"/>
    </row>
    <row r="27" spans="1:15">
      <c r="A27" s="20">
        <v>1996</v>
      </c>
      <c r="B27" s="19">
        <v>411</v>
      </c>
      <c r="C27" s="18">
        <v>410</v>
      </c>
      <c r="D27" s="17">
        <v>821</v>
      </c>
      <c r="E27" s="16">
        <v>13.412000000000001</v>
      </c>
      <c r="G27" s="10"/>
      <c r="H27" s="10"/>
      <c r="I27" s="10"/>
      <c r="J27" s="9"/>
      <c r="L27" s="10"/>
      <c r="M27" s="10"/>
      <c r="N27" s="10"/>
      <c r="O27" s="9"/>
    </row>
    <row r="28" spans="1:15">
      <c r="A28" s="20">
        <v>1997</v>
      </c>
      <c r="B28" s="19">
        <v>211</v>
      </c>
      <c r="C28" s="18">
        <v>158</v>
      </c>
      <c r="D28" s="17">
        <v>368</v>
      </c>
      <c r="E28" s="16">
        <v>11.858000000000001</v>
      </c>
      <c r="G28" s="10"/>
      <c r="H28" s="10"/>
      <c r="I28" s="10"/>
      <c r="J28" s="9"/>
      <c r="L28" s="10"/>
      <c r="M28" s="10"/>
      <c r="N28" s="10"/>
      <c r="O28" s="9"/>
    </row>
    <row r="29" spans="1:15">
      <c r="A29" s="20">
        <v>1998</v>
      </c>
      <c r="B29" s="19">
        <v>165</v>
      </c>
      <c r="C29" s="18">
        <v>163</v>
      </c>
      <c r="D29" s="17">
        <v>328</v>
      </c>
      <c r="E29" s="16">
        <v>11.894</v>
      </c>
      <c r="G29" s="10"/>
      <c r="H29" s="10"/>
      <c r="I29" s="10"/>
      <c r="J29" s="9"/>
      <c r="L29" s="10"/>
      <c r="M29" s="10"/>
      <c r="N29" s="10"/>
      <c r="O29" s="9"/>
    </row>
    <row r="30" spans="1:15">
      <c r="A30" s="20">
        <v>1999</v>
      </c>
      <c r="B30" s="19">
        <v>108</v>
      </c>
      <c r="C30" s="18">
        <v>157</v>
      </c>
      <c r="D30" s="17">
        <v>265</v>
      </c>
      <c r="E30" s="16">
        <v>11.005000000000001</v>
      </c>
      <c r="G30" s="10"/>
      <c r="H30" s="10"/>
      <c r="I30" s="10"/>
      <c r="J30" s="9"/>
      <c r="L30" s="10"/>
      <c r="M30" s="10"/>
      <c r="N30" s="10"/>
      <c r="O30" s="9"/>
    </row>
    <row r="31" spans="1:15">
      <c r="A31" s="20">
        <v>2000</v>
      </c>
      <c r="B31" s="19">
        <v>89</v>
      </c>
      <c r="C31" s="18">
        <v>126</v>
      </c>
      <c r="D31" s="17">
        <v>215</v>
      </c>
      <c r="E31" s="16">
        <v>10.646000000000001</v>
      </c>
      <c r="G31" s="10"/>
      <c r="H31" s="10"/>
      <c r="I31" s="10"/>
      <c r="J31" s="9"/>
      <c r="L31" s="10"/>
      <c r="M31" s="10"/>
      <c r="N31" s="10"/>
      <c r="O31" s="9"/>
    </row>
    <row r="32" spans="1:15">
      <c r="A32" s="20">
        <v>2001</v>
      </c>
      <c r="B32" s="19">
        <v>78</v>
      </c>
      <c r="C32" s="18">
        <v>199</v>
      </c>
      <c r="D32" s="17">
        <v>277</v>
      </c>
      <c r="E32" s="16">
        <v>10.436</v>
      </c>
      <c r="G32" s="10"/>
      <c r="H32" s="10"/>
      <c r="I32" s="10"/>
      <c r="J32" s="9"/>
      <c r="L32" s="10"/>
      <c r="M32" s="10"/>
      <c r="N32" s="10"/>
      <c r="O32" s="9"/>
    </row>
    <row r="33" spans="1:15">
      <c r="A33" s="20">
        <v>2002</v>
      </c>
      <c r="B33" s="19">
        <v>86</v>
      </c>
      <c r="C33" s="18">
        <v>139</v>
      </c>
      <c r="D33" s="17">
        <v>225</v>
      </c>
      <c r="E33" s="16">
        <v>9.1549999999999994</v>
      </c>
      <c r="G33" s="10"/>
      <c r="H33" s="10"/>
      <c r="I33" s="10"/>
      <c r="J33" s="9"/>
      <c r="L33" s="10"/>
      <c r="M33" s="10"/>
      <c r="N33" s="10"/>
      <c r="O33" s="9"/>
    </row>
    <row r="34" spans="1:15">
      <c r="A34" s="20">
        <v>2003</v>
      </c>
      <c r="B34" s="19">
        <v>83</v>
      </c>
      <c r="C34" s="18">
        <v>119</v>
      </c>
      <c r="D34" s="17">
        <v>202</v>
      </c>
      <c r="E34" s="16">
        <v>8.7539999999999996</v>
      </c>
      <c r="G34" s="10"/>
      <c r="H34" s="10"/>
      <c r="I34" s="10"/>
      <c r="J34" s="9"/>
      <c r="L34" s="10"/>
      <c r="M34" s="10"/>
      <c r="N34" s="10"/>
      <c r="O34" s="9"/>
    </row>
    <row r="35" spans="1:15">
      <c r="A35" s="20">
        <v>2004</v>
      </c>
      <c r="B35" s="19">
        <v>83</v>
      </c>
      <c r="C35" s="18">
        <v>178</v>
      </c>
      <c r="D35" s="17">
        <v>262</v>
      </c>
      <c r="E35" s="16">
        <v>8.5169999999999995</v>
      </c>
      <c r="G35" s="10"/>
      <c r="H35" s="10"/>
      <c r="I35" s="10"/>
      <c r="J35" s="9"/>
      <c r="L35" s="10"/>
      <c r="M35" s="10"/>
      <c r="N35" s="10"/>
      <c r="O35" s="9"/>
    </row>
    <row r="36" spans="1:15">
      <c r="A36" s="20">
        <v>2005</v>
      </c>
      <c r="B36" s="19">
        <v>92</v>
      </c>
      <c r="C36" s="18">
        <v>120</v>
      </c>
      <c r="D36" s="17">
        <v>212</v>
      </c>
      <c r="E36" s="16">
        <v>8.0519999999999996</v>
      </c>
      <c r="G36" s="10"/>
      <c r="H36" s="10"/>
      <c r="I36" s="10"/>
      <c r="J36" s="9"/>
      <c r="L36" s="10"/>
      <c r="M36" s="10"/>
      <c r="N36" s="10"/>
      <c r="O36" s="9"/>
    </row>
    <row r="37" spans="1:15">
      <c r="A37" s="20">
        <v>2006</v>
      </c>
      <c r="B37" s="19">
        <v>91</v>
      </c>
      <c r="C37" s="18">
        <v>99</v>
      </c>
      <c r="D37" s="17">
        <v>189</v>
      </c>
      <c r="E37" s="16">
        <v>8.4779999999999998</v>
      </c>
      <c r="G37" s="10"/>
      <c r="H37" s="10"/>
      <c r="I37" s="10"/>
      <c r="J37" s="9"/>
      <c r="L37" s="10"/>
      <c r="M37" s="10"/>
      <c r="N37" s="10"/>
      <c r="O37" s="9"/>
    </row>
    <row r="38" spans="1:15">
      <c r="A38" s="20">
        <v>2007</v>
      </c>
      <c r="B38" s="19">
        <v>106</v>
      </c>
      <c r="C38" s="18">
        <v>143</v>
      </c>
      <c r="D38" s="17">
        <v>249</v>
      </c>
      <c r="E38" s="16">
        <v>8.3689999999999998</v>
      </c>
      <c r="G38" s="10"/>
      <c r="H38" s="10"/>
      <c r="I38" s="10"/>
      <c r="J38" s="9"/>
      <c r="L38" s="10"/>
      <c r="M38" s="10"/>
      <c r="N38" s="10"/>
      <c r="O38" s="9"/>
    </row>
    <row r="39" spans="1:15">
      <c r="A39" s="20">
        <v>2008</v>
      </c>
      <c r="B39" s="19">
        <v>121</v>
      </c>
      <c r="C39" s="18">
        <v>187</v>
      </c>
      <c r="D39" s="17">
        <v>308</v>
      </c>
      <c r="E39" s="16">
        <v>7.6980000000000004</v>
      </c>
      <c r="G39" s="10"/>
      <c r="H39" s="10"/>
      <c r="I39" s="10"/>
      <c r="J39" s="9"/>
      <c r="L39" s="10"/>
      <c r="M39" s="10"/>
      <c r="N39" s="10"/>
      <c r="O39" s="9"/>
    </row>
    <row r="40" spans="1:15">
      <c r="A40" s="20">
        <v>2009</v>
      </c>
      <c r="B40" s="19">
        <v>131</v>
      </c>
      <c r="C40" s="18">
        <v>168</v>
      </c>
      <c r="D40" s="17">
        <v>298</v>
      </c>
      <c r="E40" s="16">
        <v>6.8710000000000004</v>
      </c>
      <c r="G40" s="10"/>
      <c r="H40" s="10"/>
      <c r="I40" s="10"/>
      <c r="J40" s="9"/>
      <c r="L40" s="10"/>
      <c r="M40" s="10"/>
      <c r="N40" s="10"/>
      <c r="O40" s="9"/>
    </row>
    <row r="41" spans="1:15">
      <c r="A41" s="20">
        <v>2010</v>
      </c>
      <c r="B41" s="19">
        <v>118</v>
      </c>
      <c r="C41" s="18">
        <v>94</v>
      </c>
      <c r="D41" s="17">
        <v>212</v>
      </c>
      <c r="E41" s="16">
        <v>6.8630000000000004</v>
      </c>
      <c r="G41" s="10"/>
      <c r="H41" s="10"/>
      <c r="I41" s="10"/>
      <c r="J41" s="9"/>
      <c r="L41" s="10"/>
      <c r="M41" s="10"/>
      <c r="N41" s="10"/>
      <c r="O41" s="9"/>
    </row>
    <row r="42" spans="1:15">
      <c r="A42" s="20">
        <v>2011</v>
      </c>
      <c r="B42" s="19">
        <v>111</v>
      </c>
      <c r="C42" s="18">
        <v>139</v>
      </c>
      <c r="D42" s="17">
        <v>250</v>
      </c>
      <c r="E42" s="16">
        <v>7.1609999999999996</v>
      </c>
      <c r="G42" s="10"/>
      <c r="H42" s="10"/>
      <c r="I42" s="10"/>
      <c r="J42" s="9"/>
      <c r="L42" s="10"/>
      <c r="M42" s="10"/>
      <c r="N42" s="10"/>
      <c r="O42" s="9"/>
    </row>
    <row r="43" spans="1:15">
      <c r="A43" s="20">
        <v>2012</v>
      </c>
      <c r="B43" s="19">
        <v>108</v>
      </c>
      <c r="C43" s="18">
        <v>125</v>
      </c>
      <c r="D43" s="17">
        <v>233</v>
      </c>
      <c r="E43" s="16">
        <v>6.165</v>
      </c>
      <c r="G43" s="10"/>
      <c r="H43" s="10"/>
      <c r="I43" s="10"/>
      <c r="J43" s="9"/>
      <c r="L43" s="10"/>
      <c r="M43" s="10"/>
      <c r="N43" s="10"/>
      <c r="O43" s="9"/>
    </row>
    <row r="44" spans="1:15">
      <c r="A44" s="20">
        <v>2013</v>
      </c>
      <c r="B44" s="19">
        <v>64</v>
      </c>
      <c r="C44" s="18">
        <v>102</v>
      </c>
      <c r="D44" s="17">
        <v>166</v>
      </c>
      <c r="E44" s="16">
        <v>6.2229999999999999</v>
      </c>
      <c r="G44" s="10"/>
      <c r="H44" s="10"/>
      <c r="I44" s="10"/>
      <c r="J44" s="9"/>
      <c r="L44" s="10"/>
      <c r="M44" s="10"/>
      <c r="N44" s="10"/>
      <c r="O44" s="9"/>
    </row>
    <row r="45" spans="1:15">
      <c r="A45" s="20">
        <v>2014</v>
      </c>
      <c r="B45" s="19">
        <v>87</v>
      </c>
      <c r="C45" s="18">
        <v>127</v>
      </c>
      <c r="D45" s="17">
        <v>214</v>
      </c>
      <c r="E45" s="16">
        <v>6.2220000000000004</v>
      </c>
      <c r="G45" s="10"/>
      <c r="H45" s="10"/>
      <c r="I45" s="10"/>
      <c r="J45" s="9"/>
      <c r="L45" s="10"/>
      <c r="M45" s="10"/>
      <c r="N45" s="10"/>
      <c r="O45" s="9"/>
    </row>
    <row r="46" spans="1:15">
      <c r="A46" s="20">
        <v>2015</v>
      </c>
      <c r="B46" s="19">
        <v>115</v>
      </c>
      <c r="C46" s="18">
        <v>132</v>
      </c>
      <c r="D46" s="17">
        <v>247</v>
      </c>
      <c r="E46" s="16">
        <v>5.9530000000000003</v>
      </c>
      <c r="G46" s="10"/>
      <c r="H46" s="10"/>
      <c r="I46" s="10"/>
      <c r="J46" s="9"/>
      <c r="L46" s="10"/>
      <c r="M46" s="10"/>
      <c r="N46" s="10"/>
      <c r="O46" s="9"/>
    </row>
    <row r="47" spans="1:15">
      <c r="A47" s="20">
        <v>2016</v>
      </c>
      <c r="B47" s="19">
        <v>95</v>
      </c>
      <c r="C47" s="18">
        <v>133</v>
      </c>
      <c r="D47" s="17">
        <v>228</v>
      </c>
      <c r="E47" s="16">
        <v>5.0540000000000003</v>
      </c>
      <c r="G47" s="10"/>
      <c r="H47" s="10"/>
      <c r="I47" s="10"/>
      <c r="J47" s="9"/>
      <c r="L47" s="10"/>
      <c r="M47" s="10"/>
      <c r="N47" s="10"/>
      <c r="O47" s="9"/>
    </row>
    <row r="48" spans="1:15">
      <c r="A48" s="20">
        <v>2017</v>
      </c>
      <c r="B48" s="19">
        <v>113</v>
      </c>
      <c r="C48" s="18">
        <v>104</v>
      </c>
      <c r="D48" s="17">
        <v>217</v>
      </c>
      <c r="E48" s="16">
        <v>5.1479999999999997</v>
      </c>
      <c r="G48" s="10"/>
      <c r="H48" s="10"/>
      <c r="I48" s="10"/>
      <c r="J48" s="9"/>
      <c r="L48" s="10"/>
      <c r="M48" s="10"/>
      <c r="N48" s="10"/>
      <c r="O48" s="9"/>
    </row>
    <row r="49" spans="1:15">
      <c r="A49" s="20">
        <v>2018</v>
      </c>
      <c r="B49" s="19">
        <v>151</v>
      </c>
      <c r="C49" s="18">
        <v>142</v>
      </c>
      <c r="D49" s="17">
        <v>293</v>
      </c>
      <c r="E49" s="16">
        <v>4.71</v>
      </c>
      <c r="G49" s="10"/>
      <c r="H49" s="10"/>
      <c r="I49" s="10"/>
      <c r="J49" s="9"/>
      <c r="L49" s="10"/>
      <c r="M49" s="10"/>
      <c r="N49" s="10"/>
      <c r="O49" s="9"/>
    </row>
    <row r="50" spans="1:15">
      <c r="A50" s="20">
        <v>2019</v>
      </c>
      <c r="B50" s="19">
        <v>101</v>
      </c>
      <c r="C50" s="18">
        <v>101</v>
      </c>
      <c r="D50" s="17">
        <v>202</v>
      </c>
      <c r="E50" s="16">
        <v>4.8019999999999996</v>
      </c>
      <c r="G50" s="10"/>
      <c r="H50" s="10"/>
      <c r="I50" s="10"/>
      <c r="J50" s="9"/>
      <c r="L50" s="10"/>
      <c r="M50" s="10"/>
      <c r="N50" s="10"/>
      <c r="O50" s="9"/>
    </row>
    <row r="51" spans="1:15">
      <c r="A51" s="20">
        <v>2020</v>
      </c>
      <c r="B51" s="19">
        <v>80</v>
      </c>
      <c r="C51" s="18">
        <v>77</v>
      </c>
      <c r="D51" s="17">
        <v>157</v>
      </c>
      <c r="E51" s="16">
        <v>4.2619999999999996</v>
      </c>
      <c r="G51" s="10"/>
      <c r="H51" s="10"/>
      <c r="I51" s="10"/>
      <c r="J51" s="9"/>
      <c r="L51" s="10"/>
      <c r="M51" s="10"/>
      <c r="N51" s="10"/>
      <c r="O51" s="9"/>
    </row>
    <row r="52" spans="1:15">
      <c r="A52" s="20">
        <v>2021</v>
      </c>
      <c r="B52" s="19">
        <v>91</v>
      </c>
      <c r="C52" s="18">
        <v>122</v>
      </c>
      <c r="D52" s="17">
        <v>213</v>
      </c>
      <c r="E52" s="16">
        <v>4.2939999999999996</v>
      </c>
      <c r="G52" s="10"/>
      <c r="H52" s="10"/>
      <c r="I52" s="10"/>
      <c r="J52" s="9"/>
      <c r="L52" s="10"/>
      <c r="M52" s="10"/>
      <c r="N52" s="10"/>
      <c r="O52" s="9"/>
    </row>
    <row r="53" spans="1:15">
      <c r="A53" s="15">
        <v>2022</v>
      </c>
      <c r="B53" s="14">
        <v>101</v>
      </c>
      <c r="C53" s="13">
        <v>111</v>
      </c>
      <c r="D53" s="12">
        <v>212</v>
      </c>
      <c r="E53" s="11">
        <v>4.49</v>
      </c>
      <c r="L53" s="10"/>
      <c r="M53" s="10"/>
      <c r="N53" s="10"/>
      <c r="O53" s="9"/>
    </row>
  </sheetData>
  <mergeCells count="2">
    <mergeCell ref="B2:D2"/>
    <mergeCell ref="A2:A3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3F0A-2A63-490F-83A2-52130221D7AD}">
  <dimension ref="A1:X53"/>
  <sheetViews>
    <sheetView workbookViewId="0">
      <selection activeCell="F66" sqref="F66"/>
    </sheetView>
  </sheetViews>
  <sheetFormatPr defaultColWidth="8.875" defaultRowHeight="13.5"/>
  <cols>
    <col min="5" max="5" width="12.25" customWidth="1"/>
    <col min="6" max="6" width="8.875" customWidth="1"/>
  </cols>
  <sheetData>
    <row r="1" spans="1:24">
      <c r="A1" t="s">
        <v>29</v>
      </c>
    </row>
    <row r="2" spans="1:24">
      <c r="A2" s="194" t="s">
        <v>22</v>
      </c>
      <c r="B2" s="100" t="s">
        <v>30</v>
      </c>
      <c r="C2" s="107" t="s">
        <v>31</v>
      </c>
      <c r="D2" s="100" t="s">
        <v>32</v>
      </c>
      <c r="E2" s="127" t="s">
        <v>33</v>
      </c>
      <c r="F2" s="100" t="s">
        <v>34</v>
      </c>
      <c r="G2" s="194" t="s">
        <v>35</v>
      </c>
      <c r="H2" s="194" t="s">
        <v>36</v>
      </c>
      <c r="J2" s="124"/>
    </row>
    <row r="3" spans="1:24">
      <c r="A3" s="195"/>
      <c r="B3" s="102" t="s">
        <v>37</v>
      </c>
      <c r="C3" s="108" t="s">
        <v>37</v>
      </c>
      <c r="D3" s="102" t="s">
        <v>38</v>
      </c>
      <c r="E3" s="128" t="s">
        <v>39</v>
      </c>
      <c r="F3" s="102" t="s">
        <v>40</v>
      </c>
      <c r="G3" s="195"/>
      <c r="H3" s="195"/>
    </row>
    <row r="4" spans="1:24">
      <c r="A4" s="109">
        <v>1973</v>
      </c>
      <c r="B4" s="8">
        <v>1026</v>
      </c>
      <c r="C4" s="17">
        <v>312</v>
      </c>
      <c r="D4" s="8">
        <v>2078</v>
      </c>
      <c r="E4" s="68">
        <v>6.67</v>
      </c>
      <c r="F4" s="8">
        <v>32</v>
      </c>
      <c r="G4" s="78">
        <v>21.68</v>
      </c>
      <c r="H4" s="78">
        <v>0.89</v>
      </c>
      <c r="I4" s="10"/>
      <c r="J4" s="10"/>
      <c r="K4" s="10"/>
      <c r="L4" s="9"/>
      <c r="N4" s="10"/>
      <c r="O4" s="10"/>
      <c r="P4" s="10"/>
      <c r="Q4" s="10"/>
      <c r="R4" s="10"/>
      <c r="S4" s="10"/>
      <c r="T4" s="10"/>
      <c r="U4" s="67"/>
      <c r="V4" s="10"/>
      <c r="W4" s="67"/>
      <c r="X4" s="67"/>
    </row>
    <row r="5" spans="1:24">
      <c r="A5" s="109">
        <v>1974</v>
      </c>
      <c r="B5" s="8">
        <v>1029</v>
      </c>
      <c r="C5" s="17">
        <v>380</v>
      </c>
      <c r="D5" s="8">
        <v>1749</v>
      </c>
      <c r="E5" s="68">
        <v>4.6100000000000003</v>
      </c>
      <c r="F5" s="8">
        <v>41</v>
      </c>
      <c r="G5" s="78">
        <v>18.87</v>
      </c>
      <c r="H5" s="78">
        <v>1.07</v>
      </c>
      <c r="I5" s="10"/>
      <c r="J5" s="10"/>
      <c r="K5" s="10"/>
      <c r="L5" s="9"/>
      <c r="N5" s="10"/>
      <c r="O5" s="10"/>
      <c r="P5" s="10"/>
      <c r="Q5" s="10"/>
      <c r="R5" s="10"/>
      <c r="S5" s="10"/>
      <c r="T5" s="10"/>
      <c r="U5" s="67"/>
      <c r="V5" s="10"/>
      <c r="W5" s="67"/>
      <c r="X5" s="67"/>
    </row>
    <row r="6" spans="1:24">
      <c r="A6" s="109">
        <v>1975</v>
      </c>
      <c r="B6" s="8">
        <v>946</v>
      </c>
      <c r="C6" s="17">
        <v>327</v>
      </c>
      <c r="D6" s="8">
        <v>1759</v>
      </c>
      <c r="E6" s="68">
        <v>5.37</v>
      </c>
      <c r="F6" s="8">
        <v>38</v>
      </c>
      <c r="G6" s="78">
        <v>19.489999999999998</v>
      </c>
      <c r="H6" s="78">
        <v>1.03</v>
      </c>
      <c r="I6" s="10"/>
      <c r="J6" s="10"/>
      <c r="K6" s="10"/>
      <c r="L6" s="9"/>
      <c r="N6" s="10"/>
      <c r="O6" s="10"/>
      <c r="P6" s="10"/>
      <c r="Q6" s="10"/>
      <c r="R6" s="10"/>
      <c r="S6" s="10"/>
      <c r="T6" s="10"/>
      <c r="U6" s="67"/>
      <c r="V6" s="10"/>
      <c r="W6" s="67"/>
      <c r="X6" s="67"/>
    </row>
    <row r="7" spans="1:24">
      <c r="A7" s="109">
        <v>1976</v>
      </c>
      <c r="B7" s="8">
        <v>976</v>
      </c>
      <c r="C7" s="17">
        <v>316</v>
      </c>
      <c r="D7" s="8">
        <v>1911</v>
      </c>
      <c r="E7" s="68">
        <v>6.05</v>
      </c>
      <c r="F7" s="8">
        <v>37</v>
      </c>
      <c r="G7" s="78">
        <v>18.940000000000001</v>
      </c>
      <c r="H7" s="78">
        <v>1.07</v>
      </c>
      <c r="I7" s="10"/>
      <c r="J7" s="10"/>
      <c r="K7" s="10"/>
      <c r="L7" s="9"/>
      <c r="N7" s="10"/>
      <c r="O7" s="10"/>
      <c r="P7" s="10"/>
      <c r="Q7" s="10"/>
      <c r="R7" s="10"/>
      <c r="S7" s="10"/>
      <c r="T7" s="10"/>
      <c r="U7" s="67"/>
      <c r="V7" s="10"/>
      <c r="W7" s="67"/>
      <c r="X7" s="67"/>
    </row>
    <row r="8" spans="1:24">
      <c r="A8" s="109">
        <v>1977</v>
      </c>
      <c r="B8" s="8">
        <v>1070</v>
      </c>
      <c r="C8" s="17">
        <v>325</v>
      </c>
      <c r="D8" s="8">
        <v>2202</v>
      </c>
      <c r="E8" s="68">
        <v>6.78</v>
      </c>
      <c r="F8" s="8">
        <v>37</v>
      </c>
      <c r="G8" s="78">
        <v>18.79</v>
      </c>
      <c r="H8" s="78">
        <v>1.07</v>
      </c>
      <c r="I8" s="10"/>
      <c r="J8" s="10"/>
      <c r="K8" s="10"/>
      <c r="L8" s="9"/>
      <c r="N8" s="10"/>
      <c r="O8" s="10"/>
      <c r="P8" s="10"/>
      <c r="Q8" s="10"/>
      <c r="R8" s="10"/>
      <c r="S8" s="10"/>
      <c r="T8" s="10"/>
      <c r="U8" s="67"/>
      <c r="V8" s="10"/>
      <c r="W8" s="67"/>
      <c r="X8" s="67"/>
    </row>
    <row r="9" spans="1:24">
      <c r="A9" s="109">
        <v>1978</v>
      </c>
      <c r="B9" s="8">
        <v>1044</v>
      </c>
      <c r="C9" s="17">
        <v>360</v>
      </c>
      <c r="D9" s="8">
        <v>1906</v>
      </c>
      <c r="E9" s="68">
        <v>5.29</v>
      </c>
      <c r="F9" s="8">
        <v>36</v>
      </c>
      <c r="G9" s="78">
        <v>20.73</v>
      </c>
      <c r="H9" s="78">
        <v>0.95</v>
      </c>
      <c r="I9" s="10"/>
      <c r="J9" s="10"/>
      <c r="K9" s="10"/>
      <c r="L9" s="9"/>
      <c r="N9" s="10"/>
      <c r="O9" s="10"/>
      <c r="P9" s="10"/>
      <c r="Q9" s="10"/>
      <c r="R9" s="10"/>
      <c r="S9" s="10"/>
      <c r="T9" s="10"/>
      <c r="U9" s="67"/>
      <c r="V9" s="10"/>
      <c r="W9" s="67"/>
      <c r="X9" s="67"/>
    </row>
    <row r="10" spans="1:24">
      <c r="A10" s="109">
        <v>1979</v>
      </c>
      <c r="B10" s="8">
        <v>1123</v>
      </c>
      <c r="C10" s="17">
        <v>363</v>
      </c>
      <c r="D10" s="8">
        <v>2229</v>
      </c>
      <c r="E10" s="68">
        <v>6.14</v>
      </c>
      <c r="F10" s="8">
        <v>33</v>
      </c>
      <c r="G10" s="78">
        <v>21.97</v>
      </c>
      <c r="H10" s="78">
        <v>0.89</v>
      </c>
      <c r="I10" s="10"/>
      <c r="J10" s="10"/>
      <c r="K10" s="10"/>
      <c r="L10" s="9"/>
      <c r="N10" s="10"/>
      <c r="O10" s="10"/>
      <c r="P10" s="10"/>
      <c r="Q10" s="10"/>
      <c r="R10" s="10"/>
      <c r="S10" s="10"/>
      <c r="T10" s="10"/>
      <c r="U10" s="67"/>
      <c r="V10" s="10"/>
      <c r="W10" s="67"/>
      <c r="X10" s="67"/>
    </row>
    <row r="11" spans="1:24">
      <c r="A11" s="109">
        <v>1980</v>
      </c>
      <c r="B11" s="8">
        <v>921</v>
      </c>
      <c r="C11" s="17">
        <v>415</v>
      </c>
      <c r="D11" s="8">
        <v>1203</v>
      </c>
      <c r="E11" s="68">
        <v>2.9</v>
      </c>
      <c r="F11" s="8">
        <v>38</v>
      </c>
      <c r="G11" s="78">
        <v>23.45</v>
      </c>
      <c r="H11" s="78">
        <v>0.81</v>
      </c>
      <c r="I11" s="10"/>
      <c r="J11" s="10"/>
      <c r="K11" s="10"/>
      <c r="L11" s="9"/>
      <c r="N11" s="10"/>
      <c r="O11" s="10"/>
      <c r="P11" s="10"/>
      <c r="Q11" s="10"/>
      <c r="R11" s="10"/>
      <c r="S11" s="10"/>
      <c r="T11" s="10"/>
      <c r="U11" s="67"/>
      <c r="V11" s="10"/>
      <c r="W11" s="67"/>
      <c r="X11" s="67"/>
    </row>
    <row r="12" spans="1:24">
      <c r="A12" s="109">
        <v>1981</v>
      </c>
      <c r="B12" s="8">
        <v>985</v>
      </c>
      <c r="C12" s="17">
        <v>329</v>
      </c>
      <c r="D12" s="8">
        <v>2026</v>
      </c>
      <c r="E12" s="68">
        <v>6.16</v>
      </c>
      <c r="F12" s="8">
        <v>35</v>
      </c>
      <c r="G12" s="78">
        <v>20.66</v>
      </c>
      <c r="H12" s="78">
        <v>0.95</v>
      </c>
      <c r="I12" s="10"/>
      <c r="J12" s="10"/>
      <c r="K12" s="10"/>
      <c r="L12" s="9"/>
      <c r="N12" s="10"/>
      <c r="O12" s="10"/>
      <c r="P12" s="10"/>
      <c r="Q12" s="10"/>
      <c r="R12" s="10"/>
      <c r="S12" s="10"/>
      <c r="T12" s="10"/>
      <c r="U12" s="67"/>
      <c r="V12" s="10"/>
      <c r="W12" s="67"/>
      <c r="X12" s="67"/>
    </row>
    <row r="13" spans="1:24">
      <c r="A13" s="109">
        <v>1982</v>
      </c>
      <c r="B13" s="8">
        <v>1116</v>
      </c>
      <c r="C13" s="17">
        <v>343</v>
      </c>
      <c r="D13" s="8">
        <v>2295</v>
      </c>
      <c r="E13" s="68">
        <v>6.68</v>
      </c>
      <c r="F13" s="8">
        <v>34</v>
      </c>
      <c r="G13" s="78">
        <v>21.33</v>
      </c>
      <c r="H13" s="78">
        <v>0.92</v>
      </c>
      <c r="I13" s="10"/>
      <c r="J13" s="10"/>
      <c r="K13" s="10"/>
      <c r="L13" s="9"/>
      <c r="N13" s="10"/>
      <c r="O13" s="10"/>
      <c r="P13" s="10"/>
      <c r="Q13" s="10"/>
      <c r="R13" s="10"/>
      <c r="S13" s="10"/>
      <c r="T13" s="10"/>
      <c r="U13" s="67"/>
      <c r="V13" s="10"/>
      <c r="W13" s="67"/>
      <c r="X13" s="67"/>
    </row>
    <row r="14" spans="1:24">
      <c r="A14" s="109">
        <v>1983</v>
      </c>
      <c r="B14" s="8">
        <v>1050</v>
      </c>
      <c r="C14" s="17">
        <v>408</v>
      </c>
      <c r="D14" s="8">
        <v>1714</v>
      </c>
      <c r="E14" s="68">
        <v>4.2</v>
      </c>
      <c r="F14" s="8">
        <v>34</v>
      </c>
      <c r="G14" s="78">
        <v>24.57</v>
      </c>
      <c r="H14" s="78">
        <v>0.78</v>
      </c>
      <c r="I14" s="10"/>
      <c r="J14" s="10"/>
      <c r="K14" s="10"/>
      <c r="L14" s="9"/>
      <c r="N14" s="10"/>
      <c r="O14" s="10"/>
      <c r="P14" s="10"/>
      <c r="Q14" s="10"/>
      <c r="R14" s="10"/>
      <c r="S14" s="10"/>
      <c r="T14" s="10"/>
      <c r="U14" s="67"/>
      <c r="V14" s="10"/>
      <c r="W14" s="67"/>
      <c r="X14" s="67"/>
    </row>
    <row r="15" spans="1:24">
      <c r="A15" s="109">
        <v>1984</v>
      </c>
      <c r="B15" s="8">
        <v>902</v>
      </c>
      <c r="C15" s="17">
        <v>406</v>
      </c>
      <c r="D15" s="8">
        <v>1283</v>
      </c>
      <c r="E15" s="68">
        <v>3.16</v>
      </c>
      <c r="F15" s="8">
        <v>32</v>
      </c>
      <c r="G15" s="78">
        <v>26.46</v>
      </c>
      <c r="H15" s="78">
        <v>0.76</v>
      </c>
      <c r="I15" s="10"/>
      <c r="J15" s="10"/>
      <c r="K15" s="10"/>
      <c r="L15" s="9"/>
      <c r="N15" s="10"/>
      <c r="O15" s="10"/>
      <c r="P15" s="10"/>
      <c r="Q15" s="10"/>
      <c r="R15" s="10"/>
      <c r="S15" s="10"/>
      <c r="T15" s="10"/>
      <c r="U15" s="67"/>
      <c r="V15" s="10"/>
      <c r="W15" s="67"/>
      <c r="X15" s="67"/>
    </row>
    <row r="16" spans="1:24">
      <c r="A16" s="109">
        <v>1985</v>
      </c>
      <c r="B16" s="8">
        <v>926</v>
      </c>
      <c r="C16" s="17">
        <v>380</v>
      </c>
      <c r="D16" s="8">
        <v>1647</v>
      </c>
      <c r="E16" s="68">
        <v>4.33</v>
      </c>
      <c r="F16" s="8">
        <v>28</v>
      </c>
      <c r="G16" s="78">
        <v>28.78</v>
      </c>
      <c r="H16" s="78">
        <v>0.63</v>
      </c>
      <c r="I16" s="10"/>
      <c r="J16" s="10"/>
      <c r="K16" s="10"/>
      <c r="L16" s="9"/>
      <c r="N16" s="10"/>
      <c r="O16" s="10"/>
      <c r="P16" s="10"/>
      <c r="Q16" s="10"/>
      <c r="R16" s="10"/>
      <c r="S16" s="10"/>
      <c r="T16" s="10"/>
      <c r="U16" s="67"/>
      <c r="V16" s="10"/>
      <c r="W16" s="67"/>
      <c r="X16" s="67"/>
    </row>
    <row r="17" spans="1:24">
      <c r="A17" s="109">
        <v>1986</v>
      </c>
      <c r="B17" s="8">
        <v>866</v>
      </c>
      <c r="C17" s="17">
        <v>388</v>
      </c>
      <c r="D17" s="8">
        <v>1252</v>
      </c>
      <c r="E17" s="68">
        <v>3.23</v>
      </c>
      <c r="F17" s="8">
        <v>33</v>
      </c>
      <c r="G17" s="78">
        <v>25.95</v>
      </c>
      <c r="H17" s="78">
        <v>0.71</v>
      </c>
      <c r="I17" s="10"/>
      <c r="J17" s="10"/>
      <c r="K17" s="10"/>
      <c r="L17" s="9"/>
      <c r="N17" s="10"/>
      <c r="O17" s="10"/>
      <c r="P17" s="10"/>
      <c r="Q17" s="10"/>
      <c r="R17" s="10"/>
      <c r="S17" s="10"/>
      <c r="T17" s="10"/>
      <c r="U17" s="67"/>
      <c r="V17" s="10"/>
      <c r="W17" s="67"/>
      <c r="X17" s="67"/>
    </row>
    <row r="18" spans="1:24">
      <c r="A18" s="109">
        <v>1987</v>
      </c>
      <c r="B18" s="8">
        <v>1255</v>
      </c>
      <c r="C18" s="17">
        <v>339</v>
      </c>
      <c r="D18" s="8">
        <v>2992</v>
      </c>
      <c r="E18" s="68">
        <v>8.82</v>
      </c>
      <c r="F18" s="8">
        <v>23</v>
      </c>
      <c r="G18" s="78">
        <v>26.94</v>
      </c>
      <c r="H18" s="78">
        <v>0.64</v>
      </c>
      <c r="I18" s="10"/>
      <c r="J18" s="10"/>
      <c r="K18" s="10"/>
      <c r="L18" s="9"/>
      <c r="N18" s="10"/>
      <c r="O18" s="10"/>
      <c r="P18" s="10"/>
      <c r="Q18" s="10"/>
      <c r="R18" s="10"/>
      <c r="S18" s="10"/>
      <c r="T18" s="10"/>
      <c r="U18" s="67"/>
      <c r="V18" s="10"/>
      <c r="W18" s="67"/>
      <c r="X18" s="67"/>
    </row>
    <row r="19" spans="1:24">
      <c r="A19" s="109">
        <v>1988</v>
      </c>
      <c r="B19" s="8">
        <v>1219</v>
      </c>
      <c r="C19" s="17">
        <v>533</v>
      </c>
      <c r="D19" s="8">
        <v>1576</v>
      </c>
      <c r="E19" s="68">
        <v>2.96</v>
      </c>
      <c r="F19" s="8">
        <v>32</v>
      </c>
      <c r="G19" s="78">
        <v>26.7</v>
      </c>
      <c r="H19" s="78">
        <v>0.75</v>
      </c>
      <c r="I19" s="10"/>
      <c r="J19" s="10"/>
      <c r="K19" s="10"/>
      <c r="L19" s="9"/>
      <c r="N19" s="10"/>
      <c r="O19" s="10"/>
      <c r="P19" s="10"/>
      <c r="Q19" s="10"/>
      <c r="R19" s="10"/>
      <c r="S19" s="10"/>
      <c r="T19" s="10"/>
      <c r="U19" s="67"/>
      <c r="V19" s="10"/>
      <c r="W19" s="67"/>
      <c r="X19" s="67"/>
    </row>
    <row r="20" spans="1:24">
      <c r="A20" s="109">
        <v>1989</v>
      </c>
      <c r="B20" s="8">
        <v>876</v>
      </c>
      <c r="C20" s="17">
        <v>521</v>
      </c>
      <c r="D20" s="8">
        <v>762</v>
      </c>
      <c r="E20" s="68">
        <v>1.46</v>
      </c>
      <c r="F20" s="8">
        <v>50</v>
      </c>
      <c r="G20" s="78">
        <v>18.05</v>
      </c>
      <c r="H20" s="78">
        <v>1.1100000000000001</v>
      </c>
      <c r="I20" s="10"/>
      <c r="J20" s="10"/>
      <c r="K20" s="10"/>
      <c r="L20" s="9"/>
      <c r="N20" s="10"/>
      <c r="O20" s="10"/>
      <c r="P20" s="10"/>
      <c r="Q20" s="10"/>
      <c r="R20" s="10"/>
      <c r="S20" s="10"/>
      <c r="T20" s="10"/>
      <c r="U20" s="67"/>
      <c r="V20" s="10"/>
      <c r="W20" s="67"/>
      <c r="X20" s="67"/>
    </row>
    <row r="21" spans="1:24">
      <c r="A21" s="109">
        <v>1990</v>
      </c>
      <c r="B21" s="8">
        <v>636</v>
      </c>
      <c r="C21" s="17">
        <v>256</v>
      </c>
      <c r="D21" s="8">
        <v>1187</v>
      </c>
      <c r="E21" s="68">
        <v>4.63</v>
      </c>
      <c r="F21" s="8">
        <v>35</v>
      </c>
      <c r="G21" s="78">
        <v>24</v>
      </c>
      <c r="H21" s="78">
        <v>0.82</v>
      </c>
      <c r="I21" s="10"/>
      <c r="J21" s="10"/>
      <c r="K21" s="10"/>
      <c r="L21" s="9"/>
      <c r="N21" s="10"/>
      <c r="O21" s="10"/>
      <c r="P21" s="10"/>
      <c r="Q21" s="10"/>
      <c r="R21" s="10"/>
      <c r="S21" s="10"/>
      <c r="T21" s="10"/>
      <c r="U21" s="67"/>
      <c r="V21" s="10"/>
      <c r="W21" s="67"/>
      <c r="X21" s="67"/>
    </row>
    <row r="22" spans="1:24">
      <c r="A22" s="109">
        <v>1991</v>
      </c>
      <c r="B22" s="8">
        <v>735</v>
      </c>
      <c r="C22" s="17">
        <v>236</v>
      </c>
      <c r="D22" s="8">
        <v>1559</v>
      </c>
      <c r="E22" s="68">
        <v>6.62</v>
      </c>
      <c r="F22" s="8">
        <v>33</v>
      </c>
      <c r="G22" s="78">
        <v>21.17</v>
      </c>
      <c r="H22" s="78">
        <v>0.92</v>
      </c>
      <c r="I22" s="10"/>
      <c r="J22" s="10"/>
      <c r="K22" s="10"/>
      <c r="L22" s="9"/>
      <c r="N22" s="10"/>
      <c r="O22" s="10"/>
      <c r="P22" s="10"/>
      <c r="Q22" s="10"/>
      <c r="R22" s="10"/>
      <c r="S22" s="10"/>
      <c r="T22" s="10"/>
      <c r="U22" s="67"/>
      <c r="V22" s="10"/>
      <c r="W22" s="67"/>
      <c r="X22" s="67"/>
    </row>
    <row r="23" spans="1:24">
      <c r="A23" s="109">
        <v>1992</v>
      </c>
      <c r="B23" s="8">
        <v>917</v>
      </c>
      <c r="C23" s="17">
        <v>265</v>
      </c>
      <c r="D23" s="8">
        <v>1963</v>
      </c>
      <c r="E23" s="68">
        <v>7.4</v>
      </c>
      <c r="F23" s="8">
        <v>28</v>
      </c>
      <c r="G23" s="78">
        <v>25.91</v>
      </c>
      <c r="H23" s="78">
        <v>0.74</v>
      </c>
      <c r="I23" s="10"/>
      <c r="J23" s="10"/>
      <c r="K23" s="10"/>
      <c r="L23" s="9"/>
      <c r="N23" s="10"/>
      <c r="O23" s="10"/>
      <c r="P23" s="10"/>
      <c r="Q23" s="10"/>
      <c r="R23" s="10"/>
      <c r="S23" s="10"/>
      <c r="T23" s="10"/>
      <c r="U23" s="67"/>
      <c r="V23" s="10"/>
      <c r="W23" s="67"/>
      <c r="X23" s="67"/>
    </row>
    <row r="24" spans="1:24">
      <c r="A24" s="109">
        <v>1993</v>
      </c>
      <c r="B24" s="8">
        <v>1098</v>
      </c>
      <c r="C24" s="17">
        <v>377</v>
      </c>
      <c r="D24" s="8">
        <v>2100</v>
      </c>
      <c r="E24" s="68">
        <v>5.57</v>
      </c>
      <c r="F24" s="8">
        <v>37</v>
      </c>
      <c r="G24" s="78">
        <v>20.82</v>
      </c>
      <c r="H24" s="78">
        <v>0.96</v>
      </c>
      <c r="I24" s="10"/>
      <c r="J24" s="10"/>
      <c r="K24" s="10"/>
      <c r="L24" s="9"/>
      <c r="N24" s="10"/>
      <c r="O24" s="10"/>
      <c r="P24" s="10"/>
      <c r="Q24" s="10"/>
      <c r="R24" s="10"/>
      <c r="S24" s="10"/>
      <c r="T24" s="10"/>
      <c r="U24" s="67"/>
      <c r="V24" s="10"/>
      <c r="W24" s="67"/>
      <c r="X24" s="67"/>
    </row>
    <row r="25" spans="1:24">
      <c r="A25" s="109">
        <v>1994</v>
      </c>
      <c r="B25" s="8">
        <v>1118</v>
      </c>
      <c r="C25" s="17">
        <v>400</v>
      </c>
      <c r="D25" s="8">
        <v>2145</v>
      </c>
      <c r="E25" s="68">
        <v>5.37</v>
      </c>
      <c r="F25" s="8">
        <v>49</v>
      </c>
      <c r="G25" s="78">
        <v>12.96</v>
      </c>
      <c r="H25" s="78">
        <v>1.47</v>
      </c>
      <c r="I25" s="10"/>
      <c r="J25" s="10"/>
      <c r="K25" s="10"/>
      <c r="L25" s="9"/>
      <c r="N25" s="10"/>
      <c r="O25" s="10"/>
      <c r="P25" s="10"/>
      <c r="Q25" s="10"/>
      <c r="R25" s="10"/>
      <c r="S25" s="10"/>
      <c r="T25" s="10"/>
      <c r="U25" s="67"/>
      <c r="V25" s="10"/>
      <c r="W25" s="67"/>
      <c r="X25" s="67"/>
    </row>
    <row r="26" spans="1:24">
      <c r="A26" s="109">
        <v>1995</v>
      </c>
      <c r="B26" s="8">
        <v>1292</v>
      </c>
      <c r="C26" s="17">
        <v>295</v>
      </c>
      <c r="D26" s="8">
        <v>3287</v>
      </c>
      <c r="E26" s="68">
        <v>11.15</v>
      </c>
      <c r="F26" s="8">
        <v>31</v>
      </c>
      <c r="G26" s="78">
        <v>19.399999999999999</v>
      </c>
      <c r="H26" s="78">
        <v>1.03</v>
      </c>
      <c r="I26" s="10"/>
      <c r="J26" s="10"/>
      <c r="K26" s="10"/>
      <c r="L26" s="9"/>
      <c r="N26" s="10"/>
      <c r="O26" s="10"/>
      <c r="P26" s="10"/>
      <c r="Q26" s="10"/>
      <c r="R26" s="10"/>
      <c r="S26" s="10"/>
      <c r="T26" s="10"/>
      <c r="U26" s="67"/>
      <c r="V26" s="10"/>
      <c r="W26" s="67"/>
      <c r="X26" s="67"/>
    </row>
    <row r="27" spans="1:24">
      <c r="A27" s="109">
        <v>1996</v>
      </c>
      <c r="B27" s="8">
        <v>1370</v>
      </c>
      <c r="C27" s="17">
        <v>468</v>
      </c>
      <c r="D27" s="8">
        <v>2456</v>
      </c>
      <c r="E27" s="68">
        <v>5.25</v>
      </c>
      <c r="F27" s="8">
        <v>60</v>
      </c>
      <c r="G27" s="78">
        <v>8.31</v>
      </c>
      <c r="H27" s="78">
        <v>2.0499999999999998</v>
      </c>
      <c r="I27" s="10"/>
      <c r="J27" s="10"/>
      <c r="K27" s="10"/>
      <c r="L27" s="9"/>
      <c r="N27" s="10"/>
      <c r="O27" s="10"/>
      <c r="P27" s="10"/>
      <c r="Q27" s="10"/>
      <c r="R27" s="10"/>
      <c r="S27" s="10"/>
      <c r="T27" s="10"/>
      <c r="U27" s="67"/>
      <c r="V27" s="10"/>
      <c r="W27" s="67"/>
      <c r="X27" s="67"/>
    </row>
    <row r="28" spans="1:24">
      <c r="A28" s="109">
        <v>1997</v>
      </c>
      <c r="B28" s="8">
        <v>832</v>
      </c>
      <c r="C28" s="17">
        <v>247</v>
      </c>
      <c r="D28" s="8">
        <v>1775</v>
      </c>
      <c r="E28" s="68">
        <v>7.18</v>
      </c>
      <c r="F28" s="8">
        <v>44</v>
      </c>
      <c r="G28" s="78">
        <v>15.2</v>
      </c>
      <c r="H28" s="78">
        <v>1.33</v>
      </c>
      <c r="I28" s="10"/>
      <c r="J28" s="10"/>
      <c r="K28" s="10"/>
      <c r="L28" s="9"/>
      <c r="N28" s="10"/>
      <c r="O28" s="10"/>
      <c r="P28" s="10"/>
      <c r="Q28" s="10"/>
      <c r="R28" s="10"/>
      <c r="S28" s="10"/>
      <c r="T28" s="10"/>
      <c r="U28" s="67"/>
      <c r="V28" s="10"/>
      <c r="W28" s="67"/>
      <c r="X28" s="67"/>
    </row>
    <row r="29" spans="1:24">
      <c r="A29" s="109">
        <v>1998</v>
      </c>
      <c r="B29" s="8">
        <v>715</v>
      </c>
      <c r="C29" s="17">
        <v>245</v>
      </c>
      <c r="D29" s="8">
        <v>1349</v>
      </c>
      <c r="E29" s="68">
        <v>5.51</v>
      </c>
      <c r="F29" s="8">
        <v>46</v>
      </c>
      <c r="G29" s="78">
        <v>14.74</v>
      </c>
      <c r="H29" s="78">
        <v>1.28</v>
      </c>
      <c r="I29" s="10"/>
      <c r="J29" s="10"/>
      <c r="K29" s="10"/>
      <c r="L29" s="9"/>
      <c r="N29" s="10"/>
      <c r="O29" s="10"/>
      <c r="P29" s="10"/>
      <c r="Q29" s="10"/>
      <c r="R29" s="10"/>
      <c r="S29" s="10"/>
      <c r="T29" s="10"/>
      <c r="U29" s="67"/>
      <c r="V29" s="10"/>
      <c r="W29" s="67"/>
      <c r="X29" s="67"/>
    </row>
    <row r="30" spans="1:24">
      <c r="A30" s="109">
        <v>1999</v>
      </c>
      <c r="B30" s="8">
        <v>617</v>
      </c>
      <c r="C30" s="17">
        <v>213</v>
      </c>
      <c r="D30" s="8">
        <v>1286</v>
      </c>
      <c r="E30" s="68">
        <v>6.05</v>
      </c>
      <c r="F30" s="8">
        <v>43</v>
      </c>
      <c r="G30" s="78">
        <v>16.04</v>
      </c>
      <c r="H30" s="78">
        <v>1.2</v>
      </c>
      <c r="I30" s="10"/>
      <c r="J30" s="10"/>
      <c r="K30" s="10"/>
      <c r="L30" s="9"/>
      <c r="N30" s="10"/>
      <c r="O30" s="10"/>
      <c r="P30" s="10"/>
      <c r="Q30" s="10"/>
      <c r="R30" s="10"/>
      <c r="S30" s="10"/>
      <c r="T30" s="10"/>
      <c r="U30" s="67"/>
      <c r="V30" s="10"/>
      <c r="W30" s="67"/>
      <c r="X30" s="67"/>
    </row>
    <row r="31" spans="1:24">
      <c r="A31" s="109">
        <v>2000</v>
      </c>
      <c r="B31" s="8">
        <v>446</v>
      </c>
      <c r="C31" s="17">
        <v>190</v>
      </c>
      <c r="D31" s="8">
        <v>1046</v>
      </c>
      <c r="E31" s="68">
        <v>5.49</v>
      </c>
      <c r="F31" s="8">
        <v>48</v>
      </c>
      <c r="G31" s="78">
        <v>15.7</v>
      </c>
      <c r="H31" s="78">
        <v>1.31</v>
      </c>
      <c r="I31" s="10"/>
      <c r="J31" s="10"/>
      <c r="K31" s="10"/>
      <c r="L31" s="9"/>
      <c r="N31" s="10"/>
      <c r="O31" s="10"/>
      <c r="P31" s="10"/>
      <c r="Q31" s="10"/>
      <c r="R31" s="10"/>
      <c r="S31" s="10"/>
      <c r="T31" s="10"/>
      <c r="U31" s="67"/>
      <c r="V31" s="10"/>
      <c r="W31" s="67"/>
      <c r="X31" s="67"/>
    </row>
    <row r="32" spans="1:24">
      <c r="A32" s="109">
        <v>2001</v>
      </c>
      <c r="B32" s="8">
        <v>559</v>
      </c>
      <c r="C32" s="17">
        <v>159</v>
      </c>
      <c r="D32" s="8">
        <v>1166</v>
      </c>
      <c r="E32" s="68">
        <v>7.34</v>
      </c>
      <c r="F32" s="8">
        <v>50</v>
      </c>
      <c r="G32" s="78">
        <v>11.36</v>
      </c>
      <c r="H32" s="78">
        <v>1.56</v>
      </c>
      <c r="I32" s="10"/>
      <c r="J32" s="10"/>
      <c r="K32" s="10"/>
      <c r="L32" s="9"/>
      <c r="N32" s="10"/>
      <c r="O32" s="10"/>
      <c r="P32" s="10"/>
      <c r="Q32" s="10"/>
      <c r="R32" s="10"/>
      <c r="S32" s="10"/>
      <c r="T32" s="10"/>
      <c r="U32" s="67"/>
      <c r="V32" s="10"/>
      <c r="W32" s="67"/>
      <c r="X32" s="67"/>
    </row>
    <row r="33" spans="1:24">
      <c r="A33" s="109">
        <v>2002</v>
      </c>
      <c r="B33" s="8">
        <v>467</v>
      </c>
      <c r="C33" s="17">
        <v>137</v>
      </c>
      <c r="D33" s="8">
        <v>972</v>
      </c>
      <c r="E33" s="68">
        <v>7.08</v>
      </c>
      <c r="F33" s="8">
        <v>48</v>
      </c>
      <c r="G33" s="78">
        <v>12.11</v>
      </c>
      <c r="H33" s="78">
        <v>1.56</v>
      </c>
      <c r="I33" s="10"/>
      <c r="J33" s="10"/>
      <c r="K33" s="10"/>
      <c r="L33" s="9"/>
      <c r="N33" s="10"/>
      <c r="O33" s="10"/>
      <c r="P33" s="10"/>
      <c r="Q33" s="10"/>
      <c r="R33" s="10"/>
      <c r="S33" s="10"/>
      <c r="T33" s="10"/>
      <c r="U33" s="67"/>
      <c r="V33" s="10"/>
      <c r="W33" s="67"/>
      <c r="X33" s="67"/>
    </row>
    <row r="34" spans="1:24">
      <c r="A34" s="109">
        <v>2003</v>
      </c>
      <c r="B34" s="8">
        <v>459</v>
      </c>
      <c r="C34" s="17">
        <v>116</v>
      </c>
      <c r="D34" s="8">
        <v>991</v>
      </c>
      <c r="E34" s="68">
        <v>8.5399999999999991</v>
      </c>
      <c r="F34" s="8">
        <v>44</v>
      </c>
      <c r="G34" s="78">
        <v>14.06</v>
      </c>
      <c r="H34" s="78">
        <v>1.34</v>
      </c>
      <c r="I34" s="10"/>
      <c r="J34" s="10"/>
      <c r="K34" s="10"/>
      <c r="L34" s="9"/>
      <c r="N34" s="10"/>
      <c r="O34" s="10"/>
      <c r="P34" s="10"/>
      <c r="Q34" s="10"/>
      <c r="R34" s="10"/>
      <c r="S34" s="10"/>
      <c r="T34" s="10"/>
      <c r="U34" s="67"/>
      <c r="V34" s="10"/>
      <c r="W34" s="67"/>
      <c r="X34" s="67"/>
    </row>
    <row r="35" spans="1:24">
      <c r="A35" s="109">
        <v>2004</v>
      </c>
      <c r="B35" s="8">
        <v>627</v>
      </c>
      <c r="C35" s="17">
        <v>125</v>
      </c>
      <c r="D35" s="8">
        <v>1497</v>
      </c>
      <c r="E35" s="68">
        <v>11.93</v>
      </c>
      <c r="F35" s="8">
        <v>42</v>
      </c>
      <c r="G35" s="78">
        <v>15.27</v>
      </c>
      <c r="H35" s="78">
        <v>1.28</v>
      </c>
      <c r="I35" s="10"/>
      <c r="J35" s="10"/>
      <c r="K35" s="10"/>
      <c r="L35" s="9"/>
      <c r="N35" s="10"/>
      <c r="O35" s="10"/>
      <c r="P35" s="10"/>
      <c r="Q35" s="10"/>
      <c r="R35" s="10"/>
      <c r="S35" s="10"/>
      <c r="T35" s="10"/>
      <c r="U35" s="67"/>
      <c r="V35" s="10"/>
      <c r="W35" s="67"/>
      <c r="X35" s="67"/>
    </row>
    <row r="36" spans="1:24">
      <c r="A36" s="109">
        <v>2005</v>
      </c>
      <c r="B36" s="8">
        <v>509</v>
      </c>
      <c r="C36" s="17">
        <v>183</v>
      </c>
      <c r="D36" s="8">
        <v>830</v>
      </c>
      <c r="E36" s="68">
        <v>4.53</v>
      </c>
      <c r="F36" s="8">
        <v>42</v>
      </c>
      <c r="G36" s="78">
        <v>18.34</v>
      </c>
      <c r="H36" s="78">
        <v>1.08</v>
      </c>
      <c r="I36" s="10"/>
      <c r="J36" s="10"/>
      <c r="K36" s="10"/>
      <c r="L36" s="9"/>
      <c r="N36" s="10"/>
      <c r="O36" s="10"/>
      <c r="P36" s="10"/>
      <c r="Q36" s="10"/>
      <c r="R36" s="10"/>
      <c r="S36" s="10"/>
      <c r="T36" s="10"/>
      <c r="U36" s="67"/>
      <c r="V36" s="10"/>
      <c r="W36" s="67"/>
      <c r="X36" s="67"/>
    </row>
    <row r="37" spans="1:24">
      <c r="A37" s="109">
        <v>2006</v>
      </c>
      <c r="B37" s="8">
        <v>443</v>
      </c>
      <c r="C37" s="17">
        <v>165</v>
      </c>
      <c r="D37" s="8">
        <v>887</v>
      </c>
      <c r="E37" s="68">
        <v>5.39</v>
      </c>
      <c r="F37" s="8">
        <v>43</v>
      </c>
      <c r="G37" s="78">
        <v>16.649999999999999</v>
      </c>
      <c r="H37" s="78">
        <v>1.19</v>
      </c>
      <c r="I37" s="10"/>
      <c r="J37" s="10"/>
      <c r="K37" s="10"/>
      <c r="L37" s="9"/>
      <c r="N37" s="10"/>
      <c r="O37" s="10"/>
      <c r="P37" s="10"/>
      <c r="Q37" s="10"/>
      <c r="R37" s="10"/>
      <c r="S37" s="10"/>
      <c r="T37" s="10"/>
      <c r="U37" s="67"/>
      <c r="V37" s="10"/>
      <c r="W37" s="67"/>
      <c r="X37" s="67"/>
    </row>
    <row r="38" spans="1:24">
      <c r="A38" s="109">
        <v>2007</v>
      </c>
      <c r="B38" s="8">
        <v>522</v>
      </c>
      <c r="C38" s="17">
        <v>138</v>
      </c>
      <c r="D38" s="8">
        <v>1132</v>
      </c>
      <c r="E38" s="68">
        <v>8.2200000000000006</v>
      </c>
      <c r="F38" s="8">
        <v>48</v>
      </c>
      <c r="G38" s="78">
        <v>12.14</v>
      </c>
      <c r="H38" s="78">
        <v>1.55</v>
      </c>
      <c r="I38" s="10"/>
      <c r="J38" s="10"/>
      <c r="K38" s="10"/>
      <c r="L38" s="9"/>
      <c r="N38" s="10"/>
      <c r="O38" s="10"/>
      <c r="P38" s="10"/>
      <c r="Q38" s="10"/>
      <c r="R38" s="10"/>
      <c r="S38" s="10"/>
      <c r="T38" s="10"/>
      <c r="U38" s="67"/>
      <c r="V38" s="10"/>
      <c r="W38" s="67"/>
      <c r="X38" s="67"/>
    </row>
    <row r="39" spans="1:24">
      <c r="A39" s="109">
        <v>2008</v>
      </c>
      <c r="B39" s="8">
        <v>696</v>
      </c>
      <c r="C39" s="17">
        <v>131</v>
      </c>
      <c r="D39" s="8">
        <v>1779</v>
      </c>
      <c r="E39" s="68">
        <v>13.58</v>
      </c>
      <c r="F39" s="8">
        <v>44</v>
      </c>
      <c r="G39" s="78">
        <v>14.47</v>
      </c>
      <c r="H39" s="78">
        <v>1.31</v>
      </c>
      <c r="I39" s="10"/>
      <c r="J39" s="10"/>
      <c r="K39" s="10"/>
      <c r="L39" s="9"/>
      <c r="N39" s="10"/>
      <c r="O39" s="10"/>
      <c r="P39" s="10"/>
      <c r="Q39" s="10"/>
      <c r="R39" s="10"/>
      <c r="S39" s="10"/>
      <c r="T39" s="10"/>
      <c r="U39" s="67"/>
      <c r="V39" s="10"/>
      <c r="W39" s="67"/>
      <c r="X39" s="67"/>
    </row>
    <row r="40" spans="1:24">
      <c r="A40" s="109">
        <v>2009</v>
      </c>
      <c r="B40" s="8">
        <v>551</v>
      </c>
      <c r="C40" s="17">
        <v>188</v>
      </c>
      <c r="D40" s="8">
        <v>955</v>
      </c>
      <c r="E40" s="68">
        <v>5.08</v>
      </c>
      <c r="F40" s="8">
        <v>54</v>
      </c>
      <c r="G40" s="78">
        <v>11.59</v>
      </c>
      <c r="H40" s="78">
        <v>1.69</v>
      </c>
      <c r="I40" s="10"/>
      <c r="J40" s="10"/>
      <c r="K40" s="10"/>
      <c r="L40" s="9"/>
      <c r="N40" s="10"/>
      <c r="O40" s="10"/>
      <c r="P40" s="10"/>
      <c r="Q40" s="10"/>
      <c r="R40" s="10"/>
      <c r="S40" s="10"/>
      <c r="T40" s="10"/>
      <c r="U40" s="67"/>
      <c r="V40" s="10"/>
      <c r="W40" s="67"/>
      <c r="X40" s="67"/>
    </row>
    <row r="41" spans="1:24">
      <c r="A41" s="109">
        <v>2010</v>
      </c>
      <c r="B41" s="8">
        <v>511</v>
      </c>
      <c r="C41" s="17">
        <v>112</v>
      </c>
      <c r="D41" s="8">
        <v>1237</v>
      </c>
      <c r="E41" s="68">
        <v>11.07</v>
      </c>
      <c r="F41" s="8">
        <v>41</v>
      </c>
      <c r="G41" s="78">
        <v>15.19</v>
      </c>
      <c r="H41" s="78">
        <v>1.29</v>
      </c>
      <c r="I41" s="10"/>
      <c r="J41" s="10"/>
      <c r="K41" s="10"/>
      <c r="L41" s="9"/>
      <c r="N41" s="10"/>
      <c r="O41" s="10"/>
      <c r="P41" s="10"/>
      <c r="Q41" s="10"/>
      <c r="R41" s="10"/>
      <c r="S41" s="10"/>
      <c r="T41" s="10"/>
      <c r="U41" s="67"/>
      <c r="V41" s="10"/>
      <c r="W41" s="67"/>
      <c r="X41" s="67"/>
    </row>
    <row r="42" spans="1:24">
      <c r="A42" s="109">
        <v>2011</v>
      </c>
      <c r="B42" s="8">
        <v>516</v>
      </c>
      <c r="C42" s="17">
        <v>143</v>
      </c>
      <c r="D42" s="8">
        <v>1326</v>
      </c>
      <c r="E42" s="68">
        <v>9.26</v>
      </c>
      <c r="F42" s="8">
        <v>48</v>
      </c>
      <c r="G42" s="78">
        <v>11.49</v>
      </c>
      <c r="H42" s="78">
        <v>1.63</v>
      </c>
      <c r="I42" s="10"/>
      <c r="J42" s="10"/>
      <c r="K42" s="10"/>
      <c r="L42" s="9"/>
      <c r="N42" s="10"/>
      <c r="O42" s="10"/>
      <c r="P42" s="10"/>
      <c r="Q42" s="10"/>
      <c r="R42" s="10"/>
      <c r="S42" s="10"/>
      <c r="T42" s="10"/>
      <c r="U42" s="67"/>
      <c r="V42" s="10"/>
      <c r="W42" s="67"/>
      <c r="X42" s="67"/>
    </row>
    <row r="43" spans="1:24">
      <c r="A43" s="109">
        <v>2012</v>
      </c>
      <c r="B43" s="8">
        <v>488</v>
      </c>
      <c r="C43" s="17">
        <v>144</v>
      </c>
      <c r="D43" s="8">
        <v>1059</v>
      </c>
      <c r="E43" s="68">
        <v>7.34</v>
      </c>
      <c r="F43" s="8">
        <v>48</v>
      </c>
      <c r="G43" s="78">
        <v>12.56</v>
      </c>
      <c r="H43" s="78">
        <v>1.54</v>
      </c>
      <c r="I43" s="10"/>
      <c r="J43" s="10"/>
      <c r="K43" s="10"/>
      <c r="L43" s="9"/>
      <c r="N43" s="10"/>
      <c r="O43" s="10"/>
      <c r="P43" s="10"/>
      <c r="Q43" s="10"/>
      <c r="R43" s="10"/>
      <c r="S43" s="10"/>
      <c r="T43" s="10"/>
      <c r="U43" s="67"/>
      <c r="V43" s="10"/>
      <c r="W43" s="67"/>
      <c r="X43" s="67"/>
    </row>
    <row r="44" spans="1:24">
      <c r="A44" s="109">
        <v>2013</v>
      </c>
      <c r="B44" s="8">
        <v>373</v>
      </c>
      <c r="C44" s="17">
        <v>126</v>
      </c>
      <c r="D44" s="8">
        <v>811</v>
      </c>
      <c r="E44" s="68">
        <v>6.45</v>
      </c>
      <c r="F44" s="8">
        <v>45</v>
      </c>
      <c r="G44" s="78">
        <v>14.82</v>
      </c>
      <c r="H44" s="78">
        <v>1.37</v>
      </c>
      <c r="I44" s="10"/>
      <c r="J44" s="10"/>
      <c r="K44" s="10"/>
      <c r="L44" s="9"/>
      <c r="N44" s="10"/>
      <c r="O44" s="10"/>
      <c r="P44" s="10"/>
      <c r="Q44" s="10"/>
      <c r="R44" s="10"/>
      <c r="S44" s="10"/>
      <c r="T44" s="10"/>
      <c r="U44" s="67"/>
      <c r="V44" s="10"/>
      <c r="W44" s="67"/>
      <c r="X44" s="67"/>
    </row>
    <row r="45" spans="1:24">
      <c r="A45" s="109">
        <v>2014</v>
      </c>
      <c r="B45" s="8">
        <v>561</v>
      </c>
      <c r="C45" s="17">
        <v>110</v>
      </c>
      <c r="D45" s="8">
        <v>1499</v>
      </c>
      <c r="E45" s="68">
        <v>13.63</v>
      </c>
      <c r="F45" s="8">
        <v>38</v>
      </c>
      <c r="G45" s="78">
        <v>14.27</v>
      </c>
      <c r="H45" s="78">
        <v>1.39</v>
      </c>
      <c r="I45" s="10"/>
      <c r="J45" s="10"/>
      <c r="K45" s="10"/>
      <c r="L45" s="9"/>
      <c r="N45" s="10"/>
      <c r="O45" s="10"/>
      <c r="P45" s="10"/>
      <c r="Q45" s="10"/>
      <c r="R45" s="10"/>
      <c r="S45" s="10"/>
      <c r="T45" s="10"/>
      <c r="U45" s="67"/>
      <c r="V45" s="10"/>
      <c r="W45" s="67"/>
      <c r="X45" s="67"/>
    </row>
    <row r="46" spans="1:24">
      <c r="A46" s="109">
        <v>2015</v>
      </c>
      <c r="B46" s="8">
        <v>583</v>
      </c>
      <c r="C46" s="17">
        <v>177</v>
      </c>
      <c r="D46" s="8">
        <v>1169</v>
      </c>
      <c r="E46" s="68">
        <v>6.61</v>
      </c>
      <c r="F46" s="8">
        <v>42</v>
      </c>
      <c r="G46" s="78">
        <v>15.45</v>
      </c>
      <c r="H46" s="78">
        <v>1.29</v>
      </c>
      <c r="I46" s="10"/>
      <c r="J46" s="10"/>
      <c r="K46" s="10"/>
      <c r="L46" s="9"/>
      <c r="N46" s="10"/>
      <c r="O46" s="10"/>
      <c r="P46" s="10"/>
      <c r="Q46" s="10"/>
      <c r="R46" s="10"/>
      <c r="S46" s="10"/>
      <c r="T46" s="10"/>
      <c r="U46" s="67"/>
      <c r="V46" s="10"/>
      <c r="W46" s="67"/>
      <c r="X46" s="67"/>
    </row>
    <row r="47" spans="1:24">
      <c r="A47" s="109">
        <v>2016</v>
      </c>
      <c r="B47" s="8">
        <v>514</v>
      </c>
      <c r="C47" s="17">
        <v>164</v>
      </c>
      <c r="D47" s="8">
        <v>1118</v>
      </c>
      <c r="E47" s="68">
        <v>6.8</v>
      </c>
      <c r="F47" s="8">
        <v>44</v>
      </c>
      <c r="G47" s="78">
        <v>15.38</v>
      </c>
      <c r="H47" s="78">
        <v>1.32</v>
      </c>
      <c r="I47" s="10"/>
      <c r="J47" s="10"/>
      <c r="K47" s="10"/>
      <c r="L47" s="9"/>
      <c r="N47" s="10"/>
      <c r="O47" s="10"/>
      <c r="P47" s="10"/>
      <c r="Q47" s="10"/>
      <c r="R47" s="10"/>
      <c r="S47" s="10"/>
      <c r="T47" s="10"/>
      <c r="U47" s="67"/>
      <c r="V47" s="10"/>
      <c r="W47" s="67"/>
      <c r="X47" s="67"/>
    </row>
    <row r="48" spans="1:24">
      <c r="A48" s="109">
        <v>2017</v>
      </c>
      <c r="B48" s="8">
        <v>651</v>
      </c>
      <c r="C48" s="17">
        <v>150</v>
      </c>
      <c r="D48" s="8">
        <v>1918</v>
      </c>
      <c r="E48" s="68">
        <v>12.78</v>
      </c>
      <c r="F48" s="8">
        <v>33</v>
      </c>
      <c r="G48" s="78">
        <v>19.510000000000002</v>
      </c>
      <c r="H48" s="78">
        <v>1.02</v>
      </c>
      <c r="I48" s="10"/>
      <c r="J48" s="10"/>
      <c r="K48" s="10"/>
      <c r="L48" s="9"/>
      <c r="N48" s="10"/>
      <c r="O48" s="10"/>
      <c r="P48" s="10"/>
      <c r="Q48" s="10"/>
      <c r="R48" s="10"/>
      <c r="S48" s="10"/>
      <c r="T48" s="10"/>
      <c r="U48" s="67"/>
      <c r="V48" s="10"/>
      <c r="W48" s="67"/>
      <c r="X48" s="67"/>
    </row>
    <row r="49" spans="1:24">
      <c r="A49" s="109">
        <v>2018</v>
      </c>
      <c r="B49" s="8">
        <v>654</v>
      </c>
      <c r="C49" s="17">
        <v>253</v>
      </c>
      <c r="D49" s="8">
        <v>1217</v>
      </c>
      <c r="E49" s="68">
        <v>4.8099999999999996</v>
      </c>
      <c r="F49" s="8">
        <v>45</v>
      </c>
      <c r="G49" s="78">
        <v>16.84</v>
      </c>
      <c r="H49" s="78">
        <v>1.17</v>
      </c>
      <c r="I49" s="10"/>
      <c r="J49" s="10"/>
      <c r="K49" s="10"/>
      <c r="L49" s="9"/>
      <c r="N49" s="10"/>
      <c r="O49" s="10"/>
      <c r="P49" s="10"/>
      <c r="Q49" s="10"/>
      <c r="R49" s="10"/>
      <c r="S49" s="10"/>
      <c r="T49" s="10"/>
      <c r="U49" s="67"/>
      <c r="V49" s="10"/>
      <c r="W49" s="67"/>
      <c r="X49" s="67"/>
    </row>
    <row r="50" spans="1:24">
      <c r="A50" s="109">
        <v>2019</v>
      </c>
      <c r="B50" s="8">
        <v>451</v>
      </c>
      <c r="C50" s="8">
        <v>209</v>
      </c>
      <c r="D50" s="17">
        <v>850</v>
      </c>
      <c r="E50" s="80">
        <v>4.0599999999999996</v>
      </c>
      <c r="F50" s="8">
        <v>45</v>
      </c>
      <c r="G50" s="78">
        <v>18.239999999999998</v>
      </c>
      <c r="H50" s="78">
        <v>1.0900000000000001</v>
      </c>
      <c r="I50" s="10"/>
      <c r="J50" s="10"/>
      <c r="K50" s="10"/>
      <c r="L50" s="9"/>
      <c r="N50" s="10"/>
      <c r="O50" s="10"/>
      <c r="P50" s="10"/>
      <c r="Q50" s="10"/>
      <c r="R50" s="10"/>
      <c r="S50" s="10"/>
      <c r="T50" s="10"/>
      <c r="U50" s="67"/>
      <c r="V50" s="10"/>
      <c r="W50" s="67"/>
      <c r="X50" s="67"/>
    </row>
    <row r="51" spans="1:24">
      <c r="A51" s="109">
        <v>2020</v>
      </c>
      <c r="B51" s="8">
        <v>433</v>
      </c>
      <c r="C51" s="8">
        <v>175</v>
      </c>
      <c r="D51" s="8">
        <v>859</v>
      </c>
      <c r="E51" s="68">
        <v>4.92</v>
      </c>
      <c r="F51" s="8">
        <v>36</v>
      </c>
      <c r="G51" s="78">
        <v>20.100000000000001</v>
      </c>
      <c r="H51" s="78">
        <v>0.99</v>
      </c>
      <c r="I51" s="10"/>
      <c r="J51" s="10"/>
      <c r="K51" s="10"/>
      <c r="L51" s="9"/>
      <c r="N51" s="10"/>
      <c r="O51" s="10"/>
      <c r="P51" s="10"/>
      <c r="Q51" s="10"/>
      <c r="R51" s="10"/>
      <c r="S51" s="10"/>
      <c r="T51" s="10"/>
      <c r="U51" s="67"/>
      <c r="V51" s="10"/>
      <c r="W51" s="67"/>
      <c r="X51" s="67"/>
    </row>
    <row r="52" spans="1:24">
      <c r="A52" s="109">
        <v>2021</v>
      </c>
      <c r="B52" s="8">
        <v>564</v>
      </c>
      <c r="C52" s="8">
        <v>163</v>
      </c>
      <c r="D52" s="8">
        <v>1453</v>
      </c>
      <c r="E52" s="68">
        <v>8.94</v>
      </c>
      <c r="F52" s="8">
        <v>38</v>
      </c>
      <c r="G52" s="78">
        <v>16.87</v>
      </c>
      <c r="H52" s="78">
        <v>1.1599999999999999</v>
      </c>
      <c r="N52" s="10"/>
      <c r="O52" s="10"/>
      <c r="P52" s="10"/>
      <c r="Q52" s="10"/>
      <c r="R52" s="10"/>
      <c r="S52" s="10"/>
      <c r="T52" s="10"/>
      <c r="U52" s="67"/>
      <c r="V52" s="10"/>
      <c r="W52" s="67"/>
      <c r="X52" s="67"/>
    </row>
    <row r="53" spans="1:24">
      <c r="A53" s="99">
        <v>2022</v>
      </c>
      <c r="B53" s="81">
        <v>511</v>
      </c>
      <c r="C53" s="81">
        <v>199</v>
      </c>
      <c r="D53" s="7">
        <v>1110</v>
      </c>
      <c r="E53" s="69">
        <v>5.59</v>
      </c>
      <c r="F53" s="81">
        <v>41</v>
      </c>
      <c r="G53" s="79">
        <v>18.260000000000002</v>
      </c>
      <c r="H53" s="79">
        <v>1.1000000000000001</v>
      </c>
      <c r="R53" s="10"/>
      <c r="S53" s="10"/>
      <c r="T53" s="10"/>
      <c r="U53" s="67"/>
      <c r="V53" s="10"/>
      <c r="W53" s="67"/>
      <c r="X53" s="67"/>
    </row>
  </sheetData>
  <mergeCells count="3">
    <mergeCell ref="G2:G3"/>
    <mergeCell ref="H2:H3"/>
    <mergeCell ref="A2:A3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C3CA-50AF-B64A-8DB5-BCBEF213CA28}">
  <dimension ref="A1:Z78"/>
  <sheetViews>
    <sheetView zoomScale="85" zoomScaleNormal="85" workbookViewId="0">
      <selection activeCell="F66" sqref="F66"/>
    </sheetView>
  </sheetViews>
  <sheetFormatPr defaultColWidth="9" defaultRowHeight="15"/>
  <cols>
    <col min="1" max="1" width="12.625" style="83" customWidth="1"/>
    <col min="2" max="12" width="7.625" style="83" customWidth="1"/>
    <col min="13" max="16384" width="9" style="83"/>
  </cols>
  <sheetData>
    <row r="1" spans="1:14">
      <c r="A1" s="129" t="s">
        <v>41</v>
      </c>
      <c r="N1" s="123"/>
    </row>
    <row r="3" spans="1:14" ht="17.25">
      <c r="A3" s="82" t="s">
        <v>42</v>
      </c>
    </row>
    <row r="4" spans="1:14" ht="15.75">
      <c r="A4" s="132" t="s">
        <v>43</v>
      </c>
      <c r="B4" s="133">
        <v>2022</v>
      </c>
      <c r="C4" s="133">
        <v>2023</v>
      </c>
      <c r="D4" s="133">
        <v>2024</v>
      </c>
      <c r="E4" s="133">
        <v>2025</v>
      </c>
      <c r="F4" s="133">
        <v>2026</v>
      </c>
      <c r="G4" s="133">
        <v>2027</v>
      </c>
      <c r="H4" s="133">
        <v>2028</v>
      </c>
      <c r="I4" s="133">
        <v>2029</v>
      </c>
      <c r="J4" s="134">
        <v>2030</v>
      </c>
      <c r="K4" s="133">
        <v>2040</v>
      </c>
      <c r="L4" s="133">
        <v>2050</v>
      </c>
      <c r="N4" s="118"/>
    </row>
    <row r="5" spans="1:14" ht="15.75">
      <c r="A5" s="135">
        <v>1</v>
      </c>
      <c r="B5" s="130">
        <v>0</v>
      </c>
      <c r="C5" s="130">
        <v>0</v>
      </c>
      <c r="D5" s="130">
        <v>3</v>
      </c>
      <c r="E5" s="130">
        <v>15</v>
      </c>
      <c r="F5" s="130">
        <v>27</v>
      </c>
      <c r="G5" s="130">
        <v>34</v>
      </c>
      <c r="H5" s="130">
        <v>39</v>
      </c>
      <c r="I5" s="130">
        <v>42</v>
      </c>
      <c r="J5" s="131">
        <v>44</v>
      </c>
      <c r="K5" s="130">
        <v>47</v>
      </c>
      <c r="L5" s="130">
        <v>47</v>
      </c>
    </row>
    <row r="6" spans="1:14" ht="15.75">
      <c r="A6" s="136">
        <v>0.95</v>
      </c>
      <c r="B6" s="130">
        <v>0</v>
      </c>
      <c r="C6" s="130">
        <v>0</v>
      </c>
      <c r="D6" s="130">
        <v>3</v>
      </c>
      <c r="E6" s="130">
        <v>17</v>
      </c>
      <c r="F6" s="130">
        <v>34</v>
      </c>
      <c r="G6" s="130">
        <v>44</v>
      </c>
      <c r="H6" s="130">
        <v>51</v>
      </c>
      <c r="I6" s="130">
        <v>55</v>
      </c>
      <c r="J6" s="131">
        <v>57</v>
      </c>
      <c r="K6" s="130">
        <v>58</v>
      </c>
      <c r="L6" s="130">
        <v>59</v>
      </c>
      <c r="N6" s="118"/>
    </row>
    <row r="7" spans="1:14" ht="15.75">
      <c r="A7" s="135">
        <v>0.9</v>
      </c>
      <c r="B7" s="130">
        <v>0</v>
      </c>
      <c r="C7" s="130">
        <v>0</v>
      </c>
      <c r="D7" s="130">
        <v>3</v>
      </c>
      <c r="E7" s="130">
        <v>20</v>
      </c>
      <c r="F7" s="130">
        <v>41</v>
      </c>
      <c r="G7" s="130">
        <v>55</v>
      </c>
      <c r="H7" s="130">
        <v>63</v>
      </c>
      <c r="I7" s="130">
        <v>67</v>
      </c>
      <c r="J7" s="131">
        <v>69</v>
      </c>
      <c r="K7" s="130">
        <v>70</v>
      </c>
      <c r="L7" s="130">
        <v>71</v>
      </c>
    </row>
    <row r="8" spans="1:14" ht="15.75">
      <c r="A8" s="135">
        <v>0.8</v>
      </c>
      <c r="B8" s="130">
        <v>0</v>
      </c>
      <c r="C8" s="130">
        <v>0</v>
      </c>
      <c r="D8" s="130">
        <v>3</v>
      </c>
      <c r="E8" s="130">
        <v>27</v>
      </c>
      <c r="F8" s="130">
        <v>58</v>
      </c>
      <c r="G8" s="130">
        <v>75</v>
      </c>
      <c r="H8" s="130">
        <v>83</v>
      </c>
      <c r="I8" s="130">
        <v>87</v>
      </c>
      <c r="J8" s="131">
        <v>89</v>
      </c>
      <c r="K8" s="130">
        <v>90</v>
      </c>
      <c r="L8" s="130">
        <v>90</v>
      </c>
    </row>
    <row r="9" spans="1:14" ht="15.75">
      <c r="A9" s="135">
        <v>0.7</v>
      </c>
      <c r="B9" s="130">
        <v>0</v>
      </c>
      <c r="C9" s="130">
        <v>0</v>
      </c>
      <c r="D9" s="130">
        <v>3</v>
      </c>
      <c r="E9" s="130">
        <v>36</v>
      </c>
      <c r="F9" s="130">
        <v>75</v>
      </c>
      <c r="G9" s="130">
        <v>90</v>
      </c>
      <c r="H9" s="130">
        <v>96</v>
      </c>
      <c r="I9" s="130">
        <v>97</v>
      </c>
      <c r="J9" s="131">
        <v>98</v>
      </c>
      <c r="K9" s="130">
        <v>98</v>
      </c>
      <c r="L9" s="130">
        <v>98</v>
      </c>
    </row>
    <row r="10" spans="1:14" ht="15.75">
      <c r="A10" s="135">
        <v>0.6</v>
      </c>
      <c r="B10" s="130">
        <v>0</v>
      </c>
      <c r="C10" s="130">
        <v>0</v>
      </c>
      <c r="D10" s="130">
        <v>3</v>
      </c>
      <c r="E10" s="130">
        <v>46</v>
      </c>
      <c r="F10" s="130">
        <v>87</v>
      </c>
      <c r="G10" s="130">
        <v>97</v>
      </c>
      <c r="H10" s="130">
        <v>99</v>
      </c>
      <c r="I10" s="130">
        <v>100</v>
      </c>
      <c r="J10" s="131">
        <v>100</v>
      </c>
      <c r="K10" s="130">
        <v>100</v>
      </c>
      <c r="L10" s="130">
        <v>100</v>
      </c>
    </row>
    <row r="11" spans="1:14" ht="15.75">
      <c r="A11" s="135">
        <v>0.5</v>
      </c>
      <c r="B11" s="130">
        <v>0</v>
      </c>
      <c r="C11" s="130">
        <v>0</v>
      </c>
      <c r="D11" s="130">
        <v>3</v>
      </c>
      <c r="E11" s="130">
        <v>56</v>
      </c>
      <c r="F11" s="130">
        <v>95</v>
      </c>
      <c r="G11" s="130">
        <v>100</v>
      </c>
      <c r="H11" s="130">
        <v>100</v>
      </c>
      <c r="I11" s="130">
        <v>100</v>
      </c>
      <c r="J11" s="131">
        <v>100</v>
      </c>
      <c r="K11" s="130">
        <v>100</v>
      </c>
      <c r="L11" s="130">
        <v>100</v>
      </c>
    </row>
    <row r="12" spans="1:14" ht="15.75">
      <c r="A12" s="135">
        <v>0.4</v>
      </c>
      <c r="B12" s="130">
        <v>0</v>
      </c>
      <c r="C12" s="130">
        <v>0</v>
      </c>
      <c r="D12" s="130">
        <v>3</v>
      </c>
      <c r="E12" s="130">
        <v>66</v>
      </c>
      <c r="F12" s="130">
        <v>98</v>
      </c>
      <c r="G12" s="130">
        <v>100</v>
      </c>
      <c r="H12" s="130">
        <v>100</v>
      </c>
      <c r="I12" s="130">
        <v>100</v>
      </c>
      <c r="J12" s="131">
        <v>100</v>
      </c>
      <c r="K12" s="130">
        <v>100</v>
      </c>
      <c r="L12" s="130">
        <v>100</v>
      </c>
    </row>
    <row r="13" spans="1:14" ht="15.75">
      <c r="A13" s="135">
        <v>0.3</v>
      </c>
      <c r="B13" s="130">
        <v>0</v>
      </c>
      <c r="C13" s="130">
        <v>0</v>
      </c>
      <c r="D13" s="130">
        <v>3</v>
      </c>
      <c r="E13" s="130">
        <v>76</v>
      </c>
      <c r="F13" s="130">
        <v>100</v>
      </c>
      <c r="G13" s="130">
        <v>100</v>
      </c>
      <c r="H13" s="130">
        <v>100</v>
      </c>
      <c r="I13" s="130">
        <v>100</v>
      </c>
      <c r="J13" s="131">
        <v>100</v>
      </c>
      <c r="K13" s="130">
        <v>100</v>
      </c>
      <c r="L13" s="130">
        <v>100</v>
      </c>
    </row>
    <row r="14" spans="1:14" ht="15.75">
      <c r="A14" s="135">
        <v>0.2</v>
      </c>
      <c r="B14" s="130">
        <v>0</v>
      </c>
      <c r="C14" s="130">
        <v>0</v>
      </c>
      <c r="D14" s="130">
        <v>3</v>
      </c>
      <c r="E14" s="130">
        <v>84</v>
      </c>
      <c r="F14" s="130">
        <v>100</v>
      </c>
      <c r="G14" s="130">
        <v>100</v>
      </c>
      <c r="H14" s="130">
        <v>100</v>
      </c>
      <c r="I14" s="130">
        <v>100</v>
      </c>
      <c r="J14" s="131">
        <v>100</v>
      </c>
      <c r="K14" s="130">
        <v>100</v>
      </c>
      <c r="L14" s="130">
        <v>100</v>
      </c>
    </row>
    <row r="15" spans="1:14" ht="15.75">
      <c r="A15" s="135">
        <v>0.1</v>
      </c>
      <c r="B15" s="130">
        <v>0</v>
      </c>
      <c r="C15" s="130">
        <v>0</v>
      </c>
      <c r="D15" s="130">
        <v>3</v>
      </c>
      <c r="E15" s="130">
        <v>90</v>
      </c>
      <c r="F15" s="130">
        <v>100</v>
      </c>
      <c r="G15" s="130">
        <v>100</v>
      </c>
      <c r="H15" s="130">
        <v>100</v>
      </c>
      <c r="I15" s="130">
        <v>100</v>
      </c>
      <c r="J15" s="131">
        <v>100</v>
      </c>
      <c r="K15" s="130">
        <v>100</v>
      </c>
      <c r="L15" s="130">
        <v>100</v>
      </c>
    </row>
    <row r="16" spans="1:14" ht="15.75">
      <c r="A16" s="135">
        <v>0</v>
      </c>
      <c r="B16" s="130">
        <v>0</v>
      </c>
      <c r="C16" s="130">
        <v>0</v>
      </c>
      <c r="D16" s="130">
        <v>3</v>
      </c>
      <c r="E16" s="130">
        <v>95</v>
      </c>
      <c r="F16" s="130">
        <v>100</v>
      </c>
      <c r="G16" s="130">
        <v>100</v>
      </c>
      <c r="H16" s="130">
        <v>100</v>
      </c>
      <c r="I16" s="130">
        <v>100</v>
      </c>
      <c r="J16" s="131">
        <v>100</v>
      </c>
      <c r="K16" s="130">
        <v>100</v>
      </c>
      <c r="L16" s="130">
        <v>100</v>
      </c>
    </row>
    <row r="17" spans="1:12" ht="15.75">
      <c r="A17" s="136" t="s">
        <v>44</v>
      </c>
      <c r="B17" s="130">
        <v>0</v>
      </c>
      <c r="C17" s="130">
        <v>0</v>
      </c>
      <c r="D17" s="130">
        <v>3</v>
      </c>
      <c r="E17" s="130">
        <v>10</v>
      </c>
      <c r="F17" s="130">
        <v>15</v>
      </c>
      <c r="G17" s="130">
        <v>18</v>
      </c>
      <c r="H17" s="130">
        <v>20</v>
      </c>
      <c r="I17" s="130">
        <v>22</v>
      </c>
      <c r="J17" s="131">
        <v>23</v>
      </c>
      <c r="K17" s="130">
        <v>24</v>
      </c>
      <c r="L17" s="130">
        <v>24</v>
      </c>
    </row>
    <row r="19" spans="1:12" ht="17.25">
      <c r="A19" s="82" t="s">
        <v>45</v>
      </c>
    </row>
    <row r="20" spans="1:12" ht="15.75">
      <c r="A20" s="132" t="s">
        <v>43</v>
      </c>
      <c r="B20" s="133">
        <v>2022</v>
      </c>
      <c r="C20" s="133">
        <v>2023</v>
      </c>
      <c r="D20" s="133">
        <v>2024</v>
      </c>
      <c r="E20" s="133">
        <v>2025</v>
      </c>
      <c r="F20" s="133">
        <v>2026</v>
      </c>
      <c r="G20" s="133">
        <v>2027</v>
      </c>
      <c r="H20" s="133">
        <v>2028</v>
      </c>
      <c r="I20" s="133">
        <v>2029</v>
      </c>
      <c r="J20" s="137">
        <v>2030</v>
      </c>
      <c r="K20" s="133">
        <v>2040</v>
      </c>
      <c r="L20" s="133">
        <v>2050</v>
      </c>
    </row>
    <row r="21" spans="1:12" ht="15.75">
      <c r="A21" s="135">
        <v>1</v>
      </c>
      <c r="B21" s="130">
        <v>100</v>
      </c>
      <c r="C21" s="130">
        <v>100</v>
      </c>
      <c r="D21" s="130">
        <v>99</v>
      </c>
      <c r="E21" s="130">
        <v>99</v>
      </c>
      <c r="F21" s="130">
        <v>99</v>
      </c>
      <c r="G21" s="130">
        <v>99</v>
      </c>
      <c r="H21" s="130">
        <v>99</v>
      </c>
      <c r="I21" s="130">
        <v>100</v>
      </c>
      <c r="J21" s="131">
        <v>100</v>
      </c>
      <c r="K21" s="130">
        <v>100</v>
      </c>
      <c r="L21" s="130">
        <v>100</v>
      </c>
    </row>
    <row r="22" spans="1:12" ht="15.75">
      <c r="A22" s="136">
        <v>0.95</v>
      </c>
      <c r="B22" s="130">
        <v>100</v>
      </c>
      <c r="C22" s="130">
        <v>100</v>
      </c>
      <c r="D22" s="130">
        <v>99</v>
      </c>
      <c r="E22" s="130">
        <v>99</v>
      </c>
      <c r="F22" s="130">
        <v>99</v>
      </c>
      <c r="G22" s="130">
        <v>100</v>
      </c>
      <c r="H22" s="130">
        <v>100</v>
      </c>
      <c r="I22" s="130">
        <v>100</v>
      </c>
      <c r="J22" s="131">
        <v>100</v>
      </c>
      <c r="K22" s="130">
        <v>100</v>
      </c>
      <c r="L22" s="130">
        <v>100</v>
      </c>
    </row>
    <row r="23" spans="1:12" ht="15.75">
      <c r="A23" s="135">
        <v>0.9</v>
      </c>
      <c r="B23" s="130">
        <v>100</v>
      </c>
      <c r="C23" s="130">
        <v>100</v>
      </c>
      <c r="D23" s="130">
        <v>99</v>
      </c>
      <c r="E23" s="130">
        <v>99</v>
      </c>
      <c r="F23" s="130">
        <v>100</v>
      </c>
      <c r="G23" s="130">
        <v>100</v>
      </c>
      <c r="H23" s="130">
        <v>100</v>
      </c>
      <c r="I23" s="130">
        <v>100</v>
      </c>
      <c r="J23" s="131">
        <v>100</v>
      </c>
      <c r="K23" s="130">
        <v>100</v>
      </c>
      <c r="L23" s="130">
        <v>100</v>
      </c>
    </row>
    <row r="24" spans="1:12" ht="15.75">
      <c r="A24" s="135">
        <v>0.8</v>
      </c>
      <c r="B24" s="130">
        <v>100</v>
      </c>
      <c r="C24" s="130">
        <v>100</v>
      </c>
      <c r="D24" s="130">
        <v>99</v>
      </c>
      <c r="E24" s="130">
        <v>100</v>
      </c>
      <c r="F24" s="130">
        <v>100</v>
      </c>
      <c r="G24" s="130">
        <v>100</v>
      </c>
      <c r="H24" s="130">
        <v>100</v>
      </c>
      <c r="I24" s="130">
        <v>100</v>
      </c>
      <c r="J24" s="131">
        <v>100</v>
      </c>
      <c r="K24" s="130">
        <v>100</v>
      </c>
      <c r="L24" s="130">
        <v>100</v>
      </c>
    </row>
    <row r="25" spans="1:12" ht="15.75">
      <c r="A25" s="135">
        <v>0.7</v>
      </c>
      <c r="B25" s="130">
        <v>100</v>
      </c>
      <c r="C25" s="130">
        <v>100</v>
      </c>
      <c r="D25" s="130">
        <v>99</v>
      </c>
      <c r="E25" s="130">
        <v>100</v>
      </c>
      <c r="F25" s="130">
        <v>100</v>
      </c>
      <c r="G25" s="130">
        <v>100</v>
      </c>
      <c r="H25" s="130">
        <v>100</v>
      </c>
      <c r="I25" s="130">
        <v>100</v>
      </c>
      <c r="J25" s="131">
        <v>100</v>
      </c>
      <c r="K25" s="130">
        <v>100</v>
      </c>
      <c r="L25" s="130">
        <v>100</v>
      </c>
    </row>
    <row r="26" spans="1:12" ht="15.75">
      <c r="A26" s="135">
        <v>0.6</v>
      </c>
      <c r="B26" s="130">
        <v>100</v>
      </c>
      <c r="C26" s="130">
        <v>100</v>
      </c>
      <c r="D26" s="130">
        <v>99</v>
      </c>
      <c r="E26" s="130">
        <v>100</v>
      </c>
      <c r="F26" s="130">
        <v>100</v>
      </c>
      <c r="G26" s="130">
        <v>100</v>
      </c>
      <c r="H26" s="130">
        <v>100</v>
      </c>
      <c r="I26" s="130">
        <v>100</v>
      </c>
      <c r="J26" s="131">
        <v>100</v>
      </c>
      <c r="K26" s="130">
        <v>100</v>
      </c>
      <c r="L26" s="130">
        <v>100</v>
      </c>
    </row>
    <row r="27" spans="1:12" ht="15.75">
      <c r="A27" s="135">
        <v>0.5</v>
      </c>
      <c r="B27" s="130">
        <v>100</v>
      </c>
      <c r="C27" s="130">
        <v>100</v>
      </c>
      <c r="D27" s="130">
        <v>99</v>
      </c>
      <c r="E27" s="130">
        <v>100</v>
      </c>
      <c r="F27" s="130">
        <v>100</v>
      </c>
      <c r="G27" s="130">
        <v>100</v>
      </c>
      <c r="H27" s="130">
        <v>100</v>
      </c>
      <c r="I27" s="130">
        <v>100</v>
      </c>
      <c r="J27" s="131">
        <v>100</v>
      </c>
      <c r="K27" s="130">
        <v>100</v>
      </c>
      <c r="L27" s="130">
        <v>100</v>
      </c>
    </row>
    <row r="28" spans="1:12" ht="15.75">
      <c r="A28" s="135">
        <v>0.4</v>
      </c>
      <c r="B28" s="130">
        <v>100</v>
      </c>
      <c r="C28" s="130">
        <v>100</v>
      </c>
      <c r="D28" s="130">
        <v>99</v>
      </c>
      <c r="E28" s="130">
        <v>100</v>
      </c>
      <c r="F28" s="130">
        <v>100</v>
      </c>
      <c r="G28" s="130">
        <v>100</v>
      </c>
      <c r="H28" s="130">
        <v>100</v>
      </c>
      <c r="I28" s="130">
        <v>100</v>
      </c>
      <c r="J28" s="131">
        <v>100</v>
      </c>
      <c r="K28" s="130">
        <v>100</v>
      </c>
      <c r="L28" s="130">
        <v>100</v>
      </c>
    </row>
    <row r="29" spans="1:12" ht="15.75">
      <c r="A29" s="135">
        <v>0.3</v>
      </c>
      <c r="B29" s="130">
        <v>100</v>
      </c>
      <c r="C29" s="130">
        <v>100</v>
      </c>
      <c r="D29" s="130">
        <v>99</v>
      </c>
      <c r="E29" s="130">
        <v>100</v>
      </c>
      <c r="F29" s="130">
        <v>100</v>
      </c>
      <c r="G29" s="130">
        <v>100</v>
      </c>
      <c r="H29" s="130">
        <v>100</v>
      </c>
      <c r="I29" s="130">
        <v>100</v>
      </c>
      <c r="J29" s="131">
        <v>100</v>
      </c>
      <c r="K29" s="130">
        <v>100</v>
      </c>
      <c r="L29" s="130">
        <v>100</v>
      </c>
    </row>
    <row r="30" spans="1:12" ht="15.75">
      <c r="A30" s="135">
        <v>0.2</v>
      </c>
      <c r="B30" s="130">
        <v>100</v>
      </c>
      <c r="C30" s="130">
        <v>100</v>
      </c>
      <c r="D30" s="130">
        <v>99</v>
      </c>
      <c r="E30" s="130">
        <v>100</v>
      </c>
      <c r="F30" s="130">
        <v>100</v>
      </c>
      <c r="G30" s="130">
        <v>100</v>
      </c>
      <c r="H30" s="130">
        <v>100</v>
      </c>
      <c r="I30" s="130">
        <v>100</v>
      </c>
      <c r="J30" s="131">
        <v>100</v>
      </c>
      <c r="K30" s="130">
        <v>100</v>
      </c>
      <c r="L30" s="130">
        <v>100</v>
      </c>
    </row>
    <row r="31" spans="1:12" ht="15.75">
      <c r="A31" s="135">
        <v>0.1</v>
      </c>
      <c r="B31" s="130">
        <v>100</v>
      </c>
      <c r="C31" s="130">
        <v>100</v>
      </c>
      <c r="D31" s="130">
        <v>99</v>
      </c>
      <c r="E31" s="130">
        <v>100</v>
      </c>
      <c r="F31" s="130">
        <v>100</v>
      </c>
      <c r="G31" s="130">
        <v>100</v>
      </c>
      <c r="H31" s="130">
        <v>100</v>
      </c>
      <c r="I31" s="130">
        <v>100</v>
      </c>
      <c r="J31" s="131">
        <v>100</v>
      </c>
      <c r="K31" s="130">
        <v>100</v>
      </c>
      <c r="L31" s="130">
        <v>100</v>
      </c>
    </row>
    <row r="32" spans="1:12" ht="15.75">
      <c r="A32" s="135">
        <v>0</v>
      </c>
      <c r="B32" s="130">
        <v>100</v>
      </c>
      <c r="C32" s="130">
        <v>100</v>
      </c>
      <c r="D32" s="130">
        <v>99</v>
      </c>
      <c r="E32" s="130">
        <v>100</v>
      </c>
      <c r="F32" s="130">
        <v>100</v>
      </c>
      <c r="G32" s="130">
        <v>100</v>
      </c>
      <c r="H32" s="130">
        <v>100</v>
      </c>
      <c r="I32" s="130">
        <v>100</v>
      </c>
      <c r="J32" s="131">
        <v>100</v>
      </c>
      <c r="K32" s="130">
        <v>100</v>
      </c>
      <c r="L32" s="130">
        <v>100</v>
      </c>
    </row>
    <row r="33" spans="1:26" ht="15.75">
      <c r="A33" s="136" t="s">
        <v>44</v>
      </c>
      <c r="B33" s="130">
        <v>100</v>
      </c>
      <c r="C33" s="130">
        <v>100</v>
      </c>
      <c r="D33" s="130">
        <v>99</v>
      </c>
      <c r="E33" s="130">
        <v>97</v>
      </c>
      <c r="F33" s="130">
        <v>96</v>
      </c>
      <c r="G33" s="130">
        <v>96</v>
      </c>
      <c r="H33" s="130">
        <v>96</v>
      </c>
      <c r="I33" s="130">
        <v>96</v>
      </c>
      <c r="J33" s="131">
        <v>96</v>
      </c>
      <c r="K33" s="130">
        <v>98</v>
      </c>
      <c r="L33" s="130">
        <v>98</v>
      </c>
    </row>
    <row r="34" spans="1:26" ht="15" customHeight="1">
      <c r="Y34" s="119"/>
    </row>
    <row r="35" spans="1:26" ht="15" customHeight="1">
      <c r="A35" s="196" t="s">
        <v>46</v>
      </c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Y35" s="119"/>
    </row>
    <row r="36" spans="1:26" ht="15" customHeight="1">
      <c r="A36" s="196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M36" s="124"/>
      <c r="Y36" s="119"/>
    </row>
    <row r="37" spans="1:26" ht="15" customHeight="1">
      <c r="A37" s="196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M37" s="120"/>
      <c r="Y37" s="119"/>
    </row>
    <row r="38" spans="1:26" ht="15" customHeight="1">
      <c r="A38" s="196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Y38" s="119"/>
    </row>
    <row r="39" spans="1:26" ht="15" customHeight="1">
      <c r="Y39" s="119"/>
    </row>
    <row r="40" spans="1:26" ht="15" customHeight="1">
      <c r="Y40" s="119"/>
    </row>
    <row r="41" spans="1:26">
      <c r="Y41" s="119"/>
    </row>
    <row r="42" spans="1:26">
      <c r="A42" s="82" t="s">
        <v>47</v>
      </c>
    </row>
    <row r="43" spans="1:26">
      <c r="Y43" s="119"/>
    </row>
    <row r="44" spans="1:26" ht="17.25">
      <c r="A44" s="82" t="s">
        <v>48</v>
      </c>
      <c r="N44" s="119"/>
      <c r="O44" s="119"/>
      <c r="P44" s="119"/>
      <c r="Q44" s="119"/>
      <c r="R44" s="119"/>
      <c r="S44" s="119"/>
      <c r="U44" s="119"/>
      <c r="V44" s="119"/>
      <c r="W44" s="119"/>
      <c r="X44" s="119"/>
      <c r="Y44" s="119"/>
    </row>
    <row r="45" spans="1:26" ht="15.75">
      <c r="A45" s="132" t="s">
        <v>43</v>
      </c>
      <c r="B45" s="133">
        <v>2022</v>
      </c>
      <c r="C45" s="133">
        <v>2023</v>
      </c>
      <c r="D45" s="133">
        <v>2024</v>
      </c>
      <c r="E45" s="133">
        <v>2025</v>
      </c>
      <c r="F45" s="133">
        <v>2026</v>
      </c>
      <c r="G45" s="133">
        <v>2027</v>
      </c>
      <c r="H45" s="133">
        <v>2028</v>
      </c>
      <c r="I45" s="133">
        <v>2029</v>
      </c>
      <c r="J45" s="137">
        <v>2030</v>
      </c>
      <c r="K45" s="133">
        <v>2040</v>
      </c>
      <c r="L45" s="133">
        <v>2050</v>
      </c>
    </row>
    <row r="46" spans="1:26" ht="15.75">
      <c r="A46" s="135">
        <v>1</v>
      </c>
      <c r="B46" s="138">
        <v>199</v>
      </c>
      <c r="C46" s="138">
        <v>190</v>
      </c>
      <c r="D46" s="138">
        <v>214</v>
      </c>
      <c r="E46" s="138">
        <v>246</v>
      </c>
      <c r="F46" s="138">
        <v>272</v>
      </c>
      <c r="G46" s="138">
        <v>287</v>
      </c>
      <c r="H46" s="138">
        <v>296</v>
      </c>
      <c r="I46" s="138">
        <v>302</v>
      </c>
      <c r="J46" s="139">
        <v>306</v>
      </c>
      <c r="K46" s="138">
        <v>311</v>
      </c>
      <c r="L46" s="138">
        <v>312</v>
      </c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>
      <c r="A47" s="136">
        <v>0.95</v>
      </c>
      <c r="B47" s="138">
        <v>199</v>
      </c>
      <c r="C47" s="138">
        <v>190</v>
      </c>
      <c r="D47" s="138">
        <v>214</v>
      </c>
      <c r="E47" s="138">
        <v>253</v>
      </c>
      <c r="F47" s="138">
        <v>285</v>
      </c>
      <c r="G47" s="138">
        <v>304</v>
      </c>
      <c r="H47" s="138">
        <v>315</v>
      </c>
      <c r="I47" s="138">
        <v>322</v>
      </c>
      <c r="J47" s="139">
        <v>325</v>
      </c>
      <c r="K47" s="138">
        <v>329</v>
      </c>
      <c r="L47" s="138">
        <v>330</v>
      </c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>
      <c r="A48" s="135">
        <v>0.9</v>
      </c>
      <c r="B48" s="138">
        <v>199</v>
      </c>
      <c r="C48" s="138">
        <v>190</v>
      </c>
      <c r="D48" s="138">
        <v>214</v>
      </c>
      <c r="E48" s="138">
        <v>261</v>
      </c>
      <c r="F48" s="138">
        <v>299</v>
      </c>
      <c r="G48" s="138">
        <v>322</v>
      </c>
      <c r="H48" s="138">
        <v>335</v>
      </c>
      <c r="I48" s="138">
        <v>342</v>
      </c>
      <c r="J48" s="139">
        <v>345</v>
      </c>
      <c r="K48" s="138">
        <v>348</v>
      </c>
      <c r="L48" s="138">
        <v>349</v>
      </c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>
      <c r="A49" s="135">
        <v>0.8</v>
      </c>
      <c r="B49" s="138">
        <v>199</v>
      </c>
      <c r="C49" s="138">
        <v>190</v>
      </c>
      <c r="D49" s="138">
        <v>214</v>
      </c>
      <c r="E49" s="138">
        <v>276</v>
      </c>
      <c r="F49" s="138">
        <v>330</v>
      </c>
      <c r="G49" s="138">
        <v>361</v>
      </c>
      <c r="H49" s="138">
        <v>377</v>
      </c>
      <c r="I49" s="138">
        <v>386</v>
      </c>
      <c r="J49" s="139">
        <v>389</v>
      </c>
      <c r="K49" s="138">
        <v>391</v>
      </c>
      <c r="L49" s="138">
        <v>392</v>
      </c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>
      <c r="A50" s="135">
        <v>0.7</v>
      </c>
      <c r="B50" s="138">
        <v>199</v>
      </c>
      <c r="C50" s="138">
        <v>190</v>
      </c>
      <c r="D50" s="138">
        <v>214</v>
      </c>
      <c r="E50" s="138">
        <v>293</v>
      </c>
      <c r="F50" s="138">
        <v>364</v>
      </c>
      <c r="G50" s="138">
        <v>404</v>
      </c>
      <c r="H50" s="138">
        <v>426</v>
      </c>
      <c r="I50" s="138">
        <v>436</v>
      </c>
      <c r="J50" s="139">
        <v>440</v>
      </c>
      <c r="K50" s="138">
        <v>443</v>
      </c>
      <c r="L50" s="138">
        <v>444</v>
      </c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>
      <c r="A51" s="135">
        <v>0.6</v>
      </c>
      <c r="B51" s="138">
        <v>199</v>
      </c>
      <c r="C51" s="138">
        <v>190</v>
      </c>
      <c r="D51" s="138">
        <v>214</v>
      </c>
      <c r="E51" s="138">
        <v>312</v>
      </c>
      <c r="F51" s="138">
        <v>401</v>
      </c>
      <c r="G51" s="138">
        <v>454</v>
      </c>
      <c r="H51" s="138">
        <v>483</v>
      </c>
      <c r="I51" s="138">
        <v>497</v>
      </c>
      <c r="J51" s="139">
        <v>503</v>
      </c>
      <c r="K51" s="138">
        <v>507</v>
      </c>
      <c r="L51" s="138">
        <v>508</v>
      </c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>
      <c r="A52" s="135">
        <v>0.5</v>
      </c>
      <c r="B52" s="138">
        <v>199</v>
      </c>
      <c r="C52" s="138">
        <v>190</v>
      </c>
      <c r="D52" s="138">
        <v>214</v>
      </c>
      <c r="E52" s="138">
        <v>331</v>
      </c>
      <c r="F52" s="138">
        <v>443</v>
      </c>
      <c r="G52" s="138">
        <v>512</v>
      </c>
      <c r="H52" s="138">
        <v>551</v>
      </c>
      <c r="I52" s="138">
        <v>570</v>
      </c>
      <c r="J52" s="139">
        <v>579</v>
      </c>
      <c r="K52" s="138">
        <v>587</v>
      </c>
      <c r="L52" s="138">
        <v>589</v>
      </c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>
      <c r="A53" s="135">
        <v>0.4</v>
      </c>
      <c r="B53" s="138">
        <v>199</v>
      </c>
      <c r="C53" s="138">
        <v>190</v>
      </c>
      <c r="D53" s="138">
        <v>214</v>
      </c>
      <c r="E53" s="138">
        <v>353</v>
      </c>
      <c r="F53" s="138">
        <v>490</v>
      </c>
      <c r="G53" s="138">
        <v>581</v>
      </c>
      <c r="H53" s="138">
        <v>634</v>
      </c>
      <c r="I53" s="138">
        <v>661</v>
      </c>
      <c r="J53" s="139">
        <v>675</v>
      </c>
      <c r="K53" s="138">
        <v>689</v>
      </c>
      <c r="L53" s="138">
        <v>691</v>
      </c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>
      <c r="A54" s="135">
        <v>0.3</v>
      </c>
      <c r="B54" s="138">
        <v>199</v>
      </c>
      <c r="C54" s="138">
        <v>190</v>
      </c>
      <c r="D54" s="138">
        <v>214</v>
      </c>
      <c r="E54" s="138">
        <v>376</v>
      </c>
      <c r="F54" s="138">
        <v>544</v>
      </c>
      <c r="G54" s="138">
        <v>662</v>
      </c>
      <c r="H54" s="138">
        <v>734</v>
      </c>
      <c r="I54" s="138">
        <v>774</v>
      </c>
      <c r="J54" s="139">
        <v>796</v>
      </c>
      <c r="K54" s="138">
        <v>821</v>
      </c>
      <c r="L54" s="138">
        <v>824</v>
      </c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>
      <c r="A55" s="135">
        <v>0.2</v>
      </c>
      <c r="B55" s="138">
        <v>199</v>
      </c>
      <c r="C55" s="138">
        <v>190</v>
      </c>
      <c r="D55" s="138">
        <v>214</v>
      </c>
      <c r="E55" s="138">
        <v>401</v>
      </c>
      <c r="F55" s="138">
        <v>605</v>
      </c>
      <c r="G55" s="138">
        <v>758</v>
      </c>
      <c r="H55" s="138">
        <v>858</v>
      </c>
      <c r="I55" s="138">
        <v>916</v>
      </c>
      <c r="J55" s="139">
        <v>950</v>
      </c>
      <c r="K55" s="138">
        <v>997</v>
      </c>
      <c r="L55" s="138">
        <v>1000</v>
      </c>
      <c r="N55" s="118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>
      <c r="A56" s="135">
        <v>0.1</v>
      </c>
      <c r="B56" s="138">
        <v>199</v>
      </c>
      <c r="C56" s="138">
        <v>190</v>
      </c>
      <c r="D56" s="138">
        <v>214</v>
      </c>
      <c r="E56" s="138">
        <v>429</v>
      </c>
      <c r="F56" s="138">
        <v>675</v>
      </c>
      <c r="G56" s="138">
        <v>874</v>
      </c>
      <c r="H56" s="138">
        <v>1010</v>
      </c>
      <c r="I56" s="138">
        <v>1095</v>
      </c>
      <c r="J56" s="139">
        <v>1149</v>
      </c>
      <c r="K56" s="138">
        <v>1237</v>
      </c>
      <c r="L56" s="138">
        <v>1241</v>
      </c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>
      <c r="A57" s="135">
        <v>0</v>
      </c>
      <c r="B57" s="138">
        <v>199</v>
      </c>
      <c r="C57" s="138">
        <v>190</v>
      </c>
      <c r="D57" s="138">
        <v>214</v>
      </c>
      <c r="E57" s="138">
        <v>459</v>
      </c>
      <c r="F57" s="138">
        <v>756</v>
      </c>
      <c r="G57" s="138">
        <v>1012</v>
      </c>
      <c r="H57" s="138">
        <v>1199</v>
      </c>
      <c r="I57" s="138">
        <v>1324</v>
      </c>
      <c r="J57" s="139">
        <v>1408</v>
      </c>
      <c r="K57" s="138">
        <v>1575</v>
      </c>
      <c r="L57" s="138">
        <v>1582</v>
      </c>
      <c r="N57" s="118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>
      <c r="A58" s="136" t="s">
        <v>44</v>
      </c>
      <c r="B58" s="138">
        <v>199</v>
      </c>
      <c r="C58" s="138">
        <v>190</v>
      </c>
      <c r="D58" s="138">
        <v>214</v>
      </c>
      <c r="E58" s="138">
        <v>232</v>
      </c>
      <c r="F58" s="138">
        <v>245</v>
      </c>
      <c r="G58" s="138">
        <v>252</v>
      </c>
      <c r="H58" s="138">
        <v>257</v>
      </c>
      <c r="I58" s="138">
        <v>261</v>
      </c>
      <c r="J58" s="139">
        <v>263</v>
      </c>
      <c r="K58" s="138">
        <v>268</v>
      </c>
      <c r="L58" s="138">
        <v>270</v>
      </c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60" spans="1:26" ht="17.25">
      <c r="A60" s="82" t="s">
        <v>49</v>
      </c>
    </row>
    <row r="61" spans="1:26" ht="15.75">
      <c r="A61" s="132" t="s">
        <v>43</v>
      </c>
      <c r="B61" s="133">
        <v>2022</v>
      </c>
      <c r="C61" s="133">
        <v>2023</v>
      </c>
      <c r="D61" s="133">
        <v>2024</v>
      </c>
      <c r="E61" s="133">
        <v>2025</v>
      </c>
      <c r="F61" s="133">
        <v>2026</v>
      </c>
      <c r="G61" s="133">
        <v>2027</v>
      </c>
      <c r="H61" s="133">
        <v>2028</v>
      </c>
      <c r="I61" s="133">
        <v>2029</v>
      </c>
      <c r="J61" s="137">
        <v>2030</v>
      </c>
      <c r="K61" s="133">
        <v>2040</v>
      </c>
      <c r="L61" s="133">
        <v>2050</v>
      </c>
    </row>
    <row r="62" spans="1:26" ht="15.75">
      <c r="A62" s="135">
        <v>1</v>
      </c>
      <c r="B62" s="138">
        <v>212</v>
      </c>
      <c r="C62" s="138">
        <v>236</v>
      </c>
      <c r="D62" s="138">
        <v>250</v>
      </c>
      <c r="E62" s="138">
        <v>279</v>
      </c>
      <c r="F62" s="138">
        <v>297</v>
      </c>
      <c r="G62" s="138">
        <v>307</v>
      </c>
      <c r="H62" s="138">
        <v>315</v>
      </c>
      <c r="I62" s="138">
        <v>319</v>
      </c>
      <c r="J62" s="139">
        <v>321</v>
      </c>
      <c r="K62" s="138">
        <v>325</v>
      </c>
      <c r="L62" s="138">
        <v>325</v>
      </c>
    </row>
    <row r="63" spans="1:26" ht="15.75">
      <c r="A63" s="136">
        <v>0.95</v>
      </c>
      <c r="B63" s="138">
        <v>212</v>
      </c>
      <c r="C63" s="138">
        <v>236</v>
      </c>
      <c r="D63" s="138">
        <v>241</v>
      </c>
      <c r="E63" s="138">
        <v>274</v>
      </c>
      <c r="F63" s="138">
        <v>296</v>
      </c>
      <c r="G63" s="138">
        <v>308</v>
      </c>
      <c r="H63" s="138">
        <v>315</v>
      </c>
      <c r="I63" s="138">
        <v>319</v>
      </c>
      <c r="J63" s="139">
        <v>321</v>
      </c>
      <c r="K63" s="138">
        <v>324</v>
      </c>
      <c r="L63" s="138">
        <v>324</v>
      </c>
    </row>
    <row r="64" spans="1:26" ht="15.75">
      <c r="A64" s="135">
        <v>0.9</v>
      </c>
      <c r="B64" s="138">
        <v>212</v>
      </c>
      <c r="C64" s="138">
        <v>236</v>
      </c>
      <c r="D64" s="138">
        <v>232</v>
      </c>
      <c r="E64" s="138">
        <v>269</v>
      </c>
      <c r="F64" s="138">
        <v>294</v>
      </c>
      <c r="G64" s="138">
        <v>307</v>
      </c>
      <c r="H64" s="138">
        <v>314</v>
      </c>
      <c r="I64" s="138">
        <v>318</v>
      </c>
      <c r="J64" s="139">
        <v>320</v>
      </c>
      <c r="K64" s="138">
        <v>321</v>
      </c>
      <c r="L64" s="138">
        <v>321</v>
      </c>
    </row>
    <row r="65" spans="1:14" ht="15.75">
      <c r="A65" s="135">
        <v>0.8</v>
      </c>
      <c r="B65" s="138">
        <v>212</v>
      </c>
      <c r="C65" s="138">
        <v>236</v>
      </c>
      <c r="D65" s="138">
        <v>212</v>
      </c>
      <c r="E65" s="138">
        <v>257</v>
      </c>
      <c r="F65" s="138">
        <v>287</v>
      </c>
      <c r="G65" s="138">
        <v>301</v>
      </c>
      <c r="H65" s="138">
        <v>308</v>
      </c>
      <c r="I65" s="138">
        <v>312</v>
      </c>
      <c r="J65" s="139">
        <v>313</v>
      </c>
      <c r="K65" s="138">
        <v>314</v>
      </c>
      <c r="L65" s="138">
        <v>314</v>
      </c>
    </row>
    <row r="66" spans="1:14" ht="15.75">
      <c r="A66" s="135">
        <v>0.7</v>
      </c>
      <c r="B66" s="138">
        <v>212</v>
      </c>
      <c r="C66" s="138">
        <v>236</v>
      </c>
      <c r="D66" s="138">
        <v>192</v>
      </c>
      <c r="E66" s="138">
        <v>241</v>
      </c>
      <c r="F66" s="138">
        <v>275</v>
      </c>
      <c r="G66" s="138">
        <v>290</v>
      </c>
      <c r="H66" s="138">
        <v>298</v>
      </c>
      <c r="I66" s="138">
        <v>301</v>
      </c>
      <c r="J66" s="139">
        <v>303</v>
      </c>
      <c r="K66" s="138">
        <v>303</v>
      </c>
      <c r="L66" s="138">
        <v>304</v>
      </c>
    </row>
    <row r="67" spans="1:14" ht="15.75">
      <c r="A67" s="135">
        <v>0.6</v>
      </c>
      <c r="B67" s="138">
        <v>212</v>
      </c>
      <c r="C67" s="138">
        <v>236</v>
      </c>
      <c r="D67" s="138">
        <v>170</v>
      </c>
      <c r="E67" s="138">
        <v>222</v>
      </c>
      <c r="F67" s="138">
        <v>258</v>
      </c>
      <c r="G67" s="138">
        <v>275</v>
      </c>
      <c r="H67" s="138">
        <v>283</v>
      </c>
      <c r="I67" s="138">
        <v>287</v>
      </c>
      <c r="J67" s="139">
        <v>289</v>
      </c>
      <c r="K67" s="138">
        <v>290</v>
      </c>
      <c r="L67" s="138">
        <v>291</v>
      </c>
    </row>
    <row r="68" spans="1:14" ht="15.75">
      <c r="A68" s="135">
        <v>0.5</v>
      </c>
      <c r="B68" s="138">
        <v>212</v>
      </c>
      <c r="C68" s="138">
        <v>236</v>
      </c>
      <c r="D68" s="138">
        <v>146</v>
      </c>
      <c r="E68" s="138">
        <v>199</v>
      </c>
      <c r="F68" s="138">
        <v>236</v>
      </c>
      <c r="G68" s="138">
        <v>254</v>
      </c>
      <c r="H68" s="138">
        <v>264</v>
      </c>
      <c r="I68" s="138">
        <v>269</v>
      </c>
      <c r="J68" s="139">
        <v>271</v>
      </c>
      <c r="K68" s="138">
        <v>273</v>
      </c>
      <c r="L68" s="138">
        <v>273</v>
      </c>
    </row>
    <row r="69" spans="1:14" ht="15.75">
      <c r="A69" s="135">
        <v>0.4</v>
      </c>
      <c r="B69" s="138">
        <v>212</v>
      </c>
      <c r="C69" s="138">
        <v>236</v>
      </c>
      <c r="D69" s="138">
        <v>121</v>
      </c>
      <c r="E69" s="138">
        <v>171</v>
      </c>
      <c r="F69" s="138">
        <v>208</v>
      </c>
      <c r="G69" s="138">
        <v>227</v>
      </c>
      <c r="H69" s="138">
        <v>238</v>
      </c>
      <c r="I69" s="138">
        <v>244</v>
      </c>
      <c r="J69" s="139">
        <v>246</v>
      </c>
      <c r="K69" s="138">
        <v>249</v>
      </c>
      <c r="L69" s="138">
        <v>249</v>
      </c>
    </row>
    <row r="70" spans="1:14" ht="15.75">
      <c r="A70" s="135">
        <v>0.3</v>
      </c>
      <c r="B70" s="138">
        <v>212</v>
      </c>
      <c r="C70" s="138">
        <v>236</v>
      </c>
      <c r="D70" s="138">
        <v>94</v>
      </c>
      <c r="E70" s="138">
        <v>138</v>
      </c>
      <c r="F70" s="138">
        <v>172</v>
      </c>
      <c r="G70" s="138">
        <v>191</v>
      </c>
      <c r="H70" s="138">
        <v>203</v>
      </c>
      <c r="I70" s="138">
        <v>209</v>
      </c>
      <c r="J70" s="139">
        <v>212</v>
      </c>
      <c r="K70" s="138">
        <v>216</v>
      </c>
      <c r="L70" s="138">
        <v>217</v>
      </c>
    </row>
    <row r="71" spans="1:14" ht="15.75">
      <c r="A71" s="135">
        <v>0.2</v>
      </c>
      <c r="B71" s="138">
        <v>212</v>
      </c>
      <c r="C71" s="138">
        <v>236</v>
      </c>
      <c r="D71" s="138">
        <v>65</v>
      </c>
      <c r="E71" s="138">
        <v>100</v>
      </c>
      <c r="F71" s="138">
        <v>127</v>
      </c>
      <c r="G71" s="138">
        <v>144</v>
      </c>
      <c r="H71" s="138">
        <v>155</v>
      </c>
      <c r="I71" s="138">
        <v>161</v>
      </c>
      <c r="J71" s="139">
        <v>165</v>
      </c>
      <c r="K71" s="138">
        <v>170</v>
      </c>
      <c r="L71" s="138">
        <v>170</v>
      </c>
    </row>
    <row r="72" spans="1:14" ht="15.75">
      <c r="A72" s="135">
        <v>0.1</v>
      </c>
      <c r="B72" s="138">
        <v>212</v>
      </c>
      <c r="C72" s="138">
        <v>236</v>
      </c>
      <c r="D72" s="138">
        <v>34</v>
      </c>
      <c r="E72" s="138">
        <v>54</v>
      </c>
      <c r="F72" s="138">
        <v>71</v>
      </c>
      <c r="G72" s="138">
        <v>82</v>
      </c>
      <c r="H72" s="138">
        <v>90</v>
      </c>
      <c r="I72" s="138">
        <v>95</v>
      </c>
      <c r="J72" s="139">
        <v>97</v>
      </c>
      <c r="K72" s="138">
        <v>102</v>
      </c>
      <c r="L72" s="138">
        <v>103</v>
      </c>
    </row>
    <row r="73" spans="1:14" ht="15.75">
      <c r="A73" s="135">
        <v>0</v>
      </c>
      <c r="B73" s="138">
        <v>212</v>
      </c>
      <c r="C73" s="138">
        <v>236</v>
      </c>
      <c r="D73" s="138">
        <v>0</v>
      </c>
      <c r="E73" s="138">
        <v>0</v>
      </c>
      <c r="F73" s="138">
        <v>0</v>
      </c>
      <c r="G73" s="138">
        <v>0</v>
      </c>
      <c r="H73" s="138">
        <v>0</v>
      </c>
      <c r="I73" s="138">
        <v>0</v>
      </c>
      <c r="J73" s="139">
        <v>0</v>
      </c>
      <c r="K73" s="138">
        <v>0</v>
      </c>
      <c r="L73" s="138">
        <v>0</v>
      </c>
    </row>
    <row r="74" spans="1:14" ht="15.75">
      <c r="A74" s="136" t="s">
        <v>44</v>
      </c>
      <c r="B74" s="138">
        <v>212</v>
      </c>
      <c r="C74" s="138">
        <v>236</v>
      </c>
      <c r="D74" s="138">
        <v>268</v>
      </c>
      <c r="E74" s="138">
        <v>286</v>
      </c>
      <c r="F74" s="138">
        <v>296</v>
      </c>
      <c r="G74" s="138">
        <v>301</v>
      </c>
      <c r="H74" s="138">
        <v>306</v>
      </c>
      <c r="I74" s="138">
        <v>309</v>
      </c>
      <c r="J74" s="139">
        <v>311</v>
      </c>
      <c r="K74" s="138">
        <v>316</v>
      </c>
      <c r="L74" s="138">
        <v>317</v>
      </c>
    </row>
    <row r="76" spans="1:14">
      <c r="A76" s="197" t="s">
        <v>50</v>
      </c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N76" s="124"/>
    </row>
    <row r="77" spans="1:14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N77" s="120"/>
    </row>
    <row r="78" spans="1:14">
      <c r="A78" s="19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</row>
  </sheetData>
  <mergeCells count="2">
    <mergeCell ref="A35:K38"/>
    <mergeCell ref="A76:L78"/>
  </mergeCells>
  <phoneticPr fontId="1"/>
  <conditionalFormatting sqref="B5:L17">
    <cfRule type="colorScale" priority="4">
      <colorScale>
        <cfvo type="num" val="0"/>
        <cfvo type="num" val="100"/>
        <color theme="0"/>
        <color rgb="FFFFC000"/>
      </colorScale>
    </cfRule>
  </conditionalFormatting>
  <conditionalFormatting sqref="B21:L33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B46:L58">
    <cfRule type="colorScale" priority="2">
      <colorScale>
        <cfvo type="min"/>
        <cfvo type="max"/>
        <color rgb="FFFCFCFF"/>
        <color rgb="FF00B0F0"/>
      </colorScale>
    </cfRule>
  </conditionalFormatting>
  <conditionalFormatting sqref="B62:L74">
    <cfRule type="colorScale" priority="1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5A3E-C23F-8443-854F-451C7ED02100}">
  <dimension ref="A1:BI87"/>
  <sheetViews>
    <sheetView zoomScale="80" zoomScaleNormal="80" workbookViewId="0">
      <selection activeCell="F66" sqref="F66"/>
    </sheetView>
  </sheetViews>
  <sheetFormatPr defaultColWidth="9" defaultRowHeight="13.5"/>
  <cols>
    <col min="1" max="1" width="12" style="1" customWidth="1"/>
    <col min="2" max="2" width="10.875" style="1" customWidth="1"/>
    <col min="3" max="3" width="9" style="1"/>
    <col min="4" max="4" width="10.625" style="1" customWidth="1"/>
    <col min="5" max="16384" width="9" style="1"/>
  </cols>
  <sheetData>
    <row r="1" spans="1:22">
      <c r="A1" s="140" t="s">
        <v>51</v>
      </c>
      <c r="B1" s="140"/>
      <c r="C1" s="140"/>
      <c r="D1" s="140"/>
      <c r="G1" s="123"/>
    </row>
    <row r="2" spans="1:22">
      <c r="A2" s="22" t="s">
        <v>52</v>
      </c>
      <c r="B2" s="23">
        <v>0</v>
      </c>
      <c r="C2" s="23">
        <v>1</v>
      </c>
      <c r="D2" s="23">
        <v>2</v>
      </c>
      <c r="E2" s="23" t="s">
        <v>53</v>
      </c>
    </row>
    <row r="3" spans="1:22">
      <c r="A3" s="24" t="s">
        <v>54</v>
      </c>
      <c r="B3" s="73">
        <v>24.4</v>
      </c>
      <c r="C3" s="73">
        <v>28.7</v>
      </c>
      <c r="D3" s="73">
        <v>33.1</v>
      </c>
      <c r="E3" s="73">
        <v>35.4</v>
      </c>
      <c r="M3" s="125"/>
    </row>
    <row r="4" spans="1:22">
      <c r="A4" s="24" t="s">
        <v>55</v>
      </c>
      <c r="B4" s="74">
        <v>199</v>
      </c>
      <c r="C4" s="74">
        <v>327</v>
      </c>
      <c r="D4" s="74">
        <v>508</v>
      </c>
      <c r="E4" s="74">
        <v>625</v>
      </c>
    </row>
    <row r="5" spans="1:22">
      <c r="A5" s="25" t="s">
        <v>56</v>
      </c>
      <c r="B5" s="76">
        <v>0</v>
      </c>
      <c r="C5" s="77">
        <v>0.6</v>
      </c>
      <c r="D5" s="76">
        <v>0.85</v>
      </c>
      <c r="E5" s="76">
        <v>1</v>
      </c>
      <c r="M5" s="124"/>
    </row>
    <row r="6" spans="1:22">
      <c r="A6" s="26"/>
    </row>
    <row r="7" spans="1:22">
      <c r="A7" s="26"/>
    </row>
    <row r="8" spans="1:22">
      <c r="A8" s="1" t="s">
        <v>57</v>
      </c>
      <c r="G8" s="125"/>
    </row>
    <row r="9" spans="1:22">
      <c r="A9" s="71" t="s">
        <v>58</v>
      </c>
      <c r="B9" s="71" t="s">
        <v>59</v>
      </c>
      <c r="C9" s="72">
        <v>2003</v>
      </c>
      <c r="D9" s="72">
        <v>2004</v>
      </c>
      <c r="E9" s="72">
        <v>2005</v>
      </c>
      <c r="F9" s="72">
        <v>2006</v>
      </c>
      <c r="G9" s="72">
        <v>2007</v>
      </c>
      <c r="H9" s="72">
        <v>2008</v>
      </c>
      <c r="I9" s="72">
        <v>2009</v>
      </c>
      <c r="J9" s="72">
        <v>2010</v>
      </c>
      <c r="K9" s="72">
        <v>2011</v>
      </c>
      <c r="L9" s="72">
        <v>2012</v>
      </c>
      <c r="M9" s="72">
        <v>2013</v>
      </c>
      <c r="N9" s="72">
        <v>2014</v>
      </c>
      <c r="O9" s="27">
        <v>2015</v>
      </c>
      <c r="P9" s="27">
        <v>2016</v>
      </c>
      <c r="Q9" s="27">
        <v>2017</v>
      </c>
      <c r="R9" s="27">
        <v>2018</v>
      </c>
      <c r="S9" s="27">
        <v>2019</v>
      </c>
      <c r="T9" s="27">
        <v>2020</v>
      </c>
      <c r="U9" s="27">
        <v>2021</v>
      </c>
      <c r="V9" s="27">
        <v>2022</v>
      </c>
    </row>
    <row r="10" spans="1:22">
      <c r="A10" s="73"/>
      <c r="B10" s="73" t="s">
        <v>3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9"/>
      <c r="Q10" s="29"/>
      <c r="V10" s="35"/>
    </row>
    <row r="11" spans="1:22">
      <c r="A11" s="74">
        <v>1</v>
      </c>
      <c r="B11" s="74" t="s">
        <v>60</v>
      </c>
      <c r="C11" s="30">
        <v>24.02</v>
      </c>
      <c r="D11" s="30">
        <v>17.98</v>
      </c>
      <c r="E11" s="30">
        <v>13.61</v>
      </c>
      <c r="F11" s="30">
        <v>13.39</v>
      </c>
      <c r="G11" s="30">
        <v>12.69</v>
      </c>
      <c r="H11" s="30">
        <v>29.67</v>
      </c>
      <c r="I11" s="30">
        <v>21.03</v>
      </c>
      <c r="J11" s="30">
        <v>33.17</v>
      </c>
      <c r="K11" s="30">
        <v>19.899999999999999</v>
      </c>
      <c r="L11" s="30">
        <v>19.25</v>
      </c>
      <c r="M11" s="30">
        <v>11.95</v>
      </c>
      <c r="N11" s="30">
        <v>32.18</v>
      </c>
      <c r="O11" s="30">
        <v>24.98</v>
      </c>
      <c r="P11" s="29">
        <v>16.95</v>
      </c>
      <c r="Q11" s="29">
        <v>24.28</v>
      </c>
      <c r="R11" s="1">
        <v>18.149999999999999</v>
      </c>
      <c r="S11" s="1">
        <v>7.79</v>
      </c>
      <c r="T11" s="1">
        <v>7.46</v>
      </c>
      <c r="U11" s="1">
        <v>19.149999999999999</v>
      </c>
      <c r="V11" s="1">
        <v>10.7</v>
      </c>
    </row>
    <row r="12" spans="1:22">
      <c r="A12" s="74">
        <v>2</v>
      </c>
      <c r="B12" s="74" t="s">
        <v>61</v>
      </c>
      <c r="C12" s="30">
        <v>12.22</v>
      </c>
      <c r="D12" s="30">
        <v>7.37</v>
      </c>
      <c r="E12" s="30">
        <v>10.3</v>
      </c>
      <c r="F12" s="30">
        <v>8.01</v>
      </c>
      <c r="G12" s="30">
        <v>11.45</v>
      </c>
      <c r="H12" s="30">
        <v>7.26</v>
      </c>
      <c r="I12" s="30">
        <v>17.57</v>
      </c>
      <c r="J12" s="30">
        <v>14.43</v>
      </c>
      <c r="K12" s="30">
        <v>15.09</v>
      </c>
      <c r="L12" s="30">
        <v>16.13</v>
      </c>
      <c r="M12" s="30">
        <v>13.23</v>
      </c>
      <c r="N12" s="30">
        <v>10.31</v>
      </c>
      <c r="O12" s="30">
        <v>21.46</v>
      </c>
      <c r="P12" s="29">
        <v>19.14</v>
      </c>
      <c r="Q12" s="29">
        <v>15.03</v>
      </c>
      <c r="R12" s="1">
        <v>33.93</v>
      </c>
      <c r="S12" s="1">
        <v>23.75</v>
      </c>
      <c r="T12" s="36">
        <v>8.1</v>
      </c>
      <c r="U12" s="36">
        <v>16.760000000000002</v>
      </c>
      <c r="V12" s="1">
        <v>14.99</v>
      </c>
    </row>
    <row r="13" spans="1:22">
      <c r="A13" s="74">
        <v>3</v>
      </c>
      <c r="B13" s="74" t="s">
        <v>62</v>
      </c>
      <c r="C13" s="30">
        <v>2.72</v>
      </c>
      <c r="D13" s="30">
        <v>3.73</v>
      </c>
      <c r="E13" s="30">
        <v>5.73</v>
      </c>
      <c r="F13" s="30">
        <v>4.46</v>
      </c>
      <c r="G13" s="30">
        <v>3.07</v>
      </c>
      <c r="H13" s="30">
        <v>4.26</v>
      </c>
      <c r="I13" s="30">
        <v>7.38</v>
      </c>
      <c r="J13" s="30">
        <v>3.02</v>
      </c>
      <c r="K13" s="30">
        <v>4.17</v>
      </c>
      <c r="L13" s="30">
        <v>3.89</v>
      </c>
      <c r="M13" s="30">
        <v>2.5099999999999998</v>
      </c>
      <c r="N13" s="30">
        <v>2.7</v>
      </c>
      <c r="O13" s="30">
        <v>5.35</v>
      </c>
      <c r="P13" s="29">
        <v>4.7699999999999996</v>
      </c>
      <c r="Q13" s="29">
        <v>4.16</v>
      </c>
      <c r="R13" s="1">
        <v>1.96</v>
      </c>
      <c r="S13" s="1">
        <v>4.67</v>
      </c>
      <c r="T13" s="36">
        <v>3.6</v>
      </c>
      <c r="U13" s="36">
        <v>3.3</v>
      </c>
      <c r="V13" s="1">
        <v>2.93</v>
      </c>
    </row>
    <row r="14" spans="1:22">
      <c r="A14" s="74">
        <v>4</v>
      </c>
      <c r="B14" s="74" t="s">
        <v>63</v>
      </c>
      <c r="C14" s="30">
        <v>1.1100000000000001</v>
      </c>
      <c r="D14" s="30">
        <v>1.31</v>
      </c>
      <c r="E14" s="30">
        <v>0.96</v>
      </c>
      <c r="F14" s="30">
        <v>2.16</v>
      </c>
      <c r="G14" s="30">
        <v>1.18</v>
      </c>
      <c r="H14" s="30">
        <v>1.67</v>
      </c>
      <c r="I14" s="30">
        <v>1.26</v>
      </c>
      <c r="J14" s="30">
        <v>2.61</v>
      </c>
      <c r="K14" s="30">
        <v>0.77</v>
      </c>
      <c r="L14" s="30">
        <v>0.92</v>
      </c>
      <c r="M14" s="30">
        <v>0.74</v>
      </c>
      <c r="N14" s="30">
        <v>1.43</v>
      </c>
      <c r="O14" s="30">
        <v>0.98</v>
      </c>
      <c r="P14" s="29">
        <v>1.94</v>
      </c>
      <c r="Q14" s="29">
        <v>1.21</v>
      </c>
      <c r="R14" s="1">
        <v>1.39</v>
      </c>
      <c r="S14" s="1">
        <v>3.36</v>
      </c>
      <c r="T14" s="36">
        <v>3.4</v>
      </c>
      <c r="U14" s="36">
        <v>2.96</v>
      </c>
      <c r="V14" s="1">
        <v>2.89</v>
      </c>
    </row>
    <row r="15" spans="1:22">
      <c r="A15" s="74"/>
      <c r="B15" s="74" t="s">
        <v>64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29"/>
      <c r="Q15" s="29"/>
    </row>
    <row r="16" spans="1:22">
      <c r="A16" s="74">
        <v>5</v>
      </c>
      <c r="B16" s="74" t="s">
        <v>60</v>
      </c>
      <c r="C16" s="30" t="s">
        <v>65</v>
      </c>
      <c r="D16" s="30" t="s">
        <v>65</v>
      </c>
      <c r="E16" s="30" t="s">
        <v>65</v>
      </c>
      <c r="F16" s="30" t="s">
        <v>65</v>
      </c>
      <c r="G16" s="30">
        <v>15.73</v>
      </c>
      <c r="H16" s="30">
        <v>23.86</v>
      </c>
      <c r="I16" s="30">
        <v>25.1</v>
      </c>
      <c r="J16" s="30">
        <v>22.38</v>
      </c>
      <c r="K16" s="30">
        <v>26.47</v>
      </c>
      <c r="L16" s="30">
        <v>16.690000000000001</v>
      </c>
      <c r="M16" s="30">
        <v>19.010000000000002</v>
      </c>
      <c r="N16" s="30">
        <v>12.45</v>
      </c>
      <c r="O16" s="30">
        <v>12.14</v>
      </c>
      <c r="P16" s="29">
        <v>23.58</v>
      </c>
      <c r="Q16" s="29">
        <v>3.05</v>
      </c>
      <c r="R16" s="1">
        <v>15.77</v>
      </c>
      <c r="S16" s="1">
        <v>2.52</v>
      </c>
      <c r="T16" s="1">
        <v>15.19</v>
      </c>
      <c r="U16" s="1">
        <v>14.24</v>
      </c>
      <c r="V16" s="1">
        <v>9.9499999999999993</v>
      </c>
    </row>
    <row r="17" spans="1:61">
      <c r="A17" s="70">
        <v>6</v>
      </c>
      <c r="B17" s="70" t="s">
        <v>61</v>
      </c>
      <c r="C17" s="30" t="s">
        <v>65</v>
      </c>
      <c r="D17" s="30" t="s">
        <v>65</v>
      </c>
      <c r="E17" s="30" t="s">
        <v>65</v>
      </c>
      <c r="F17" s="30" t="s">
        <v>65</v>
      </c>
      <c r="G17" s="30">
        <v>22.81</v>
      </c>
      <c r="H17" s="30">
        <v>14.44</v>
      </c>
      <c r="I17" s="30">
        <v>15.38</v>
      </c>
      <c r="J17" s="30">
        <v>12.71</v>
      </c>
      <c r="K17" s="30">
        <v>14.85</v>
      </c>
      <c r="L17" s="30">
        <v>26.66</v>
      </c>
      <c r="M17" s="30">
        <v>19.46</v>
      </c>
      <c r="N17" s="30">
        <v>38.49</v>
      </c>
      <c r="O17" s="30">
        <v>19.84</v>
      </c>
      <c r="P17" s="29">
        <v>26.98</v>
      </c>
      <c r="Q17" s="29">
        <v>47.77</v>
      </c>
      <c r="R17" s="1">
        <v>39.590000000000003</v>
      </c>
      <c r="S17" s="36">
        <v>21.92</v>
      </c>
      <c r="T17" s="1">
        <v>20.78</v>
      </c>
      <c r="U17" s="1">
        <v>28.63</v>
      </c>
      <c r="V17" s="1">
        <v>23.27</v>
      </c>
    </row>
    <row r="18" spans="1:61">
      <c r="A18" s="70">
        <v>7</v>
      </c>
      <c r="B18" s="70" t="s">
        <v>66</v>
      </c>
      <c r="C18" s="30"/>
      <c r="D18" s="30"/>
      <c r="E18" s="30"/>
      <c r="F18" s="30">
        <v>19.64</v>
      </c>
      <c r="G18" s="30">
        <v>24.5</v>
      </c>
      <c r="H18" s="30">
        <v>5.34</v>
      </c>
      <c r="I18" s="30">
        <v>18.079999999999998</v>
      </c>
      <c r="J18" s="30">
        <v>24.55</v>
      </c>
      <c r="K18" s="30">
        <v>10.75</v>
      </c>
      <c r="L18" s="30">
        <v>13.11</v>
      </c>
      <c r="M18" s="30">
        <v>13.24</v>
      </c>
      <c r="N18" s="30">
        <v>6.82</v>
      </c>
      <c r="O18" s="30">
        <v>35.880000000000003</v>
      </c>
      <c r="P18" s="29">
        <v>37.25</v>
      </c>
      <c r="Q18" s="29">
        <v>31.43</v>
      </c>
      <c r="R18" s="1">
        <v>78.73</v>
      </c>
      <c r="S18" s="36">
        <v>123.65</v>
      </c>
      <c r="T18" s="1">
        <v>72.22</v>
      </c>
      <c r="U18" s="1">
        <v>32.28</v>
      </c>
      <c r="V18" s="1">
        <v>95.01</v>
      </c>
    </row>
    <row r="19" spans="1:61">
      <c r="A19" s="31">
        <v>8</v>
      </c>
      <c r="B19" s="31" t="s">
        <v>67</v>
      </c>
      <c r="C19" s="32">
        <v>9.36</v>
      </c>
      <c r="D19" s="32">
        <v>10.64</v>
      </c>
      <c r="E19" s="32">
        <v>9.15</v>
      </c>
      <c r="F19" s="32">
        <v>9.64</v>
      </c>
      <c r="G19" s="32">
        <v>9.67</v>
      </c>
      <c r="H19" s="32">
        <v>9.5500000000000007</v>
      </c>
      <c r="I19" s="32">
        <v>10.34</v>
      </c>
      <c r="J19" s="32">
        <v>9.6</v>
      </c>
      <c r="K19" s="32">
        <v>12.35</v>
      </c>
      <c r="L19" s="32">
        <v>8.4600000000000009</v>
      </c>
      <c r="M19" s="32">
        <v>8.36</v>
      </c>
      <c r="N19" s="32">
        <v>12.17</v>
      </c>
      <c r="O19" s="32">
        <v>11.22</v>
      </c>
      <c r="P19" s="33">
        <v>6.76</v>
      </c>
      <c r="Q19" s="33">
        <v>11.02</v>
      </c>
      <c r="R19" s="34">
        <v>11.45</v>
      </c>
      <c r="S19" s="34">
        <v>9.99</v>
      </c>
      <c r="T19" s="34">
        <v>7.68</v>
      </c>
      <c r="U19" s="34">
        <v>9.26</v>
      </c>
      <c r="V19" s="34">
        <v>11.96</v>
      </c>
    </row>
    <row r="21" spans="1:61">
      <c r="A21" s="1" t="s">
        <v>68</v>
      </c>
    </row>
    <row r="22" spans="1:61">
      <c r="A22" s="35"/>
      <c r="B22" s="35" t="s">
        <v>69</v>
      </c>
      <c r="C22" s="35" t="s">
        <v>70</v>
      </c>
      <c r="D22" s="35" t="s">
        <v>71</v>
      </c>
      <c r="E22" s="35" t="s">
        <v>72</v>
      </c>
      <c r="F22" s="35" t="s">
        <v>73</v>
      </c>
      <c r="G22" s="35" t="s">
        <v>74</v>
      </c>
    </row>
    <row r="23" spans="1:61">
      <c r="A23" s="34"/>
      <c r="B23" s="31" t="s">
        <v>75</v>
      </c>
      <c r="C23" s="31" t="s">
        <v>76</v>
      </c>
      <c r="D23" s="31" t="s">
        <v>77</v>
      </c>
      <c r="E23" s="31" t="s">
        <v>78</v>
      </c>
      <c r="F23" s="31" t="s">
        <v>79</v>
      </c>
      <c r="G23" s="31"/>
    </row>
    <row r="24" spans="1:61">
      <c r="A24" s="35" t="s">
        <v>60</v>
      </c>
      <c r="B24" s="35">
        <v>0.31</v>
      </c>
      <c r="C24" s="35">
        <v>0.33</v>
      </c>
      <c r="D24" s="35">
        <v>0.36</v>
      </c>
      <c r="E24" s="35">
        <v>243</v>
      </c>
      <c r="F24" s="35">
        <v>0.4</v>
      </c>
      <c r="G24" s="85">
        <v>0</v>
      </c>
    </row>
    <row r="25" spans="1:61">
      <c r="A25" s="1" t="s">
        <v>61</v>
      </c>
      <c r="B25" s="36">
        <v>1</v>
      </c>
      <c r="C25" s="1">
        <v>1.07</v>
      </c>
      <c r="D25" s="1">
        <v>1.18</v>
      </c>
      <c r="E25" s="1">
        <v>330</v>
      </c>
      <c r="F25" s="1">
        <v>0.4</v>
      </c>
      <c r="G25" s="36">
        <v>0.6</v>
      </c>
    </row>
    <row r="26" spans="1:61">
      <c r="A26" s="1" t="s">
        <v>62</v>
      </c>
      <c r="B26" s="1">
        <v>0.65</v>
      </c>
      <c r="C26" s="1">
        <v>0.69</v>
      </c>
      <c r="D26" s="1">
        <v>0.77</v>
      </c>
      <c r="E26" s="1">
        <v>478</v>
      </c>
      <c r="F26" s="1">
        <v>0.4</v>
      </c>
      <c r="G26" s="1">
        <v>0.85</v>
      </c>
    </row>
    <row r="27" spans="1:61">
      <c r="A27" s="34" t="s">
        <v>63</v>
      </c>
      <c r="B27" s="34">
        <v>0.65</v>
      </c>
      <c r="C27" s="34">
        <v>0.69</v>
      </c>
      <c r="D27" s="34">
        <v>0.77</v>
      </c>
      <c r="E27" s="34">
        <v>619</v>
      </c>
      <c r="F27" s="34">
        <v>0.4</v>
      </c>
      <c r="G27" s="37">
        <v>1</v>
      </c>
    </row>
    <row r="29" spans="1:61" ht="13.5" customHeight="1">
      <c r="A29" s="198" t="s">
        <v>80</v>
      </c>
      <c r="B29" s="198"/>
      <c r="C29" s="198"/>
      <c r="D29" s="198"/>
      <c r="E29" s="198"/>
      <c r="F29" s="198"/>
      <c r="G29" s="198"/>
      <c r="H29" s="198"/>
      <c r="I29" s="121"/>
      <c r="L29" s="50"/>
      <c r="M29" s="50"/>
      <c r="N29" s="50"/>
      <c r="O29" s="91"/>
      <c r="P29" s="48"/>
      <c r="Q29" s="48"/>
      <c r="R29" s="48"/>
      <c r="S29" s="48"/>
      <c r="T29" s="90"/>
      <c r="U29" s="46"/>
      <c r="V29" s="46"/>
      <c r="W29" s="46"/>
      <c r="X29" s="46"/>
      <c r="Y29" s="46"/>
      <c r="Z29" s="46"/>
      <c r="AA29" s="46"/>
      <c r="AB29" s="46"/>
      <c r="AD29" s="53"/>
      <c r="AE29" s="53"/>
      <c r="AF29" s="53"/>
      <c r="AG29" s="53"/>
      <c r="AH29" s="53"/>
      <c r="AI29" s="53"/>
      <c r="AJ29" s="53"/>
      <c r="AK29" s="53"/>
      <c r="AL29" s="53"/>
      <c r="AM29" s="54"/>
      <c r="AN29" s="54"/>
      <c r="AO29" s="54"/>
      <c r="AP29" s="54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</row>
    <row r="30" spans="1:61">
      <c r="A30" s="198"/>
      <c r="B30" s="198"/>
      <c r="C30" s="198"/>
      <c r="D30" s="198"/>
      <c r="E30" s="198"/>
      <c r="F30" s="198"/>
      <c r="G30" s="198"/>
      <c r="H30" s="198"/>
      <c r="J30" s="124"/>
      <c r="K30" s="50"/>
      <c r="L30" s="50"/>
      <c r="M30" s="50"/>
      <c r="N30" s="50"/>
      <c r="O30" s="91"/>
      <c r="P30" s="48"/>
      <c r="Q30" s="48"/>
      <c r="R30" s="48"/>
      <c r="S30" s="48"/>
      <c r="T30" s="90"/>
      <c r="U30" s="46"/>
      <c r="V30" s="46"/>
      <c r="W30" s="46"/>
      <c r="X30" s="46"/>
      <c r="Y30" s="46"/>
      <c r="Z30" s="46"/>
      <c r="AA30" s="46"/>
      <c r="AB30" s="46"/>
      <c r="AD30" s="53"/>
      <c r="AE30" s="53"/>
      <c r="AF30" s="53"/>
      <c r="AG30" s="53"/>
      <c r="AH30" s="53"/>
      <c r="AI30" s="53"/>
      <c r="AJ30" s="53"/>
      <c r="AK30" s="53"/>
      <c r="AL30" s="53"/>
      <c r="AM30" s="54"/>
      <c r="AN30" s="54"/>
      <c r="AO30" s="54"/>
      <c r="AP30" s="54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61">
      <c r="A31" s="198"/>
      <c r="B31" s="198"/>
      <c r="C31" s="198"/>
      <c r="D31" s="198"/>
      <c r="E31" s="198"/>
      <c r="F31" s="198"/>
      <c r="G31" s="198"/>
      <c r="H31" s="198"/>
      <c r="I31" s="121"/>
      <c r="J31" s="90"/>
      <c r="K31" s="50"/>
      <c r="L31" s="50"/>
      <c r="M31" s="50"/>
      <c r="N31" s="50"/>
      <c r="O31" s="91"/>
      <c r="P31" s="48"/>
      <c r="Q31" s="48"/>
      <c r="R31" s="48"/>
      <c r="S31" s="48"/>
      <c r="T31" s="90"/>
      <c r="U31" s="46"/>
      <c r="V31" s="46"/>
      <c r="W31" s="46"/>
      <c r="X31" s="46"/>
      <c r="Y31" s="46"/>
      <c r="Z31" s="46"/>
      <c r="AA31" s="46"/>
      <c r="AB31" s="46"/>
      <c r="AD31" s="53"/>
      <c r="AE31" s="53"/>
      <c r="AF31" s="53"/>
      <c r="AG31" s="53"/>
      <c r="AH31" s="53"/>
      <c r="AI31" s="53"/>
      <c r="AJ31" s="53"/>
      <c r="AK31" s="53"/>
      <c r="AL31" s="53"/>
      <c r="AM31" s="54"/>
      <c r="AN31" s="54"/>
      <c r="AO31" s="54"/>
      <c r="AP31" s="54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61">
      <c r="A32" s="198"/>
      <c r="B32" s="198"/>
      <c r="C32" s="198"/>
      <c r="D32" s="198"/>
      <c r="E32" s="198"/>
      <c r="F32" s="198"/>
      <c r="G32" s="198"/>
      <c r="H32" s="198"/>
      <c r="I32" s="121"/>
    </row>
    <row r="33" spans="1:56">
      <c r="A33" s="198"/>
      <c r="B33" s="198"/>
      <c r="C33" s="198"/>
      <c r="D33" s="198"/>
      <c r="E33" s="198"/>
      <c r="F33" s="198"/>
      <c r="G33" s="198"/>
      <c r="H33" s="198"/>
      <c r="I33" s="121"/>
    </row>
    <row r="34" spans="1:56" ht="28.5" customHeight="1">
      <c r="A34" s="198"/>
      <c r="B34" s="198"/>
      <c r="C34" s="198"/>
      <c r="D34" s="198"/>
      <c r="E34" s="198"/>
      <c r="F34" s="198"/>
      <c r="G34" s="198"/>
      <c r="H34" s="198"/>
      <c r="I34" s="121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</row>
    <row r="35" spans="1:56" ht="13.5" customHeight="1">
      <c r="A35" s="122"/>
      <c r="B35" s="122"/>
      <c r="C35" s="122"/>
      <c r="D35" s="122"/>
      <c r="E35" s="122"/>
      <c r="F35" s="122"/>
      <c r="G35" s="122"/>
      <c r="H35" s="122"/>
      <c r="I35" s="121"/>
      <c r="J35" s="86"/>
      <c r="L35" s="86"/>
      <c r="M35" s="86"/>
      <c r="N35" s="86"/>
      <c r="P35" s="86"/>
      <c r="Q35" s="86"/>
      <c r="R35" s="86"/>
      <c r="S35" s="86"/>
      <c r="T35" s="86"/>
      <c r="U35" s="86"/>
      <c r="V35" s="87"/>
      <c r="W35" s="86"/>
    </row>
    <row r="36" spans="1:56">
      <c r="A36" s="122"/>
      <c r="B36" s="122"/>
      <c r="C36" s="122"/>
      <c r="D36" s="122"/>
      <c r="E36" s="122"/>
      <c r="F36" s="122"/>
      <c r="G36" s="122"/>
      <c r="H36" s="122"/>
      <c r="I36" s="121"/>
    </row>
    <row r="37" spans="1:56">
      <c r="A37" s="122"/>
      <c r="B37" s="122"/>
      <c r="C37" s="122"/>
      <c r="D37" s="122"/>
      <c r="E37" s="122"/>
      <c r="F37" s="122"/>
      <c r="G37" s="122"/>
      <c r="H37" s="122"/>
      <c r="I37" s="121"/>
    </row>
    <row r="38" spans="1:56">
      <c r="A38" s="121"/>
      <c r="B38" s="121"/>
      <c r="C38" s="121"/>
      <c r="D38" s="121"/>
      <c r="E38" s="121"/>
      <c r="F38" s="121"/>
      <c r="G38" s="121"/>
      <c r="H38" s="121"/>
      <c r="I38" s="121"/>
      <c r="J38" s="88"/>
      <c r="K38" s="199"/>
      <c r="L38" s="200"/>
      <c r="M38" s="200"/>
      <c r="N38" s="200"/>
      <c r="O38" s="199"/>
      <c r="P38" s="199"/>
      <c r="Q38" s="199"/>
      <c r="R38" s="199"/>
      <c r="S38" s="199"/>
      <c r="T38" s="88"/>
      <c r="U38" s="199"/>
      <c r="V38" s="199"/>
      <c r="W38" s="199"/>
      <c r="X38" s="199"/>
      <c r="Y38" s="199"/>
      <c r="Z38" s="199"/>
      <c r="AA38" s="199"/>
      <c r="AB38" s="199"/>
    </row>
    <row r="39" spans="1:56">
      <c r="A39" s="121"/>
      <c r="B39" s="121"/>
      <c r="C39" s="121"/>
      <c r="D39" s="121"/>
      <c r="E39" s="121"/>
      <c r="F39" s="121"/>
      <c r="G39" s="121"/>
      <c r="H39" s="121"/>
      <c r="I39" s="121"/>
      <c r="J39" s="88"/>
      <c r="K39" s="89"/>
      <c r="L39" s="89"/>
      <c r="M39" s="89"/>
      <c r="N39" s="89"/>
      <c r="O39" s="199"/>
      <c r="P39" s="89"/>
      <c r="Q39" s="89"/>
      <c r="R39" s="89"/>
      <c r="S39" s="89"/>
      <c r="T39" s="88"/>
      <c r="U39" s="89"/>
      <c r="V39" s="89"/>
      <c r="W39" s="89"/>
      <c r="X39" s="89"/>
      <c r="Y39" s="89"/>
      <c r="Z39" s="89"/>
      <c r="AA39" s="89"/>
      <c r="AB39" s="89"/>
    </row>
    <row r="40" spans="1:56">
      <c r="A40" s="121"/>
      <c r="B40" s="121"/>
      <c r="C40" s="121"/>
      <c r="D40" s="121"/>
      <c r="E40" s="121"/>
      <c r="F40" s="121"/>
      <c r="G40" s="121"/>
      <c r="H40" s="121"/>
      <c r="I40" s="121"/>
      <c r="L40" s="70"/>
    </row>
    <row r="43" spans="1:56">
      <c r="A43" s="90"/>
      <c r="B43" s="46"/>
      <c r="C43" s="46"/>
      <c r="D43" s="46"/>
      <c r="E43" s="46"/>
      <c r="F43" s="48"/>
      <c r="G43" s="48"/>
      <c r="H43" s="48"/>
      <c r="I43" s="48"/>
      <c r="J43" s="90"/>
      <c r="K43" s="50"/>
      <c r="L43" s="50"/>
      <c r="M43" s="50"/>
      <c r="N43" s="50"/>
      <c r="O43" s="91"/>
      <c r="P43" s="48"/>
      <c r="Q43" s="48"/>
      <c r="R43" s="48"/>
      <c r="S43" s="48"/>
      <c r="T43" s="90"/>
      <c r="U43" s="46"/>
      <c r="V43" s="46"/>
      <c r="W43" s="46"/>
      <c r="X43" s="46"/>
      <c r="Y43" s="46"/>
      <c r="Z43" s="46"/>
      <c r="AA43" s="46"/>
      <c r="AB43" s="46"/>
      <c r="AD43" s="53"/>
      <c r="AE43" s="53"/>
      <c r="AF43" s="53"/>
      <c r="AG43" s="53"/>
      <c r="AH43" s="53"/>
      <c r="AI43" s="53"/>
      <c r="AJ43" s="53"/>
      <c r="AK43" s="53"/>
      <c r="AL43" s="53"/>
      <c r="AM43" s="54"/>
      <c r="AN43" s="54"/>
      <c r="AO43" s="54"/>
      <c r="AP43" s="54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>
      <c r="A44" s="90"/>
      <c r="B44" s="46"/>
      <c r="C44" s="46"/>
      <c r="D44" s="46"/>
      <c r="E44" s="46"/>
      <c r="F44" s="48"/>
      <c r="G44" s="48"/>
      <c r="H44" s="48"/>
      <c r="I44" s="48"/>
      <c r="J44" s="90"/>
      <c r="K44" s="50"/>
      <c r="L44" s="50"/>
      <c r="M44" s="50"/>
      <c r="N44" s="50"/>
      <c r="O44" s="91"/>
      <c r="P44" s="48"/>
      <c r="Q44" s="48"/>
      <c r="R44" s="48"/>
      <c r="S44" s="48"/>
      <c r="T44" s="90"/>
      <c r="U44" s="46"/>
      <c r="V44" s="46"/>
      <c r="W44" s="46"/>
      <c r="X44" s="46"/>
      <c r="Y44" s="46"/>
      <c r="Z44" s="46"/>
      <c r="AA44" s="46"/>
      <c r="AB44" s="46"/>
      <c r="AD44" s="53"/>
      <c r="AE44" s="53"/>
      <c r="AF44" s="53"/>
      <c r="AG44" s="53"/>
      <c r="AH44" s="53"/>
      <c r="AI44" s="53"/>
      <c r="AJ44" s="53"/>
      <c r="AK44" s="53"/>
      <c r="AL44" s="53"/>
      <c r="AM44" s="54"/>
      <c r="AN44" s="54"/>
      <c r="AO44" s="54"/>
      <c r="AP44" s="54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>
      <c r="A45" s="90"/>
      <c r="B45" s="46"/>
      <c r="C45" s="46"/>
      <c r="D45" s="46"/>
      <c r="E45" s="46"/>
      <c r="F45" s="48"/>
      <c r="G45" s="48"/>
      <c r="H45" s="48"/>
      <c r="I45" s="48"/>
      <c r="J45" s="90"/>
      <c r="K45" s="50"/>
      <c r="L45" s="50"/>
      <c r="M45" s="50"/>
      <c r="N45" s="50"/>
      <c r="O45" s="91"/>
      <c r="P45" s="48"/>
      <c r="Q45" s="48"/>
      <c r="R45" s="48"/>
      <c r="S45" s="48"/>
      <c r="T45" s="90"/>
      <c r="U45" s="46"/>
      <c r="V45" s="46"/>
      <c r="W45" s="46"/>
      <c r="X45" s="46"/>
      <c r="Y45" s="46"/>
      <c r="Z45" s="46"/>
      <c r="AA45" s="46"/>
      <c r="AB45" s="46"/>
      <c r="AD45" s="53"/>
      <c r="AE45" s="53"/>
      <c r="AF45" s="53"/>
      <c r="AG45" s="53"/>
      <c r="AH45" s="53"/>
      <c r="AI45" s="53"/>
      <c r="AJ45" s="53"/>
      <c r="AK45" s="53"/>
      <c r="AL45" s="53"/>
      <c r="AM45" s="54"/>
      <c r="AN45" s="54"/>
      <c r="AO45" s="54"/>
      <c r="AP45" s="54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>
      <c r="A46" s="90"/>
      <c r="B46" s="46"/>
      <c r="C46" s="46"/>
      <c r="D46" s="46"/>
      <c r="E46" s="46"/>
      <c r="F46" s="48"/>
      <c r="G46" s="48"/>
      <c r="H46" s="48"/>
      <c r="I46" s="48"/>
      <c r="J46" s="90"/>
      <c r="K46" s="50"/>
      <c r="L46" s="50"/>
      <c r="M46" s="50"/>
      <c r="N46" s="50"/>
      <c r="O46" s="91"/>
      <c r="P46" s="48"/>
      <c r="Q46" s="48"/>
      <c r="R46" s="48"/>
      <c r="S46" s="48"/>
      <c r="T46" s="90"/>
      <c r="U46" s="46"/>
      <c r="V46" s="46"/>
      <c r="W46" s="46"/>
      <c r="X46" s="46"/>
      <c r="Y46" s="46"/>
      <c r="Z46" s="46"/>
      <c r="AA46" s="46"/>
      <c r="AB46" s="46"/>
      <c r="AD46" s="53"/>
      <c r="AE46" s="53"/>
      <c r="AF46" s="53"/>
      <c r="AG46" s="53"/>
      <c r="AH46" s="53"/>
      <c r="AI46" s="53"/>
      <c r="AJ46" s="53"/>
      <c r="AK46" s="53"/>
      <c r="AL46" s="53"/>
      <c r="AM46" s="54"/>
      <c r="AN46" s="54"/>
      <c r="AO46" s="54"/>
      <c r="AP46" s="54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>
      <c r="A47" s="90"/>
      <c r="B47" s="46"/>
      <c r="C47" s="46"/>
      <c r="D47" s="46"/>
      <c r="E47" s="46"/>
      <c r="F47" s="48"/>
      <c r="H47" s="48"/>
      <c r="I47" s="48"/>
      <c r="J47" s="90"/>
      <c r="K47" s="50"/>
      <c r="L47" s="50"/>
      <c r="M47" s="50"/>
      <c r="N47" s="50"/>
      <c r="O47" s="91"/>
      <c r="P47" s="48"/>
      <c r="Q47" s="48"/>
      <c r="R47" s="48"/>
      <c r="S47" s="48"/>
      <c r="T47" s="90"/>
      <c r="U47" s="46"/>
      <c r="V47" s="46"/>
      <c r="W47" s="46"/>
      <c r="X47" s="46"/>
      <c r="Y47" s="46"/>
      <c r="Z47" s="46"/>
      <c r="AA47" s="46"/>
      <c r="AB47" s="46"/>
      <c r="AD47" s="53"/>
      <c r="AE47" s="53"/>
      <c r="AF47" s="53"/>
      <c r="AG47" s="53"/>
      <c r="AH47" s="53"/>
      <c r="AI47" s="53"/>
      <c r="AJ47" s="53"/>
      <c r="AK47" s="53"/>
      <c r="AL47" s="53"/>
      <c r="AM47" s="54"/>
      <c r="AN47" s="54"/>
      <c r="AO47" s="54"/>
      <c r="AP47" s="54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>
      <c r="A48" s="90"/>
      <c r="B48" s="46"/>
      <c r="C48" s="46"/>
      <c r="D48" s="46"/>
      <c r="E48" s="46"/>
      <c r="F48" s="48"/>
      <c r="G48" s="48"/>
      <c r="H48" s="48"/>
      <c r="I48" s="48"/>
      <c r="J48" s="90"/>
      <c r="K48" s="50"/>
      <c r="L48" s="50"/>
      <c r="M48" s="50"/>
      <c r="N48" s="50"/>
      <c r="O48" s="91"/>
      <c r="P48" s="48"/>
      <c r="Q48" s="48"/>
      <c r="R48" s="48"/>
      <c r="S48" s="48"/>
      <c r="T48" s="90"/>
      <c r="U48" s="46"/>
      <c r="V48" s="46"/>
      <c r="W48" s="46"/>
      <c r="X48" s="46"/>
      <c r="Y48" s="46"/>
      <c r="Z48" s="46"/>
      <c r="AA48" s="46"/>
      <c r="AB48" s="46"/>
      <c r="AD48" s="53"/>
      <c r="AE48" s="53"/>
      <c r="AF48" s="53"/>
      <c r="AG48" s="53"/>
      <c r="AH48" s="53"/>
      <c r="AI48" s="53"/>
      <c r="AJ48" s="53"/>
      <c r="AK48" s="53"/>
      <c r="AL48" s="53"/>
      <c r="AM48" s="54"/>
      <c r="AN48" s="54"/>
      <c r="AO48" s="54"/>
      <c r="AP48" s="54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>
      <c r="A49" s="90"/>
      <c r="B49" s="46"/>
      <c r="C49" s="46"/>
      <c r="D49" s="46"/>
      <c r="E49" s="46"/>
      <c r="F49" s="48"/>
      <c r="G49" s="48"/>
      <c r="H49" s="48"/>
      <c r="I49" s="48"/>
      <c r="J49" s="90"/>
      <c r="K49" s="50"/>
      <c r="L49" s="50"/>
      <c r="M49" s="50"/>
      <c r="N49" s="50"/>
      <c r="O49" s="91"/>
      <c r="P49" s="48"/>
      <c r="Q49" s="48"/>
      <c r="R49" s="48"/>
      <c r="S49" s="48"/>
      <c r="T49" s="90"/>
      <c r="U49" s="46"/>
      <c r="V49" s="46"/>
      <c r="W49" s="46"/>
      <c r="X49" s="46"/>
      <c r="Y49" s="46"/>
      <c r="Z49" s="46"/>
      <c r="AA49" s="46"/>
      <c r="AB49" s="46"/>
      <c r="AD49" s="53"/>
      <c r="AE49" s="53"/>
      <c r="AF49" s="53"/>
      <c r="AG49" s="53"/>
      <c r="AH49" s="53"/>
      <c r="AI49" s="53"/>
      <c r="AJ49" s="53"/>
      <c r="AK49" s="53"/>
      <c r="AL49" s="53"/>
      <c r="AM49" s="54"/>
      <c r="AN49" s="54"/>
      <c r="AO49" s="54"/>
      <c r="AP49" s="54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>
      <c r="A50" s="90"/>
      <c r="B50" s="46"/>
      <c r="C50" s="46"/>
      <c r="D50" s="46"/>
      <c r="E50" s="46"/>
      <c r="F50" s="48"/>
      <c r="G50" s="48"/>
      <c r="H50" s="48"/>
      <c r="I50" s="48"/>
      <c r="J50" s="90"/>
      <c r="K50" s="50"/>
      <c r="L50" s="50"/>
      <c r="M50" s="50"/>
      <c r="N50" s="50"/>
      <c r="O50" s="91"/>
      <c r="P50" s="48"/>
      <c r="Q50" s="48"/>
      <c r="R50" s="48"/>
      <c r="S50" s="48"/>
      <c r="T50" s="90"/>
      <c r="U50" s="46"/>
      <c r="V50" s="46"/>
      <c r="W50" s="46"/>
      <c r="X50" s="46"/>
      <c r="Y50" s="46"/>
      <c r="Z50" s="46"/>
      <c r="AA50" s="46"/>
      <c r="AB50" s="46"/>
      <c r="AD50" s="53"/>
      <c r="AE50" s="53"/>
      <c r="AF50" s="53"/>
      <c r="AG50" s="53"/>
      <c r="AH50" s="53"/>
      <c r="AI50" s="53"/>
      <c r="AJ50" s="53"/>
      <c r="AK50" s="53"/>
      <c r="AL50" s="53"/>
      <c r="AM50" s="54"/>
      <c r="AN50" s="54"/>
      <c r="AO50" s="54"/>
      <c r="AP50" s="54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>
      <c r="A51" s="90"/>
      <c r="B51" s="46"/>
      <c r="C51" s="46"/>
      <c r="D51" s="46"/>
      <c r="E51" s="46"/>
      <c r="F51" s="48"/>
      <c r="G51" s="48"/>
      <c r="H51" s="48"/>
      <c r="I51" s="48"/>
      <c r="J51" s="90"/>
      <c r="K51" s="50"/>
      <c r="L51" s="50"/>
      <c r="M51" s="50"/>
      <c r="N51" s="50"/>
      <c r="O51" s="91"/>
      <c r="P51" s="48"/>
      <c r="Q51" s="48"/>
      <c r="R51" s="48"/>
      <c r="S51" s="48"/>
      <c r="T51" s="90"/>
      <c r="U51" s="46"/>
      <c r="V51" s="46"/>
      <c r="W51" s="46"/>
      <c r="X51" s="46"/>
      <c r="Y51" s="46"/>
      <c r="Z51" s="46"/>
      <c r="AA51" s="46"/>
      <c r="AB51" s="46"/>
      <c r="AD51" s="53"/>
      <c r="AE51" s="53"/>
      <c r="AF51" s="53"/>
      <c r="AG51" s="53"/>
      <c r="AH51" s="53"/>
      <c r="AI51" s="53"/>
      <c r="AJ51" s="53"/>
      <c r="AK51" s="53"/>
      <c r="AL51" s="53"/>
      <c r="AM51" s="54"/>
      <c r="AN51" s="54"/>
      <c r="AO51" s="54"/>
      <c r="AP51" s="54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>
      <c r="A52" s="90"/>
      <c r="B52" s="46"/>
      <c r="C52" s="46"/>
      <c r="D52" s="46"/>
      <c r="E52" s="46"/>
      <c r="F52" s="48"/>
      <c r="G52" s="48"/>
      <c r="H52" s="48"/>
      <c r="I52" s="48"/>
      <c r="J52" s="90"/>
      <c r="K52" s="50"/>
      <c r="L52" s="50"/>
      <c r="M52" s="50"/>
      <c r="N52" s="50"/>
      <c r="O52" s="91"/>
      <c r="P52" s="48"/>
      <c r="Q52" s="48"/>
      <c r="R52" s="48"/>
      <c r="S52" s="48"/>
      <c r="T52" s="90"/>
      <c r="U52" s="46"/>
      <c r="V52" s="46"/>
      <c r="W52" s="46"/>
      <c r="X52" s="46"/>
      <c r="Y52" s="46"/>
      <c r="Z52" s="46"/>
      <c r="AA52" s="46"/>
      <c r="AB52" s="46"/>
      <c r="AD52" s="53"/>
      <c r="AE52" s="53"/>
      <c r="AF52" s="53"/>
      <c r="AG52" s="53"/>
      <c r="AH52" s="53"/>
      <c r="AI52" s="53"/>
      <c r="AJ52" s="53"/>
      <c r="AK52" s="53"/>
      <c r="AL52" s="53"/>
      <c r="AM52" s="54"/>
      <c r="AN52" s="54"/>
      <c r="AO52" s="54"/>
      <c r="AP52" s="54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>
      <c r="A53" s="90"/>
      <c r="B53" s="46"/>
      <c r="C53" s="46"/>
      <c r="D53" s="46"/>
      <c r="E53" s="46"/>
      <c r="F53" s="48"/>
      <c r="G53" s="48"/>
      <c r="H53" s="48"/>
      <c r="I53" s="48"/>
      <c r="J53" s="90"/>
      <c r="K53" s="50"/>
      <c r="L53" s="50"/>
      <c r="M53" s="50"/>
      <c r="N53" s="50"/>
      <c r="O53" s="91"/>
      <c r="P53" s="48"/>
      <c r="Q53" s="48"/>
      <c r="R53" s="48"/>
      <c r="S53" s="48"/>
      <c r="T53" s="90"/>
      <c r="U53" s="46"/>
      <c r="V53" s="46"/>
      <c r="W53" s="46"/>
      <c r="X53" s="46"/>
      <c r="Y53" s="46"/>
      <c r="Z53" s="46"/>
      <c r="AA53" s="46"/>
      <c r="AB53" s="46"/>
      <c r="AD53" s="53"/>
      <c r="AE53" s="53"/>
      <c r="AF53" s="53"/>
      <c r="AG53" s="53"/>
      <c r="AH53" s="53"/>
      <c r="AI53" s="53"/>
      <c r="AJ53" s="53"/>
      <c r="AK53" s="53"/>
      <c r="AL53" s="53"/>
      <c r="AM53" s="54"/>
      <c r="AN53" s="54"/>
      <c r="AO53" s="54"/>
      <c r="AP53" s="54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>
      <c r="A54" s="90"/>
      <c r="B54" s="46"/>
      <c r="C54" s="46"/>
      <c r="D54" s="46"/>
      <c r="E54" s="46"/>
      <c r="F54" s="48"/>
      <c r="G54" s="48"/>
      <c r="H54" s="48"/>
      <c r="I54" s="48"/>
      <c r="J54" s="90"/>
      <c r="K54" s="50"/>
      <c r="L54" s="50"/>
      <c r="M54" s="50"/>
      <c r="N54" s="50"/>
      <c r="O54" s="91"/>
      <c r="P54" s="48"/>
      <c r="Q54" s="48"/>
      <c r="R54" s="48"/>
      <c r="S54" s="48"/>
      <c r="T54" s="90"/>
      <c r="U54" s="46"/>
      <c r="V54" s="46"/>
      <c r="W54" s="46"/>
      <c r="X54" s="46"/>
      <c r="Y54" s="46"/>
      <c r="Z54" s="46"/>
      <c r="AA54" s="46"/>
      <c r="AB54" s="46"/>
      <c r="AD54" s="53"/>
      <c r="AE54" s="53"/>
      <c r="AF54" s="53"/>
      <c r="AG54" s="53"/>
      <c r="AH54" s="53"/>
      <c r="AI54" s="53"/>
      <c r="AJ54" s="53"/>
      <c r="AK54" s="53"/>
      <c r="AL54" s="53"/>
      <c r="AM54" s="54"/>
      <c r="AN54" s="54"/>
      <c r="AO54" s="54"/>
      <c r="AP54" s="54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>
      <c r="A55" s="90"/>
      <c r="B55" s="46"/>
      <c r="C55" s="46"/>
      <c r="D55" s="46"/>
      <c r="E55" s="46"/>
      <c r="F55" s="48"/>
      <c r="G55" s="48"/>
      <c r="H55" s="48"/>
      <c r="I55" s="48"/>
      <c r="J55" s="90"/>
      <c r="K55" s="50"/>
      <c r="L55" s="50"/>
      <c r="M55" s="50"/>
      <c r="N55" s="50"/>
      <c r="O55" s="91"/>
      <c r="P55" s="48"/>
      <c r="Q55" s="48"/>
      <c r="R55" s="48"/>
      <c r="S55" s="48"/>
      <c r="T55" s="90"/>
      <c r="U55" s="46"/>
      <c r="V55" s="46"/>
      <c r="W55" s="46"/>
      <c r="X55" s="46"/>
      <c r="Y55" s="46"/>
      <c r="Z55" s="46"/>
      <c r="AA55" s="46"/>
      <c r="AB55" s="46"/>
      <c r="AD55" s="53"/>
      <c r="AE55" s="53"/>
      <c r="AF55" s="53"/>
      <c r="AG55" s="53"/>
      <c r="AH55" s="53"/>
      <c r="AI55" s="53"/>
      <c r="AJ55" s="53"/>
      <c r="AK55" s="53"/>
      <c r="AL55" s="53"/>
      <c r="AM55" s="54"/>
      <c r="AN55" s="54"/>
      <c r="AO55" s="54"/>
      <c r="AP55" s="54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>
      <c r="A56" s="90"/>
      <c r="B56" s="46"/>
      <c r="C56" s="46"/>
      <c r="D56" s="46"/>
      <c r="E56" s="46"/>
      <c r="F56" s="48"/>
      <c r="G56" s="48"/>
      <c r="H56" s="48"/>
      <c r="I56" s="48"/>
      <c r="J56" s="90"/>
      <c r="K56" s="50"/>
      <c r="L56" s="50"/>
      <c r="M56" s="50"/>
      <c r="N56" s="50"/>
      <c r="O56" s="91"/>
      <c r="P56" s="48"/>
      <c r="Q56" s="48"/>
      <c r="R56" s="48"/>
      <c r="S56" s="48"/>
      <c r="T56" s="90"/>
      <c r="U56" s="46"/>
      <c r="V56" s="46"/>
      <c r="W56" s="46"/>
      <c r="X56" s="46"/>
      <c r="Y56" s="46"/>
      <c r="Z56" s="46"/>
      <c r="AA56" s="46"/>
      <c r="AB56" s="46"/>
      <c r="AD56" s="53"/>
      <c r="AE56" s="53"/>
      <c r="AF56" s="53"/>
      <c r="AG56" s="53"/>
      <c r="AH56" s="53"/>
      <c r="AI56" s="53"/>
      <c r="AJ56" s="53"/>
      <c r="AK56" s="53"/>
      <c r="AL56" s="53"/>
      <c r="AM56" s="54"/>
      <c r="AN56" s="54"/>
      <c r="AO56" s="54"/>
      <c r="AP56" s="54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>
      <c r="A57" s="90"/>
      <c r="B57" s="46"/>
      <c r="C57" s="46"/>
      <c r="D57" s="46"/>
      <c r="E57" s="46"/>
      <c r="F57" s="48"/>
      <c r="G57" s="48"/>
      <c r="H57" s="48"/>
      <c r="I57" s="48"/>
      <c r="J57" s="90"/>
      <c r="K57" s="50"/>
      <c r="L57" s="50"/>
      <c r="M57" s="50"/>
      <c r="N57" s="50"/>
      <c r="O57" s="91"/>
      <c r="P57" s="48"/>
      <c r="Q57" s="48"/>
      <c r="R57" s="48"/>
      <c r="S57" s="48"/>
      <c r="T57" s="90"/>
      <c r="U57" s="46"/>
      <c r="V57" s="46"/>
      <c r="W57" s="46"/>
      <c r="X57" s="46"/>
      <c r="Y57" s="46"/>
      <c r="Z57" s="46"/>
      <c r="AA57" s="46"/>
      <c r="AB57" s="46"/>
      <c r="AD57" s="53"/>
      <c r="AE57" s="53"/>
      <c r="AF57" s="53"/>
      <c r="AG57" s="53"/>
      <c r="AH57" s="53"/>
      <c r="AI57" s="53"/>
      <c r="AJ57" s="53"/>
      <c r="AK57" s="53"/>
      <c r="AL57" s="53"/>
      <c r="AM57" s="54"/>
      <c r="AN57" s="54"/>
      <c r="AO57" s="54"/>
      <c r="AP57" s="54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>
      <c r="A58" s="90"/>
      <c r="B58" s="46"/>
      <c r="C58" s="46"/>
      <c r="D58" s="46"/>
      <c r="E58" s="46"/>
      <c r="F58" s="48"/>
      <c r="G58" s="48"/>
      <c r="H58" s="48"/>
      <c r="I58" s="48"/>
      <c r="J58" s="90"/>
      <c r="K58" s="50"/>
      <c r="L58" s="50"/>
      <c r="M58" s="50"/>
      <c r="N58" s="50"/>
      <c r="O58" s="91"/>
      <c r="P58" s="48"/>
      <c r="Q58" s="48"/>
      <c r="R58" s="48"/>
      <c r="S58" s="48"/>
      <c r="T58" s="90"/>
      <c r="U58" s="46"/>
      <c r="V58" s="46"/>
      <c r="W58" s="46"/>
      <c r="X58" s="46"/>
      <c r="Y58" s="46"/>
      <c r="Z58" s="46"/>
      <c r="AA58" s="46"/>
      <c r="AB58" s="46"/>
      <c r="AD58" s="53"/>
      <c r="AE58" s="53"/>
      <c r="AF58" s="53"/>
      <c r="AG58" s="53"/>
      <c r="AH58" s="53"/>
      <c r="AI58" s="53"/>
      <c r="AJ58" s="53"/>
      <c r="AK58" s="53"/>
      <c r="AL58" s="53"/>
      <c r="AM58" s="54"/>
      <c r="AN58" s="54"/>
      <c r="AO58" s="54"/>
      <c r="AP58" s="54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>
      <c r="A59" s="90"/>
      <c r="B59" s="46"/>
      <c r="C59" s="46"/>
      <c r="D59" s="46"/>
      <c r="E59" s="46"/>
      <c r="F59" s="48"/>
      <c r="G59" s="48"/>
      <c r="H59" s="48"/>
      <c r="I59" s="48"/>
      <c r="J59" s="90"/>
      <c r="K59" s="50"/>
      <c r="L59" s="50"/>
      <c r="M59" s="50"/>
      <c r="N59" s="50"/>
      <c r="O59" s="91"/>
      <c r="P59" s="48"/>
      <c r="Q59" s="48"/>
      <c r="R59" s="48"/>
      <c r="S59" s="48"/>
      <c r="T59" s="90"/>
      <c r="U59" s="46"/>
      <c r="V59" s="46"/>
      <c r="W59" s="46"/>
      <c r="X59" s="46"/>
      <c r="Y59" s="46"/>
      <c r="Z59" s="46"/>
      <c r="AA59" s="46"/>
      <c r="AB59" s="46"/>
      <c r="AD59" s="53"/>
      <c r="AE59" s="53"/>
      <c r="AF59" s="53"/>
      <c r="AG59" s="53"/>
      <c r="AH59" s="53"/>
      <c r="AI59" s="53"/>
      <c r="AJ59" s="53"/>
      <c r="AK59" s="53"/>
      <c r="AL59" s="53"/>
      <c r="AM59" s="54"/>
      <c r="AN59" s="54"/>
      <c r="AO59" s="54"/>
      <c r="AP59" s="54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>
      <c r="A60" s="90"/>
      <c r="B60" s="46"/>
      <c r="C60" s="46"/>
      <c r="D60" s="46"/>
      <c r="E60" s="46"/>
      <c r="F60" s="48"/>
      <c r="G60" s="48"/>
      <c r="H60" s="48"/>
      <c r="I60" s="48"/>
      <c r="J60" s="90"/>
      <c r="K60" s="50"/>
      <c r="L60" s="50"/>
      <c r="M60" s="50"/>
      <c r="N60" s="50"/>
      <c r="O60" s="91"/>
      <c r="P60" s="48"/>
      <c r="Q60" s="48"/>
      <c r="R60" s="48"/>
      <c r="S60" s="48"/>
      <c r="T60" s="90"/>
      <c r="U60" s="46"/>
      <c r="V60" s="46"/>
      <c r="W60" s="46"/>
      <c r="X60" s="46"/>
      <c r="Y60" s="46"/>
      <c r="Z60" s="46"/>
      <c r="AA60" s="46"/>
      <c r="AB60" s="46"/>
      <c r="AD60" s="53"/>
      <c r="AE60" s="53"/>
      <c r="AF60" s="53"/>
      <c r="AG60" s="53"/>
      <c r="AH60" s="53"/>
      <c r="AI60" s="53"/>
      <c r="AJ60" s="53"/>
      <c r="AK60" s="53"/>
      <c r="AL60" s="53"/>
      <c r="AM60" s="54"/>
      <c r="AN60" s="54"/>
      <c r="AO60" s="54"/>
      <c r="AP60" s="54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>
      <c r="A61" s="90"/>
      <c r="B61" s="46"/>
      <c r="C61" s="46"/>
      <c r="D61" s="46"/>
      <c r="E61" s="46"/>
      <c r="F61" s="48"/>
      <c r="G61" s="48"/>
      <c r="H61" s="48"/>
      <c r="I61" s="48"/>
      <c r="J61" s="90"/>
      <c r="K61" s="50"/>
      <c r="L61" s="50"/>
      <c r="M61" s="50"/>
      <c r="N61" s="50"/>
      <c r="O61" s="91"/>
      <c r="P61" s="48"/>
      <c r="Q61" s="48"/>
      <c r="R61" s="48"/>
      <c r="S61" s="48"/>
      <c r="T61" s="90"/>
      <c r="U61" s="46"/>
      <c r="V61" s="46"/>
      <c r="W61" s="46"/>
      <c r="X61" s="46"/>
      <c r="Y61" s="46"/>
      <c r="Z61" s="46"/>
      <c r="AA61" s="46"/>
      <c r="AB61" s="46"/>
      <c r="AD61" s="53"/>
      <c r="AE61" s="53"/>
      <c r="AF61" s="53"/>
      <c r="AG61" s="53"/>
      <c r="AH61" s="53"/>
      <c r="AI61" s="53"/>
      <c r="AJ61" s="53"/>
      <c r="AK61" s="53"/>
      <c r="AL61" s="53"/>
      <c r="AM61" s="54"/>
      <c r="AN61" s="54"/>
      <c r="AO61" s="54"/>
      <c r="AP61" s="54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>
      <c r="A62" s="90"/>
      <c r="B62" s="46"/>
      <c r="C62" s="46"/>
      <c r="D62" s="46"/>
      <c r="E62" s="46"/>
      <c r="F62" s="48"/>
      <c r="G62" s="48"/>
      <c r="H62" s="48"/>
      <c r="I62" s="48"/>
      <c r="J62" s="90"/>
      <c r="K62" s="50"/>
      <c r="L62" s="50"/>
      <c r="M62" s="50"/>
      <c r="N62" s="50"/>
      <c r="O62" s="91"/>
      <c r="P62" s="48"/>
      <c r="Q62" s="48"/>
      <c r="R62" s="48"/>
      <c r="S62" s="48"/>
      <c r="T62" s="90"/>
      <c r="U62" s="46"/>
      <c r="V62" s="46"/>
      <c r="W62" s="46"/>
      <c r="X62" s="46"/>
      <c r="Y62" s="46"/>
      <c r="Z62" s="46"/>
      <c r="AA62" s="46"/>
      <c r="AB62" s="46"/>
      <c r="AD62" s="53"/>
      <c r="AE62" s="53"/>
      <c r="AF62" s="53"/>
      <c r="AG62" s="53"/>
      <c r="AH62" s="53"/>
      <c r="AI62" s="53"/>
      <c r="AJ62" s="53"/>
      <c r="AK62" s="53"/>
      <c r="AL62" s="53"/>
      <c r="AM62" s="54"/>
      <c r="AN62" s="54"/>
      <c r="AO62" s="54"/>
      <c r="AP62" s="54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>
      <c r="A63" s="90"/>
      <c r="B63" s="46"/>
      <c r="C63" s="46"/>
      <c r="D63" s="46"/>
      <c r="E63" s="46"/>
      <c r="F63" s="48"/>
      <c r="G63" s="48"/>
      <c r="H63" s="48"/>
      <c r="I63" s="48"/>
      <c r="J63" s="90"/>
      <c r="K63" s="50"/>
      <c r="L63" s="50"/>
      <c r="M63" s="50"/>
      <c r="N63" s="50"/>
      <c r="O63" s="91"/>
      <c r="P63" s="48"/>
      <c r="Q63" s="48"/>
      <c r="R63" s="48"/>
      <c r="S63" s="48"/>
      <c r="T63" s="90"/>
      <c r="U63" s="46"/>
      <c r="V63" s="46"/>
      <c r="W63" s="46"/>
      <c r="X63" s="46"/>
      <c r="Y63" s="46"/>
      <c r="Z63" s="46"/>
      <c r="AA63" s="46"/>
      <c r="AB63" s="46"/>
      <c r="AD63" s="53"/>
      <c r="AE63" s="53"/>
      <c r="AF63" s="53"/>
      <c r="AG63" s="53"/>
      <c r="AH63" s="53"/>
      <c r="AI63" s="53"/>
      <c r="AJ63" s="53"/>
      <c r="AK63" s="53"/>
      <c r="AL63" s="53"/>
      <c r="AM63" s="54"/>
      <c r="AN63" s="54"/>
      <c r="AO63" s="54"/>
      <c r="AP63" s="54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>
      <c r="A64" s="90"/>
      <c r="B64" s="46"/>
      <c r="C64" s="46"/>
      <c r="D64" s="46"/>
      <c r="E64" s="46"/>
      <c r="F64" s="48"/>
      <c r="G64" s="48"/>
      <c r="H64" s="48"/>
      <c r="I64" s="48"/>
      <c r="J64" s="90"/>
      <c r="K64" s="50"/>
      <c r="L64" s="50"/>
      <c r="M64" s="50"/>
      <c r="N64" s="50"/>
      <c r="O64" s="91"/>
      <c r="P64" s="48"/>
      <c r="Q64" s="48"/>
      <c r="R64" s="48"/>
      <c r="S64" s="48"/>
      <c r="T64" s="90"/>
      <c r="U64" s="46"/>
      <c r="V64" s="46"/>
      <c r="W64" s="46"/>
      <c r="X64" s="46"/>
      <c r="Y64" s="46"/>
      <c r="Z64" s="46"/>
      <c r="AA64" s="46"/>
      <c r="AB64" s="46"/>
      <c r="AD64" s="53"/>
      <c r="AE64" s="53"/>
      <c r="AF64" s="53"/>
      <c r="AG64" s="53"/>
      <c r="AH64" s="53"/>
      <c r="AI64" s="53"/>
      <c r="AJ64" s="53"/>
      <c r="AK64" s="53"/>
      <c r="AL64" s="53"/>
      <c r="AM64" s="54"/>
      <c r="AN64" s="54"/>
      <c r="AO64" s="54"/>
      <c r="AP64" s="54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1:56">
      <c r="A65" s="90"/>
      <c r="B65" s="46"/>
      <c r="C65" s="46"/>
      <c r="D65" s="46"/>
      <c r="E65" s="46"/>
      <c r="F65" s="48"/>
      <c r="G65" s="48"/>
      <c r="H65" s="48"/>
      <c r="I65" s="48"/>
      <c r="J65" s="90"/>
      <c r="K65" s="50"/>
      <c r="L65" s="50"/>
      <c r="M65" s="50"/>
      <c r="N65" s="50"/>
      <c r="O65" s="91"/>
      <c r="P65" s="48"/>
      <c r="Q65" s="48"/>
      <c r="R65" s="48"/>
      <c r="S65" s="48"/>
      <c r="T65" s="90"/>
      <c r="U65" s="46"/>
      <c r="V65" s="46"/>
      <c r="W65" s="46"/>
      <c r="X65" s="46"/>
      <c r="Y65" s="46"/>
      <c r="Z65" s="46"/>
      <c r="AA65" s="46"/>
      <c r="AB65" s="46"/>
      <c r="AD65" s="53"/>
      <c r="AE65" s="53"/>
      <c r="AF65" s="53"/>
      <c r="AG65" s="53"/>
      <c r="AH65" s="53"/>
      <c r="AI65" s="53"/>
      <c r="AJ65" s="53"/>
      <c r="AK65" s="53"/>
      <c r="AL65" s="53"/>
      <c r="AM65" s="54"/>
      <c r="AN65" s="54"/>
      <c r="AO65" s="54"/>
      <c r="AP65" s="54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1:56">
      <c r="A66" s="90"/>
      <c r="B66" s="46"/>
      <c r="C66" s="46"/>
      <c r="D66" s="46"/>
      <c r="E66" s="46"/>
      <c r="F66" s="48"/>
      <c r="G66" s="48"/>
      <c r="H66" s="48"/>
      <c r="I66" s="48"/>
      <c r="J66" s="90"/>
      <c r="K66" s="50"/>
      <c r="L66" s="50"/>
      <c r="M66" s="50"/>
      <c r="N66" s="50"/>
      <c r="O66" s="91"/>
      <c r="P66" s="48"/>
      <c r="Q66" s="48"/>
      <c r="R66" s="48"/>
      <c r="S66" s="48"/>
      <c r="T66" s="90"/>
      <c r="U66" s="46"/>
      <c r="V66" s="46"/>
      <c r="W66" s="46"/>
      <c r="X66" s="46"/>
      <c r="Y66" s="46"/>
      <c r="Z66" s="46"/>
      <c r="AA66" s="46"/>
      <c r="AB66" s="46"/>
      <c r="AD66" s="53"/>
      <c r="AE66" s="53"/>
      <c r="AF66" s="53"/>
      <c r="AG66" s="53"/>
      <c r="AH66" s="53"/>
      <c r="AI66" s="53"/>
      <c r="AJ66" s="53"/>
      <c r="AK66" s="53"/>
      <c r="AL66" s="53"/>
      <c r="AM66" s="54"/>
      <c r="AN66" s="54"/>
      <c r="AO66" s="54"/>
      <c r="AP66" s="54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1:56">
      <c r="A67" s="90"/>
      <c r="B67" s="46"/>
      <c r="C67" s="46"/>
      <c r="D67" s="46"/>
      <c r="E67" s="46"/>
      <c r="F67" s="48"/>
      <c r="G67" s="48"/>
      <c r="H67" s="48"/>
      <c r="I67" s="48"/>
      <c r="J67" s="90"/>
      <c r="K67" s="50"/>
      <c r="L67" s="50"/>
      <c r="M67" s="50"/>
      <c r="N67" s="50"/>
      <c r="O67" s="91"/>
      <c r="P67" s="48"/>
      <c r="Q67" s="48"/>
      <c r="R67" s="48"/>
      <c r="S67" s="48"/>
      <c r="T67" s="90"/>
      <c r="U67" s="46"/>
      <c r="V67" s="46"/>
      <c r="W67" s="46"/>
      <c r="X67" s="46"/>
      <c r="Y67" s="46"/>
      <c r="Z67" s="46"/>
      <c r="AA67" s="46"/>
      <c r="AB67" s="46"/>
      <c r="AD67" s="53"/>
      <c r="AE67" s="53"/>
      <c r="AF67" s="53"/>
      <c r="AG67" s="53"/>
      <c r="AH67" s="53"/>
      <c r="AI67" s="53"/>
      <c r="AJ67" s="53"/>
      <c r="AK67" s="53"/>
      <c r="AL67" s="53"/>
      <c r="AM67" s="54"/>
      <c r="AN67" s="54"/>
      <c r="AO67" s="54"/>
      <c r="AP67" s="54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1:56">
      <c r="A68" s="90"/>
      <c r="B68" s="46"/>
      <c r="C68" s="46"/>
      <c r="D68" s="46"/>
      <c r="E68" s="46"/>
      <c r="F68" s="48"/>
      <c r="G68" s="48"/>
      <c r="H68" s="48"/>
      <c r="I68" s="48"/>
      <c r="J68" s="90"/>
      <c r="K68" s="50"/>
      <c r="L68" s="50"/>
      <c r="M68" s="50"/>
      <c r="N68" s="50"/>
      <c r="O68" s="91"/>
      <c r="P68" s="48"/>
      <c r="Q68" s="48"/>
      <c r="R68" s="48"/>
      <c r="S68" s="48"/>
      <c r="T68" s="90"/>
      <c r="U68" s="46"/>
      <c r="V68" s="46"/>
      <c r="W68" s="46"/>
      <c r="X68" s="46"/>
      <c r="Y68" s="46"/>
      <c r="Z68" s="46"/>
      <c r="AA68" s="46"/>
      <c r="AB68" s="46"/>
      <c r="AD68" s="53"/>
      <c r="AE68" s="53"/>
      <c r="AF68" s="53"/>
      <c r="AG68" s="53"/>
      <c r="AH68" s="53"/>
      <c r="AI68" s="53"/>
      <c r="AJ68" s="53"/>
      <c r="AK68" s="53"/>
      <c r="AL68" s="53"/>
      <c r="AM68" s="54"/>
      <c r="AN68" s="54"/>
      <c r="AO68" s="54"/>
      <c r="AP68" s="54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1:56">
      <c r="A69" s="90"/>
      <c r="B69" s="46"/>
      <c r="C69" s="46"/>
      <c r="D69" s="46"/>
      <c r="E69" s="46"/>
      <c r="F69" s="48"/>
      <c r="G69" s="48"/>
      <c r="H69" s="48"/>
      <c r="I69" s="48"/>
      <c r="J69" s="90"/>
      <c r="K69" s="50"/>
      <c r="L69" s="50"/>
      <c r="M69" s="50"/>
      <c r="N69" s="50"/>
      <c r="O69" s="91"/>
      <c r="P69" s="48"/>
      <c r="Q69" s="48"/>
      <c r="R69" s="48"/>
      <c r="S69" s="48"/>
      <c r="T69" s="90"/>
      <c r="U69" s="46"/>
      <c r="V69" s="46"/>
      <c r="W69" s="46"/>
      <c r="X69" s="46"/>
      <c r="Y69" s="46"/>
      <c r="Z69" s="46"/>
      <c r="AA69" s="46"/>
      <c r="AB69" s="46"/>
      <c r="AD69" s="53"/>
      <c r="AE69" s="53"/>
      <c r="AF69" s="53"/>
      <c r="AG69" s="53"/>
      <c r="AH69" s="53"/>
      <c r="AI69" s="53"/>
      <c r="AJ69" s="53"/>
      <c r="AK69" s="53"/>
      <c r="AL69" s="53"/>
      <c r="AM69" s="54"/>
      <c r="AN69" s="54"/>
      <c r="AO69" s="54"/>
      <c r="AP69" s="54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1:56">
      <c r="A70" s="90"/>
      <c r="B70" s="46"/>
      <c r="C70" s="46"/>
      <c r="D70" s="46"/>
      <c r="E70" s="46"/>
      <c r="F70" s="48"/>
      <c r="G70" s="48"/>
      <c r="H70" s="48"/>
      <c r="I70" s="48"/>
      <c r="J70" s="90"/>
      <c r="K70" s="50"/>
      <c r="L70" s="50"/>
      <c r="M70" s="50"/>
      <c r="N70" s="50"/>
      <c r="O70" s="91"/>
      <c r="P70" s="48"/>
      <c r="Q70" s="48"/>
      <c r="R70" s="48"/>
      <c r="S70" s="48"/>
      <c r="T70" s="90"/>
      <c r="U70" s="46"/>
      <c r="V70" s="46"/>
      <c r="W70" s="46"/>
      <c r="X70" s="46"/>
      <c r="Y70" s="46"/>
      <c r="Z70" s="46"/>
      <c r="AA70" s="46"/>
      <c r="AB70" s="46"/>
      <c r="AD70" s="53"/>
      <c r="AE70" s="53"/>
      <c r="AF70" s="53"/>
      <c r="AG70" s="53"/>
      <c r="AH70" s="53"/>
      <c r="AI70" s="53"/>
      <c r="AJ70" s="53"/>
      <c r="AK70" s="53"/>
      <c r="AL70" s="53"/>
      <c r="AM70" s="54"/>
      <c r="AN70" s="54"/>
      <c r="AO70" s="54"/>
      <c r="AP70" s="54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1:56">
      <c r="A71" s="90"/>
      <c r="B71" s="46"/>
      <c r="C71" s="46"/>
      <c r="D71" s="46"/>
      <c r="E71" s="46"/>
      <c r="F71" s="48"/>
      <c r="G71" s="48"/>
      <c r="H71" s="48"/>
      <c r="I71" s="48"/>
      <c r="J71" s="90"/>
      <c r="K71" s="50"/>
      <c r="L71" s="50"/>
      <c r="M71" s="50"/>
      <c r="N71" s="50"/>
      <c r="O71" s="91"/>
      <c r="P71" s="48"/>
      <c r="Q71" s="48"/>
      <c r="R71" s="48"/>
      <c r="S71" s="48"/>
      <c r="T71" s="90"/>
      <c r="U71" s="46"/>
      <c r="V71" s="46"/>
      <c r="W71" s="46"/>
      <c r="X71" s="46"/>
      <c r="Y71" s="46"/>
      <c r="Z71" s="46"/>
      <c r="AA71" s="46"/>
      <c r="AB71" s="46"/>
      <c r="AD71" s="53"/>
      <c r="AE71" s="53"/>
      <c r="AF71" s="53"/>
      <c r="AG71" s="53"/>
      <c r="AH71" s="53"/>
      <c r="AI71" s="53"/>
      <c r="AJ71" s="53"/>
      <c r="AK71" s="53"/>
      <c r="AL71" s="53"/>
      <c r="AM71" s="54"/>
      <c r="AN71" s="54"/>
      <c r="AO71" s="54"/>
      <c r="AP71" s="54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1:56">
      <c r="A72" s="90"/>
      <c r="B72" s="46"/>
      <c r="C72" s="46"/>
      <c r="D72" s="46"/>
      <c r="E72" s="46"/>
      <c r="F72" s="48"/>
      <c r="G72" s="48"/>
      <c r="H72" s="48"/>
      <c r="I72" s="48"/>
      <c r="J72" s="90"/>
      <c r="K72" s="50"/>
      <c r="L72" s="50"/>
      <c r="M72" s="50"/>
      <c r="N72" s="50"/>
      <c r="O72" s="91"/>
      <c r="P72" s="48"/>
      <c r="Q72" s="48"/>
      <c r="R72" s="48"/>
      <c r="S72" s="48"/>
      <c r="T72" s="90"/>
      <c r="U72" s="46"/>
      <c r="V72" s="46"/>
      <c r="W72" s="46"/>
      <c r="X72" s="46"/>
      <c r="Y72" s="46"/>
      <c r="Z72" s="46"/>
      <c r="AA72" s="46"/>
      <c r="AB72" s="46"/>
      <c r="AD72" s="53"/>
      <c r="AE72" s="53"/>
      <c r="AF72" s="53"/>
      <c r="AG72" s="53"/>
      <c r="AH72" s="53"/>
      <c r="AI72" s="53"/>
      <c r="AJ72" s="53"/>
      <c r="AK72" s="53"/>
      <c r="AL72" s="53"/>
      <c r="AM72" s="54"/>
      <c r="AN72" s="54"/>
      <c r="AO72" s="54"/>
      <c r="AP72" s="54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1:56">
      <c r="A73" s="90"/>
      <c r="B73" s="46"/>
      <c r="C73" s="46"/>
      <c r="D73" s="46"/>
      <c r="E73" s="46"/>
      <c r="F73" s="48"/>
      <c r="G73" s="48"/>
      <c r="H73" s="48"/>
      <c r="I73" s="48"/>
      <c r="J73" s="90"/>
      <c r="K73" s="50"/>
      <c r="L73" s="50"/>
      <c r="M73" s="50"/>
      <c r="N73" s="50"/>
      <c r="O73" s="91"/>
      <c r="P73" s="48"/>
      <c r="Q73" s="48"/>
      <c r="R73" s="48"/>
      <c r="S73" s="48"/>
      <c r="T73" s="90"/>
      <c r="U73" s="46"/>
      <c r="V73" s="46"/>
      <c r="W73" s="46"/>
      <c r="X73" s="46"/>
      <c r="Y73" s="46"/>
      <c r="Z73" s="46"/>
      <c r="AA73" s="46"/>
      <c r="AB73" s="46"/>
      <c r="AD73" s="53"/>
      <c r="AE73" s="53"/>
      <c r="AF73" s="53"/>
      <c r="AG73" s="53"/>
      <c r="AH73" s="53"/>
      <c r="AI73" s="53"/>
      <c r="AJ73" s="53"/>
      <c r="AK73" s="53"/>
      <c r="AL73" s="53"/>
      <c r="AM73" s="54"/>
      <c r="AN73" s="54"/>
      <c r="AO73" s="54"/>
      <c r="AP73" s="54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1:56">
      <c r="A74" s="90"/>
      <c r="B74" s="46"/>
      <c r="C74" s="46"/>
      <c r="D74" s="46"/>
      <c r="E74" s="46"/>
      <c r="F74" s="48"/>
      <c r="G74" s="48"/>
      <c r="H74" s="48"/>
      <c r="I74" s="48"/>
      <c r="J74" s="90"/>
      <c r="K74" s="50"/>
      <c r="L74" s="50"/>
      <c r="M74" s="50"/>
      <c r="N74" s="50"/>
      <c r="O74" s="91"/>
      <c r="P74" s="48"/>
      <c r="Q74" s="48"/>
      <c r="R74" s="48"/>
      <c r="S74" s="48"/>
      <c r="T74" s="90"/>
      <c r="U74" s="46"/>
      <c r="V74" s="46"/>
      <c r="W74" s="46"/>
      <c r="X74" s="46"/>
      <c r="Y74" s="46"/>
      <c r="Z74" s="46"/>
      <c r="AA74" s="46"/>
      <c r="AB74" s="46"/>
      <c r="AD74" s="53"/>
      <c r="AE74" s="53"/>
      <c r="AF74" s="53"/>
      <c r="AG74" s="53"/>
      <c r="AH74" s="53"/>
      <c r="AI74" s="53"/>
      <c r="AJ74" s="53"/>
      <c r="AK74" s="53"/>
      <c r="AL74" s="53"/>
      <c r="AM74" s="54"/>
      <c r="AN74" s="54"/>
      <c r="AO74" s="54"/>
      <c r="AP74" s="54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1:56">
      <c r="A75" s="90"/>
      <c r="B75" s="46"/>
      <c r="C75" s="46"/>
      <c r="D75" s="46"/>
      <c r="E75" s="46"/>
      <c r="F75" s="48"/>
      <c r="G75" s="48"/>
      <c r="H75" s="48"/>
      <c r="I75" s="48"/>
      <c r="J75" s="90"/>
      <c r="K75" s="50"/>
      <c r="L75" s="50"/>
      <c r="M75" s="50"/>
      <c r="N75" s="50"/>
      <c r="O75" s="91"/>
      <c r="P75" s="48"/>
      <c r="Q75" s="48"/>
      <c r="R75" s="48"/>
      <c r="S75" s="48"/>
      <c r="T75" s="90"/>
      <c r="U75" s="46"/>
      <c r="V75" s="46"/>
      <c r="W75" s="46"/>
      <c r="X75" s="46"/>
      <c r="Y75" s="46"/>
      <c r="Z75" s="46"/>
      <c r="AA75" s="46"/>
      <c r="AB75" s="46"/>
      <c r="AD75" s="53"/>
      <c r="AE75" s="53"/>
      <c r="AF75" s="53"/>
      <c r="AG75" s="53"/>
      <c r="AH75" s="53"/>
      <c r="AI75" s="53"/>
      <c r="AJ75" s="53"/>
      <c r="AK75" s="53"/>
      <c r="AL75" s="53"/>
      <c r="AM75" s="54"/>
      <c r="AN75" s="54"/>
      <c r="AO75" s="54"/>
      <c r="AP75" s="54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1:56">
      <c r="A76" s="90"/>
      <c r="B76" s="46"/>
      <c r="C76" s="46"/>
      <c r="D76" s="46"/>
      <c r="E76" s="46"/>
      <c r="F76" s="48"/>
      <c r="G76" s="48"/>
      <c r="H76" s="48"/>
      <c r="I76" s="48"/>
      <c r="J76" s="90"/>
      <c r="K76" s="50"/>
      <c r="L76" s="50"/>
      <c r="M76" s="50"/>
      <c r="N76" s="50"/>
      <c r="O76" s="91"/>
      <c r="P76" s="48"/>
      <c r="Q76" s="48"/>
      <c r="R76" s="48"/>
      <c r="S76" s="48"/>
      <c r="T76" s="90"/>
      <c r="U76" s="46"/>
      <c r="V76" s="46"/>
      <c r="W76" s="46"/>
      <c r="X76" s="46"/>
      <c r="Y76" s="46"/>
      <c r="Z76" s="46"/>
      <c r="AA76" s="46"/>
      <c r="AB76" s="46"/>
      <c r="AD76" s="53"/>
      <c r="AE76" s="53"/>
      <c r="AF76" s="53"/>
      <c r="AG76" s="53"/>
      <c r="AH76" s="53"/>
      <c r="AI76" s="53"/>
      <c r="AJ76" s="53"/>
      <c r="AK76" s="53"/>
      <c r="AL76" s="53"/>
      <c r="AM76" s="54"/>
      <c r="AN76" s="54"/>
      <c r="AO76" s="54"/>
      <c r="AP76" s="54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1:56">
      <c r="A77" s="90"/>
      <c r="B77" s="46"/>
      <c r="C77" s="46"/>
      <c r="D77" s="46"/>
      <c r="E77" s="46"/>
      <c r="F77" s="48"/>
      <c r="G77" s="48"/>
      <c r="H77" s="48"/>
      <c r="I77" s="48"/>
      <c r="J77" s="90"/>
      <c r="K77" s="50"/>
      <c r="L77" s="50"/>
      <c r="M77" s="50"/>
      <c r="N77" s="50"/>
      <c r="O77" s="91"/>
      <c r="P77" s="48"/>
      <c r="Q77" s="48"/>
      <c r="R77" s="48"/>
      <c r="S77" s="48"/>
      <c r="T77" s="90"/>
      <c r="U77" s="46"/>
      <c r="V77" s="46"/>
      <c r="W77" s="46"/>
      <c r="X77" s="46"/>
      <c r="Y77" s="46"/>
      <c r="Z77" s="46"/>
      <c r="AA77" s="46"/>
      <c r="AB77" s="46"/>
      <c r="AD77" s="53"/>
      <c r="AE77" s="53"/>
      <c r="AF77" s="53"/>
      <c r="AG77" s="53"/>
      <c r="AH77" s="53"/>
      <c r="AI77" s="53"/>
      <c r="AJ77" s="53"/>
      <c r="AK77" s="53"/>
      <c r="AL77" s="53"/>
      <c r="AM77" s="54"/>
      <c r="AN77" s="54"/>
      <c r="AO77" s="54"/>
      <c r="AP77" s="54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1:56">
      <c r="A78" s="90"/>
      <c r="B78" s="46"/>
      <c r="C78" s="46"/>
      <c r="D78" s="46"/>
      <c r="E78" s="46"/>
      <c r="F78" s="48"/>
      <c r="G78" s="48"/>
      <c r="H78" s="48"/>
      <c r="I78" s="48"/>
      <c r="J78" s="90"/>
      <c r="K78" s="50"/>
      <c r="L78" s="50"/>
      <c r="M78" s="50"/>
      <c r="N78" s="50"/>
      <c r="O78" s="91"/>
      <c r="P78" s="48"/>
      <c r="Q78" s="48"/>
      <c r="R78" s="48"/>
      <c r="S78" s="48"/>
      <c r="T78" s="90"/>
      <c r="U78" s="46"/>
      <c r="V78" s="46"/>
      <c r="W78" s="46"/>
      <c r="X78" s="46"/>
      <c r="Y78" s="46"/>
      <c r="Z78" s="46"/>
      <c r="AA78" s="46"/>
      <c r="AB78" s="46"/>
      <c r="AD78" s="53"/>
      <c r="AE78" s="53"/>
      <c r="AF78" s="53"/>
      <c r="AG78" s="53"/>
      <c r="AH78" s="53"/>
      <c r="AI78" s="53"/>
      <c r="AJ78" s="53"/>
      <c r="AK78" s="53"/>
      <c r="AL78" s="53"/>
      <c r="AM78" s="54"/>
      <c r="AN78" s="54"/>
      <c r="AO78" s="54"/>
      <c r="AP78" s="54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1:56">
      <c r="A79" s="90"/>
      <c r="B79" s="46"/>
      <c r="C79" s="46"/>
      <c r="D79" s="46"/>
      <c r="E79" s="46"/>
      <c r="F79" s="48"/>
      <c r="G79" s="48"/>
      <c r="H79" s="48"/>
      <c r="I79" s="48"/>
      <c r="J79" s="90"/>
      <c r="K79" s="50"/>
      <c r="L79" s="50"/>
      <c r="M79" s="50"/>
      <c r="N79" s="50"/>
      <c r="O79" s="91"/>
      <c r="P79" s="48"/>
      <c r="Q79" s="48"/>
      <c r="R79" s="48"/>
      <c r="S79" s="48"/>
      <c r="T79" s="90"/>
      <c r="U79" s="46"/>
      <c r="V79" s="46"/>
      <c r="W79" s="46"/>
      <c r="X79" s="46"/>
      <c r="Y79" s="46"/>
      <c r="Z79" s="46"/>
      <c r="AA79" s="46"/>
      <c r="AB79" s="46"/>
      <c r="AD79" s="53"/>
      <c r="AE79" s="53"/>
      <c r="AF79" s="53"/>
      <c r="AG79" s="53"/>
      <c r="AH79" s="53"/>
      <c r="AI79" s="53"/>
      <c r="AJ79" s="53"/>
      <c r="AK79" s="53"/>
      <c r="AL79" s="53"/>
      <c r="AM79" s="54"/>
      <c r="AN79" s="54"/>
      <c r="AO79" s="54"/>
      <c r="AP79" s="54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1:56">
      <c r="A80" s="90"/>
      <c r="B80" s="46"/>
      <c r="C80" s="46"/>
      <c r="D80" s="46"/>
      <c r="E80" s="46"/>
      <c r="F80" s="48"/>
      <c r="G80" s="48"/>
      <c r="H80" s="48"/>
      <c r="I80" s="48"/>
      <c r="J80" s="90"/>
      <c r="K80" s="50"/>
      <c r="L80" s="50"/>
      <c r="M80" s="50"/>
      <c r="N80" s="50"/>
      <c r="O80" s="91"/>
      <c r="P80" s="48"/>
      <c r="Q80" s="48"/>
      <c r="R80" s="48"/>
      <c r="S80" s="48"/>
      <c r="T80" s="90"/>
      <c r="U80" s="46"/>
      <c r="V80" s="46"/>
      <c r="W80" s="46"/>
      <c r="X80" s="46"/>
      <c r="Y80" s="46"/>
      <c r="Z80" s="46"/>
      <c r="AA80" s="46"/>
      <c r="AB80" s="46"/>
      <c r="AD80" s="53"/>
      <c r="AE80" s="53"/>
      <c r="AF80" s="53"/>
      <c r="AG80" s="53"/>
      <c r="AH80" s="53"/>
      <c r="AI80" s="53"/>
      <c r="AJ80" s="53"/>
      <c r="AK80" s="53"/>
      <c r="AL80" s="53"/>
      <c r="AM80" s="54"/>
      <c r="AN80" s="54"/>
      <c r="AO80" s="54"/>
      <c r="AP80" s="54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1:56">
      <c r="A81" s="90"/>
      <c r="B81" s="46"/>
      <c r="C81" s="46"/>
      <c r="D81" s="46"/>
      <c r="E81" s="46"/>
      <c r="F81" s="48"/>
      <c r="G81" s="48"/>
      <c r="H81" s="48"/>
      <c r="I81" s="48"/>
      <c r="J81" s="90"/>
      <c r="K81" s="50"/>
      <c r="L81" s="50"/>
      <c r="M81" s="50"/>
      <c r="N81" s="50"/>
      <c r="O81" s="91"/>
      <c r="P81" s="48"/>
      <c r="Q81" s="48"/>
      <c r="R81" s="48"/>
      <c r="S81" s="48"/>
      <c r="T81" s="90"/>
      <c r="U81" s="46"/>
      <c r="V81" s="46"/>
      <c r="W81" s="46"/>
      <c r="X81" s="46"/>
      <c r="Y81" s="46"/>
      <c r="Z81" s="46"/>
      <c r="AA81" s="46"/>
      <c r="AB81" s="46"/>
      <c r="AD81" s="53"/>
      <c r="AE81" s="53"/>
      <c r="AF81" s="53"/>
      <c r="AG81" s="53"/>
      <c r="AH81" s="53"/>
      <c r="AI81" s="53"/>
      <c r="AJ81" s="53"/>
      <c r="AK81" s="53"/>
      <c r="AL81" s="53"/>
      <c r="AM81" s="54"/>
      <c r="AN81" s="54"/>
      <c r="AO81" s="54"/>
      <c r="AP81" s="54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1:56">
      <c r="A82" s="90"/>
      <c r="B82" s="46"/>
      <c r="C82" s="46"/>
      <c r="D82" s="46"/>
      <c r="E82" s="46"/>
      <c r="F82" s="48"/>
      <c r="G82" s="48"/>
      <c r="H82" s="48"/>
      <c r="I82" s="48"/>
      <c r="J82" s="90"/>
      <c r="K82" s="50"/>
      <c r="L82" s="50"/>
      <c r="M82" s="50"/>
      <c r="N82" s="50"/>
      <c r="O82" s="91"/>
      <c r="P82" s="48"/>
      <c r="Q82" s="48"/>
      <c r="R82" s="48"/>
      <c r="S82" s="48"/>
      <c r="T82" s="90"/>
      <c r="U82" s="46"/>
      <c r="V82" s="46"/>
      <c r="W82" s="46"/>
      <c r="X82" s="46"/>
      <c r="Y82" s="46"/>
      <c r="Z82" s="46"/>
      <c r="AA82" s="46"/>
      <c r="AB82" s="46"/>
      <c r="AD82" s="53"/>
      <c r="AE82" s="53"/>
      <c r="AF82" s="53"/>
      <c r="AG82" s="53"/>
      <c r="AH82" s="53"/>
      <c r="AI82" s="53"/>
      <c r="AJ82" s="53"/>
      <c r="AK82" s="53"/>
      <c r="AL82" s="53"/>
      <c r="AM82" s="54"/>
      <c r="AN82" s="54"/>
      <c r="AO82" s="54"/>
      <c r="AP82" s="54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1:56">
      <c r="A83" s="90"/>
      <c r="B83" s="46"/>
      <c r="C83" s="46"/>
      <c r="D83" s="46"/>
      <c r="E83" s="46"/>
      <c r="F83" s="48"/>
      <c r="G83" s="48"/>
      <c r="H83" s="48"/>
      <c r="I83" s="48"/>
      <c r="J83" s="90"/>
      <c r="K83" s="50"/>
      <c r="L83" s="50"/>
      <c r="M83" s="50"/>
      <c r="N83" s="50"/>
      <c r="O83" s="91"/>
      <c r="P83" s="48"/>
      <c r="Q83" s="48"/>
      <c r="R83" s="48"/>
      <c r="S83" s="48"/>
      <c r="T83" s="90"/>
      <c r="U83" s="46"/>
      <c r="V83" s="46"/>
      <c r="W83" s="46"/>
      <c r="X83" s="46"/>
      <c r="Y83" s="46"/>
      <c r="Z83" s="46"/>
      <c r="AA83" s="46"/>
      <c r="AB83" s="46"/>
      <c r="AD83" s="53"/>
      <c r="AE83" s="53"/>
      <c r="AF83" s="53"/>
      <c r="AG83" s="53"/>
      <c r="AH83" s="53"/>
      <c r="AI83" s="53"/>
      <c r="AJ83" s="53"/>
      <c r="AK83" s="53"/>
      <c r="AL83" s="53"/>
      <c r="AM83" s="54"/>
      <c r="AN83" s="54"/>
      <c r="AO83" s="54"/>
      <c r="AP83" s="54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1:56">
      <c r="A84" s="90"/>
      <c r="B84" s="46"/>
      <c r="C84" s="46"/>
      <c r="D84" s="46"/>
      <c r="E84" s="46"/>
      <c r="F84" s="48"/>
      <c r="G84" s="48"/>
      <c r="H84" s="48"/>
      <c r="I84" s="48"/>
      <c r="J84" s="90"/>
      <c r="K84" s="50"/>
      <c r="L84" s="50"/>
      <c r="M84" s="50"/>
      <c r="N84" s="50"/>
      <c r="O84" s="91"/>
      <c r="P84" s="48"/>
      <c r="Q84" s="48"/>
      <c r="R84" s="48"/>
      <c r="S84" s="48"/>
      <c r="T84" s="90"/>
      <c r="U84" s="46"/>
      <c r="V84" s="46"/>
      <c r="W84" s="46"/>
      <c r="X84" s="46"/>
      <c r="Y84" s="46"/>
      <c r="Z84" s="46"/>
      <c r="AA84" s="46"/>
      <c r="AB84" s="46"/>
      <c r="AD84" s="53"/>
      <c r="AE84" s="53"/>
      <c r="AF84" s="53"/>
      <c r="AG84" s="53"/>
      <c r="AH84" s="53"/>
      <c r="AI84" s="53"/>
      <c r="AJ84" s="53"/>
      <c r="AK84" s="53"/>
      <c r="AL84" s="53"/>
      <c r="AM84" s="54"/>
      <c r="AN84" s="54"/>
      <c r="AO84" s="54"/>
      <c r="AP84" s="54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1:56">
      <c r="A85" s="90"/>
      <c r="B85" s="46"/>
      <c r="C85" s="46"/>
      <c r="D85" s="46"/>
      <c r="E85" s="46"/>
      <c r="F85" s="48"/>
      <c r="G85" s="48"/>
      <c r="H85" s="48"/>
      <c r="I85" s="48"/>
      <c r="J85" s="90"/>
      <c r="K85" s="50"/>
      <c r="L85" s="50"/>
      <c r="M85" s="50"/>
      <c r="N85" s="50"/>
      <c r="O85" s="91"/>
      <c r="P85" s="48"/>
      <c r="Q85" s="48"/>
      <c r="R85" s="48"/>
      <c r="S85" s="48"/>
      <c r="T85" s="90"/>
      <c r="U85" s="46"/>
      <c r="V85" s="46"/>
      <c r="W85" s="46"/>
      <c r="X85" s="46"/>
      <c r="Y85" s="46"/>
      <c r="Z85" s="46"/>
      <c r="AA85" s="46"/>
      <c r="AB85" s="46"/>
      <c r="AD85" s="53"/>
      <c r="AE85" s="53"/>
      <c r="AF85" s="53"/>
      <c r="AG85" s="53"/>
      <c r="AH85" s="53"/>
      <c r="AI85" s="53"/>
      <c r="AJ85" s="53"/>
      <c r="AK85" s="53"/>
      <c r="AL85" s="53"/>
      <c r="AM85" s="54"/>
      <c r="AN85" s="54"/>
      <c r="AO85" s="54"/>
      <c r="AP85" s="54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1:56">
      <c r="A86" s="90"/>
      <c r="B86" s="46"/>
      <c r="C86" s="46"/>
      <c r="D86" s="46"/>
      <c r="E86" s="46"/>
      <c r="F86" s="48"/>
      <c r="G86" s="48"/>
      <c r="H86" s="48"/>
      <c r="I86" s="48"/>
      <c r="J86" s="90"/>
      <c r="K86" s="50"/>
      <c r="L86" s="50"/>
      <c r="M86" s="50"/>
      <c r="N86" s="50"/>
      <c r="O86" s="91"/>
      <c r="P86" s="48"/>
      <c r="Q86" s="48"/>
      <c r="R86" s="48"/>
      <c r="S86" s="48"/>
      <c r="T86" s="90"/>
      <c r="U86" s="46"/>
      <c r="V86" s="46"/>
      <c r="W86" s="46"/>
      <c r="X86" s="46"/>
      <c r="Y86" s="46"/>
      <c r="Z86" s="46"/>
      <c r="AA86" s="46"/>
      <c r="AB86" s="46"/>
      <c r="AD86" s="53"/>
      <c r="AE86" s="53"/>
      <c r="AF86" s="53"/>
      <c r="AG86" s="53"/>
      <c r="AH86" s="53"/>
      <c r="AI86" s="53"/>
      <c r="AJ86" s="53"/>
      <c r="AK86" s="53"/>
      <c r="AL86" s="53"/>
      <c r="AM86" s="54"/>
      <c r="AN86" s="54"/>
      <c r="AO86" s="54"/>
      <c r="AP86" s="54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1:56">
      <c r="A87" s="90"/>
      <c r="B87" s="46"/>
      <c r="C87" s="46"/>
      <c r="D87" s="46"/>
      <c r="E87" s="46"/>
      <c r="F87" s="48"/>
      <c r="G87" s="48"/>
      <c r="H87" s="48"/>
      <c r="I87" s="48"/>
      <c r="J87" s="90"/>
      <c r="K87" s="50"/>
      <c r="L87" s="50"/>
      <c r="M87" s="50"/>
      <c r="N87" s="50"/>
      <c r="O87" s="91"/>
      <c r="P87" s="48"/>
      <c r="Q87" s="48"/>
      <c r="R87" s="48"/>
      <c r="S87" s="48"/>
      <c r="T87" s="90"/>
      <c r="U87" s="46"/>
      <c r="V87" s="46"/>
      <c r="W87" s="46"/>
      <c r="X87" s="46"/>
      <c r="Y87" s="46"/>
      <c r="Z87" s="46"/>
      <c r="AA87" s="46"/>
      <c r="AB87" s="46"/>
      <c r="AD87" s="53"/>
      <c r="AE87" s="53"/>
      <c r="AF87" s="53"/>
      <c r="AG87" s="53"/>
      <c r="AH87" s="53"/>
      <c r="AI87" s="53"/>
      <c r="AJ87" s="53"/>
      <c r="AK87" s="53"/>
      <c r="AL87" s="53"/>
      <c r="AM87" s="54"/>
      <c r="AN87" s="54"/>
      <c r="AO87" s="54"/>
      <c r="AP87" s="54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</sheetData>
  <mergeCells count="6">
    <mergeCell ref="A29:H34"/>
    <mergeCell ref="Y38:AB38"/>
    <mergeCell ref="K38:N38"/>
    <mergeCell ref="O38:O39"/>
    <mergeCell ref="P38:S38"/>
    <mergeCell ref="U38:X38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BDAF-B08C-4581-9095-A1BD2C1393CE}">
  <dimension ref="A1:G4"/>
  <sheetViews>
    <sheetView workbookViewId="0">
      <selection activeCell="F66" sqref="F66"/>
    </sheetView>
  </sheetViews>
  <sheetFormatPr defaultRowHeight="13.5"/>
  <cols>
    <col min="1" max="1" width="17.75" customWidth="1"/>
    <col min="2" max="2" width="11.375" customWidth="1"/>
  </cols>
  <sheetData>
    <row r="1" spans="1:7">
      <c r="A1" s="92" t="s">
        <v>81</v>
      </c>
    </row>
    <row r="2" spans="1:7" ht="14.25" thickBot="1"/>
    <row r="3" spans="1:7" ht="14.25" thickBot="1">
      <c r="A3" s="142" t="s">
        <v>82</v>
      </c>
      <c r="B3" s="143" t="s">
        <v>83</v>
      </c>
      <c r="C3" s="143" t="s">
        <v>84</v>
      </c>
      <c r="D3" s="144" t="s">
        <v>85</v>
      </c>
      <c r="E3" s="144" t="s">
        <v>86</v>
      </c>
      <c r="F3" s="144" t="s">
        <v>87</v>
      </c>
      <c r="G3" s="144" t="s">
        <v>88</v>
      </c>
    </row>
    <row r="4" spans="1:7" ht="14.25" thickBot="1">
      <c r="A4" s="145" t="s">
        <v>89</v>
      </c>
      <c r="B4" s="146" t="s">
        <v>90</v>
      </c>
      <c r="C4" s="147" t="s">
        <v>91</v>
      </c>
      <c r="D4" s="148">
        <v>7.5500000000000003E-3</v>
      </c>
      <c r="E4" s="149">
        <v>237000</v>
      </c>
      <c r="F4" s="148">
        <v>0.31</v>
      </c>
      <c r="G4" s="148" t="s">
        <v>92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755A-0D09-4E0F-9902-FF9DB6ACCA2A}">
  <dimension ref="A1:C10"/>
  <sheetViews>
    <sheetView workbookViewId="0">
      <selection activeCell="F66" sqref="F66"/>
    </sheetView>
  </sheetViews>
  <sheetFormatPr defaultRowHeight="13.5"/>
  <cols>
    <col min="2" max="2" width="11" customWidth="1"/>
    <col min="3" max="3" width="59.25" customWidth="1"/>
  </cols>
  <sheetData>
    <row r="1" spans="1:3">
      <c r="A1" s="141" t="s">
        <v>93</v>
      </c>
    </row>
    <row r="2" spans="1:3" ht="14.25" thickBot="1"/>
    <row r="3" spans="1:3" ht="14.25" thickBot="1">
      <c r="A3" s="142" t="s">
        <v>94</v>
      </c>
      <c r="B3" s="143" t="s">
        <v>95</v>
      </c>
      <c r="C3" s="143" t="s">
        <v>96</v>
      </c>
    </row>
    <row r="4" spans="1:3" ht="14.25" thickBot="1">
      <c r="A4" s="150" t="s">
        <v>97</v>
      </c>
      <c r="B4" s="151" t="s">
        <v>98</v>
      </c>
      <c r="C4" s="152" t="s">
        <v>99</v>
      </c>
    </row>
    <row r="5" spans="1:3" ht="14.25" thickBot="1">
      <c r="A5" s="150" t="s">
        <v>100</v>
      </c>
      <c r="B5" s="151" t="s">
        <v>101</v>
      </c>
      <c r="C5" s="152" t="s">
        <v>102</v>
      </c>
    </row>
    <row r="6" spans="1:3" ht="14.25" thickBot="1">
      <c r="A6" s="158" t="s">
        <v>103</v>
      </c>
      <c r="B6" s="157" t="s">
        <v>104</v>
      </c>
      <c r="C6" s="154" t="s">
        <v>105</v>
      </c>
    </row>
    <row r="7" spans="1:3">
      <c r="A7" s="201" t="s">
        <v>70</v>
      </c>
      <c r="B7" s="203" t="s">
        <v>106</v>
      </c>
      <c r="C7" s="204"/>
    </row>
    <row r="8" spans="1:3" ht="14.25" thickBot="1">
      <c r="A8" s="202"/>
      <c r="B8" s="205" t="s">
        <v>107</v>
      </c>
      <c r="C8" s="206"/>
    </row>
    <row r="9" spans="1:3" ht="27.75" thickBot="1">
      <c r="A9" s="150" t="s">
        <v>108</v>
      </c>
      <c r="B9" s="159">
        <v>0.2</v>
      </c>
      <c r="C9" s="156" t="s">
        <v>109</v>
      </c>
    </row>
    <row r="10" spans="1:3" ht="14.25" thickBot="1">
      <c r="A10" s="150" t="s">
        <v>110</v>
      </c>
      <c r="B10" s="151" t="s">
        <v>111</v>
      </c>
      <c r="C10" s="152" t="s">
        <v>112</v>
      </c>
    </row>
  </sheetData>
  <mergeCells count="3">
    <mergeCell ref="A7:A8"/>
    <mergeCell ref="B7:C7"/>
    <mergeCell ref="B8:C8"/>
  </mergeCells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F4EF-CB7D-4964-A63F-D33FF520596C}">
  <dimension ref="A1:C17"/>
  <sheetViews>
    <sheetView workbookViewId="0">
      <selection activeCell="F66" sqref="F66"/>
    </sheetView>
  </sheetViews>
  <sheetFormatPr defaultRowHeight="13.5"/>
  <cols>
    <col min="1" max="1" width="19.875" customWidth="1"/>
    <col min="2" max="2" width="12" customWidth="1"/>
    <col min="3" max="3" width="43.875" customWidth="1"/>
  </cols>
  <sheetData>
    <row r="1" spans="1:3">
      <c r="A1" s="92" t="s">
        <v>113</v>
      </c>
    </row>
    <row r="2" spans="1:3" ht="14.25" thickBot="1"/>
    <row r="3" spans="1:3" ht="14.25" thickBot="1">
      <c r="A3" s="160" t="s">
        <v>94</v>
      </c>
      <c r="B3" s="161" t="s">
        <v>95</v>
      </c>
      <c r="C3" s="161" t="s">
        <v>96</v>
      </c>
    </row>
    <row r="4" spans="1:3" ht="14.25" thickBot="1">
      <c r="A4" s="150" t="s">
        <v>114</v>
      </c>
      <c r="B4" s="148" t="s">
        <v>115</v>
      </c>
      <c r="C4" s="162" t="s">
        <v>116</v>
      </c>
    </row>
    <row r="5" spans="1:3">
      <c r="A5" s="201" t="s">
        <v>117</v>
      </c>
      <c r="B5" s="212" t="s">
        <v>118</v>
      </c>
      <c r="C5" s="213"/>
    </row>
    <row r="6" spans="1:3" ht="14.25" thickBot="1">
      <c r="A6" s="202"/>
      <c r="B6" s="214" t="s">
        <v>119</v>
      </c>
      <c r="C6" s="215"/>
    </row>
    <row r="7" spans="1:3" ht="14.25" thickBot="1">
      <c r="A7" s="150" t="s">
        <v>120</v>
      </c>
      <c r="B7" s="155">
        <v>0.41</v>
      </c>
      <c r="C7" s="156" t="s">
        <v>121</v>
      </c>
    </row>
    <row r="8" spans="1:3" ht="14.25" thickBot="1">
      <c r="A8" s="150" t="s">
        <v>122</v>
      </c>
      <c r="B8" s="190">
        <v>0.183</v>
      </c>
      <c r="C8" s="162" t="s">
        <v>123</v>
      </c>
    </row>
    <row r="9" spans="1:3" ht="14.25" thickBot="1">
      <c r="A9" s="150" t="s">
        <v>124</v>
      </c>
      <c r="B9" s="190">
        <v>0.17899999999999999</v>
      </c>
      <c r="C9" s="152" t="s">
        <v>125</v>
      </c>
    </row>
    <row r="10" spans="1:3" ht="14.25" thickBot="1">
      <c r="A10" s="216" t="s">
        <v>126</v>
      </c>
      <c r="B10" s="217"/>
      <c r="C10" s="218"/>
    </row>
    <row r="11" spans="1:3">
      <c r="A11" s="153" t="s">
        <v>127</v>
      </c>
      <c r="B11" s="219">
        <v>0.64</v>
      </c>
      <c r="C11" s="221" t="s">
        <v>128</v>
      </c>
    </row>
    <row r="12" spans="1:3" ht="14.25" thickBot="1">
      <c r="A12" s="150" t="s">
        <v>129</v>
      </c>
      <c r="B12" s="220"/>
      <c r="C12" s="222"/>
    </row>
    <row r="13" spans="1:3" ht="27.75" thickBot="1">
      <c r="A13" s="150" t="s">
        <v>130</v>
      </c>
      <c r="B13" s="189">
        <v>1.1000000000000001</v>
      </c>
      <c r="C13" s="152" t="s">
        <v>131</v>
      </c>
    </row>
    <row r="14" spans="1:3" ht="14.25" thickBot="1">
      <c r="A14" s="145" t="s">
        <v>132</v>
      </c>
      <c r="B14" s="207" t="s">
        <v>133</v>
      </c>
      <c r="C14" s="208"/>
    </row>
    <row r="15" spans="1:3" ht="14.25" thickBot="1">
      <c r="A15" s="145" t="s">
        <v>134</v>
      </c>
      <c r="B15" s="207" t="s">
        <v>135</v>
      </c>
      <c r="C15" s="208"/>
    </row>
    <row r="16" spans="1:3" ht="14.25" thickBot="1">
      <c r="A16" s="145" t="s">
        <v>136</v>
      </c>
      <c r="B16" s="209" t="s">
        <v>137</v>
      </c>
      <c r="C16" s="210"/>
    </row>
    <row r="17" spans="1:3">
      <c r="A17" s="211" t="s">
        <v>138</v>
      </c>
      <c r="B17" s="211"/>
      <c r="C17" s="211"/>
    </row>
  </sheetData>
  <mergeCells count="10">
    <mergeCell ref="B14:C14"/>
    <mergeCell ref="B15:C15"/>
    <mergeCell ref="B16:C16"/>
    <mergeCell ref="A17:C17"/>
    <mergeCell ref="A5:A6"/>
    <mergeCell ref="B5:C5"/>
    <mergeCell ref="B6:C6"/>
    <mergeCell ref="A10:C10"/>
    <mergeCell ref="B11:B12"/>
    <mergeCell ref="C11:C12"/>
  </mergeCells>
  <phoneticPr fontId="1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DF50-B666-4D8F-92D6-891E53C1A706}">
  <dimension ref="A1:D10"/>
  <sheetViews>
    <sheetView workbookViewId="0">
      <selection activeCell="F66" sqref="F66"/>
    </sheetView>
  </sheetViews>
  <sheetFormatPr defaultRowHeight="13.5"/>
  <cols>
    <col min="1" max="1" width="14" customWidth="1"/>
    <col min="2" max="2" width="16.875" customWidth="1"/>
    <col min="3" max="3" width="22.125" customWidth="1"/>
    <col min="4" max="4" width="15.375" customWidth="1"/>
  </cols>
  <sheetData>
    <row r="1" spans="1:4" ht="14.25" thickBot="1">
      <c r="A1" t="s">
        <v>139</v>
      </c>
    </row>
    <row r="2" spans="1:4">
      <c r="A2" s="164" t="s">
        <v>140</v>
      </c>
      <c r="B2" s="167" t="s">
        <v>141</v>
      </c>
      <c r="C2" s="170" t="s">
        <v>142</v>
      </c>
      <c r="D2" s="167" t="s">
        <v>140</v>
      </c>
    </row>
    <row r="3" spans="1:4">
      <c r="A3" s="165" t="s">
        <v>143</v>
      </c>
      <c r="B3" s="168" t="s">
        <v>144</v>
      </c>
      <c r="C3" s="168" t="s">
        <v>145</v>
      </c>
      <c r="D3" s="168" t="s">
        <v>146</v>
      </c>
    </row>
    <row r="4" spans="1:4" ht="14.25" thickBot="1">
      <c r="A4" s="166" t="s">
        <v>37</v>
      </c>
      <c r="B4" s="169" t="s">
        <v>37</v>
      </c>
      <c r="C4" s="169" t="s">
        <v>147</v>
      </c>
      <c r="D4" s="171"/>
    </row>
    <row r="5" spans="1:4" ht="14.25" thickBot="1">
      <c r="A5" s="163">
        <v>241</v>
      </c>
      <c r="B5" s="148">
        <v>214</v>
      </c>
      <c r="C5" s="148">
        <v>0.86</v>
      </c>
      <c r="D5" s="148">
        <v>35</v>
      </c>
    </row>
    <row r="6" spans="1:4">
      <c r="A6" s="223" t="s">
        <v>148</v>
      </c>
      <c r="B6" s="224"/>
      <c r="C6" s="224"/>
      <c r="D6" s="225"/>
    </row>
    <row r="7" spans="1:4">
      <c r="A7" s="226" t="s">
        <v>149</v>
      </c>
      <c r="B7" s="227"/>
      <c r="C7" s="227"/>
      <c r="D7" s="228"/>
    </row>
    <row r="8" spans="1:4">
      <c r="A8" s="226" t="s">
        <v>150</v>
      </c>
      <c r="B8" s="227"/>
      <c r="C8" s="227"/>
      <c r="D8" s="228"/>
    </row>
    <row r="9" spans="1:4">
      <c r="A9" s="226" t="s">
        <v>151</v>
      </c>
      <c r="B9" s="227"/>
      <c r="C9" s="227"/>
      <c r="D9" s="228"/>
    </row>
    <row r="10" spans="1:4" ht="14.25" thickBot="1">
      <c r="A10" s="229" t="s">
        <v>152</v>
      </c>
      <c r="B10" s="230"/>
      <c r="C10" s="230"/>
      <c r="D10" s="231"/>
    </row>
  </sheetData>
  <mergeCells count="5">
    <mergeCell ref="A6:D6"/>
    <mergeCell ref="A7:D7"/>
    <mergeCell ref="A8:D8"/>
    <mergeCell ref="A9:D9"/>
    <mergeCell ref="A10:D10"/>
  </mergeCells>
  <phoneticPr fontId="1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C5C6-9A0B-46D5-9415-1DDD388D47EB}">
  <dimension ref="A1:L14"/>
  <sheetViews>
    <sheetView workbookViewId="0">
      <selection activeCell="F66" sqref="F66"/>
    </sheetView>
  </sheetViews>
  <sheetFormatPr defaultRowHeight="13.5"/>
  <cols>
    <col min="1" max="1" width="12.875" customWidth="1"/>
    <col min="2" max="2" width="13" customWidth="1"/>
    <col min="3" max="3" width="12.875" customWidth="1"/>
    <col min="9" max="9" width="13.875" customWidth="1"/>
    <col min="10" max="12" width="15.125" customWidth="1"/>
  </cols>
  <sheetData>
    <row r="1" spans="1:12">
      <c r="A1" s="92" t="s">
        <v>153</v>
      </c>
      <c r="I1" s="92" t="s">
        <v>154</v>
      </c>
    </row>
    <row r="2" spans="1:12" ht="14.25" thickBot="1"/>
    <row r="3" spans="1:12" ht="14.25" thickBot="1">
      <c r="A3" s="232" t="s">
        <v>155</v>
      </c>
      <c r="B3" s="233"/>
      <c r="C3" s="233"/>
      <c r="D3" s="233"/>
      <c r="E3" s="233"/>
      <c r="F3" s="234"/>
      <c r="I3" s="232" t="s">
        <v>156</v>
      </c>
      <c r="J3" s="233"/>
      <c r="K3" s="233"/>
      <c r="L3" s="235"/>
    </row>
    <row r="4" spans="1:12" ht="14.25" thickBot="1">
      <c r="A4" s="239" t="s">
        <v>94</v>
      </c>
      <c r="B4" s="165" t="s">
        <v>157</v>
      </c>
      <c r="C4" s="173">
        <v>0.9</v>
      </c>
      <c r="D4" s="242" t="s">
        <v>158</v>
      </c>
      <c r="E4" s="243"/>
      <c r="F4" s="244"/>
      <c r="I4" s="183"/>
      <c r="J4" s="236" t="s">
        <v>159</v>
      </c>
      <c r="K4" s="237"/>
      <c r="L4" s="238"/>
    </row>
    <row r="5" spans="1:12" ht="14.25" thickBot="1">
      <c r="A5" s="240"/>
      <c r="B5" s="172" t="s">
        <v>160</v>
      </c>
      <c r="C5" s="174" t="s">
        <v>161</v>
      </c>
      <c r="D5" s="245" t="s">
        <v>162</v>
      </c>
      <c r="E5" s="246"/>
      <c r="F5" s="247"/>
      <c r="I5" s="184"/>
      <c r="J5" s="176" t="s">
        <v>97</v>
      </c>
      <c r="K5" s="176" t="s">
        <v>100</v>
      </c>
      <c r="L5" s="176" t="s">
        <v>103</v>
      </c>
    </row>
    <row r="6" spans="1:12" ht="14.25" thickBot="1">
      <c r="A6" s="241"/>
      <c r="B6" s="166" t="s">
        <v>37</v>
      </c>
      <c r="C6" s="175" t="s">
        <v>37</v>
      </c>
      <c r="D6" s="144" t="s">
        <v>97</v>
      </c>
      <c r="E6" s="182" t="s">
        <v>100</v>
      </c>
      <c r="F6" s="144" t="s">
        <v>103</v>
      </c>
      <c r="I6" s="232" t="s">
        <v>163</v>
      </c>
      <c r="J6" s="233"/>
      <c r="K6" s="233"/>
      <c r="L6" s="234"/>
    </row>
    <row r="7" spans="1:12" ht="14.25" thickBot="1">
      <c r="A7" s="232" t="s">
        <v>164</v>
      </c>
      <c r="B7" s="233"/>
      <c r="C7" s="233"/>
      <c r="D7" s="233"/>
      <c r="E7" s="233"/>
      <c r="F7" s="234"/>
      <c r="I7" s="177" t="s">
        <v>165</v>
      </c>
      <c r="J7" s="179" t="s">
        <v>166</v>
      </c>
      <c r="K7" s="185" t="s">
        <v>167</v>
      </c>
      <c r="L7" s="185" t="s">
        <v>167</v>
      </c>
    </row>
    <row r="8" spans="1:12" ht="14.25" thickBot="1">
      <c r="A8" s="177" t="s">
        <v>165</v>
      </c>
      <c r="B8" s="180">
        <v>325</v>
      </c>
      <c r="C8" s="178" t="s">
        <v>168</v>
      </c>
      <c r="D8" s="180">
        <v>57</v>
      </c>
      <c r="E8" s="180">
        <v>100</v>
      </c>
      <c r="F8" s="180">
        <v>100</v>
      </c>
      <c r="I8" s="232" t="s">
        <v>169</v>
      </c>
      <c r="J8" s="233"/>
      <c r="K8" s="233"/>
      <c r="L8" s="234"/>
    </row>
    <row r="9" spans="1:12" ht="14.25" thickBot="1">
      <c r="A9" s="232" t="s">
        <v>169</v>
      </c>
      <c r="B9" s="233"/>
      <c r="C9" s="233"/>
      <c r="D9" s="233"/>
      <c r="E9" s="233"/>
      <c r="F9" s="234"/>
      <c r="I9" s="186" t="s">
        <v>170</v>
      </c>
      <c r="J9" s="179" t="s">
        <v>171</v>
      </c>
      <c r="K9" s="185" t="s">
        <v>167</v>
      </c>
      <c r="L9" s="185" t="s">
        <v>167</v>
      </c>
    </row>
    <row r="10" spans="1:12" ht="14.25" thickBot="1">
      <c r="A10" s="179" t="s">
        <v>170</v>
      </c>
      <c r="B10" s="180">
        <v>306</v>
      </c>
      <c r="C10" s="178" t="s">
        <v>172</v>
      </c>
      <c r="D10" s="180">
        <v>44</v>
      </c>
      <c r="E10" s="180">
        <v>100</v>
      </c>
      <c r="F10" s="180">
        <v>100</v>
      </c>
      <c r="I10" s="186" t="s">
        <v>173</v>
      </c>
      <c r="J10" s="179" t="s">
        <v>174</v>
      </c>
      <c r="K10" s="185" t="s">
        <v>167</v>
      </c>
      <c r="L10" s="185" t="s">
        <v>167</v>
      </c>
    </row>
    <row r="11" spans="1:12" ht="14.25" thickBot="1">
      <c r="A11" s="179" t="s">
        <v>173</v>
      </c>
      <c r="B11" s="180">
        <v>345</v>
      </c>
      <c r="C11" s="178" t="s">
        <v>175</v>
      </c>
      <c r="D11" s="180">
        <v>69</v>
      </c>
      <c r="E11" s="180">
        <v>100</v>
      </c>
      <c r="F11" s="180">
        <v>100</v>
      </c>
      <c r="I11" s="186" t="s">
        <v>176</v>
      </c>
      <c r="J11" s="179" t="s">
        <v>177</v>
      </c>
      <c r="K11" s="185" t="s">
        <v>167</v>
      </c>
      <c r="L11" s="185" t="s">
        <v>167</v>
      </c>
    </row>
    <row r="12" spans="1:12" ht="14.25" thickBot="1">
      <c r="A12" s="179" t="s">
        <v>176</v>
      </c>
      <c r="B12" s="180">
        <v>389</v>
      </c>
      <c r="C12" s="178" t="s">
        <v>178</v>
      </c>
      <c r="D12" s="180">
        <v>89</v>
      </c>
      <c r="E12" s="180">
        <v>100</v>
      </c>
      <c r="F12" s="180">
        <v>100</v>
      </c>
      <c r="I12" s="186" t="s">
        <v>179</v>
      </c>
      <c r="J12" s="179" t="s">
        <v>180</v>
      </c>
      <c r="K12" s="185" t="s">
        <v>167</v>
      </c>
      <c r="L12" s="185" t="s">
        <v>167</v>
      </c>
    </row>
    <row r="13" spans="1:12" ht="14.25" thickBot="1">
      <c r="A13" s="179" t="s">
        <v>179</v>
      </c>
      <c r="B13" s="181">
        <v>1408</v>
      </c>
      <c r="C13" s="178" t="s">
        <v>181</v>
      </c>
      <c r="D13" s="180">
        <v>100</v>
      </c>
      <c r="E13" s="180">
        <v>100</v>
      </c>
      <c r="F13" s="180">
        <v>100</v>
      </c>
      <c r="I13" s="186" t="s">
        <v>44</v>
      </c>
      <c r="J13" s="179" t="s">
        <v>171</v>
      </c>
      <c r="K13" s="185" t="s">
        <v>167</v>
      </c>
      <c r="L13" s="185" t="s">
        <v>167</v>
      </c>
    </row>
    <row r="14" spans="1:12" ht="14.25" thickBot="1">
      <c r="A14" s="179" t="s">
        <v>44</v>
      </c>
      <c r="B14" s="180">
        <v>263</v>
      </c>
      <c r="C14" s="178" t="s">
        <v>182</v>
      </c>
      <c r="D14" s="180">
        <v>23</v>
      </c>
      <c r="E14" s="180">
        <v>96</v>
      </c>
      <c r="F14" s="180">
        <v>100</v>
      </c>
    </row>
  </sheetData>
  <mergeCells count="10">
    <mergeCell ref="A9:F9"/>
    <mergeCell ref="I3:L3"/>
    <mergeCell ref="J4:L4"/>
    <mergeCell ref="I6:L6"/>
    <mergeCell ref="I8:L8"/>
    <mergeCell ref="A3:F3"/>
    <mergeCell ref="A4:A6"/>
    <mergeCell ref="D4:F4"/>
    <mergeCell ref="D5:F5"/>
    <mergeCell ref="A7:F7"/>
  </mergeCells>
  <phoneticPr fontId="1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81E9-81D6-A441-8016-079E64CBE9B6}">
  <dimension ref="A1:M15"/>
  <sheetViews>
    <sheetView workbookViewId="0">
      <selection activeCell="F66" sqref="F66"/>
    </sheetView>
  </sheetViews>
  <sheetFormatPr defaultColWidth="11" defaultRowHeight="13.5"/>
  <cols>
    <col min="2" max="12" width="8.875" customWidth="1"/>
  </cols>
  <sheetData>
    <row r="1" spans="1:13">
      <c r="A1" t="s">
        <v>183</v>
      </c>
    </row>
    <row r="2" spans="1:13" ht="15.75" thickBot="1">
      <c r="A2" s="92" t="s">
        <v>184</v>
      </c>
    </row>
    <row r="3" spans="1:13" ht="14.25" thickBot="1">
      <c r="A3" s="93" t="s">
        <v>185</v>
      </c>
      <c r="B3" s="94">
        <v>2022</v>
      </c>
      <c r="C3" s="94">
        <v>2023</v>
      </c>
      <c r="D3" s="94">
        <v>2024</v>
      </c>
      <c r="E3" s="94">
        <v>2025</v>
      </c>
      <c r="F3" s="94">
        <v>2026</v>
      </c>
      <c r="G3" s="94">
        <v>2027</v>
      </c>
      <c r="H3" s="94">
        <v>2028</v>
      </c>
      <c r="I3" s="94">
        <v>2029</v>
      </c>
      <c r="J3" s="94">
        <v>2030</v>
      </c>
      <c r="K3" s="94">
        <v>2031</v>
      </c>
      <c r="L3" s="94">
        <v>2032</v>
      </c>
    </row>
    <row r="4" spans="1:13" ht="14.25" thickBot="1">
      <c r="A4" s="95" t="s">
        <v>186</v>
      </c>
      <c r="B4" s="96">
        <v>0.36</v>
      </c>
      <c r="C4" s="96">
        <v>0.36</v>
      </c>
      <c r="D4" s="96">
        <v>0.31</v>
      </c>
      <c r="E4" s="96">
        <v>0.31</v>
      </c>
      <c r="F4" s="96">
        <v>0.31</v>
      </c>
      <c r="G4" s="96">
        <v>0.31</v>
      </c>
      <c r="H4" s="96">
        <v>0.31</v>
      </c>
      <c r="I4" s="96">
        <v>0.31</v>
      </c>
      <c r="J4" s="96">
        <v>0.31</v>
      </c>
      <c r="K4" s="96">
        <v>0.31</v>
      </c>
      <c r="L4" s="96">
        <v>0.31</v>
      </c>
    </row>
    <row r="5" spans="1:13" ht="14.25" thickBot="1">
      <c r="A5" s="95" t="s">
        <v>187</v>
      </c>
      <c r="B5" s="96">
        <v>0.92</v>
      </c>
      <c r="C5" s="96">
        <v>1.18</v>
      </c>
      <c r="D5" s="96">
        <v>1.01</v>
      </c>
      <c r="E5" s="96">
        <v>1.01</v>
      </c>
      <c r="F5" s="96">
        <v>1.01</v>
      </c>
      <c r="G5" s="96">
        <v>1.01</v>
      </c>
      <c r="H5" s="96">
        <v>1.01</v>
      </c>
      <c r="I5" s="96">
        <v>1.01</v>
      </c>
      <c r="J5" s="96">
        <v>1.01</v>
      </c>
      <c r="K5" s="96">
        <v>1.01</v>
      </c>
      <c r="L5" s="96">
        <v>1.01</v>
      </c>
    </row>
    <row r="6" spans="1:13" ht="14.25" thickBot="1">
      <c r="A6" s="95" t="s">
        <v>188</v>
      </c>
      <c r="B6" s="187">
        <v>1.3</v>
      </c>
      <c r="C6" s="96">
        <v>0.77</v>
      </c>
      <c r="D6" s="96">
        <v>0.66</v>
      </c>
      <c r="E6" s="96">
        <v>0.66</v>
      </c>
      <c r="F6" s="96">
        <v>0.66</v>
      </c>
      <c r="G6" s="96">
        <v>0.66</v>
      </c>
      <c r="H6" s="96">
        <v>0.66</v>
      </c>
      <c r="I6" s="96">
        <v>0.66</v>
      </c>
      <c r="J6" s="96">
        <v>0.66</v>
      </c>
      <c r="K6" s="96">
        <v>0.66</v>
      </c>
      <c r="L6" s="96">
        <v>0.66</v>
      </c>
      <c r="M6" s="125"/>
    </row>
    <row r="7" spans="1:13" ht="14.25" thickBot="1">
      <c r="A7" s="95" t="s">
        <v>189</v>
      </c>
      <c r="B7" s="187">
        <v>1.3</v>
      </c>
      <c r="C7" s="96">
        <v>0.77</v>
      </c>
      <c r="D7" s="96">
        <v>0.66</v>
      </c>
      <c r="E7" s="96">
        <v>0.66</v>
      </c>
      <c r="F7" s="96">
        <v>0.66</v>
      </c>
      <c r="G7" s="96">
        <v>0.66</v>
      </c>
      <c r="H7" s="96">
        <v>0.66</v>
      </c>
      <c r="I7" s="96">
        <v>0.66</v>
      </c>
      <c r="J7" s="96">
        <v>0.66</v>
      </c>
      <c r="K7" s="96">
        <v>0.66</v>
      </c>
      <c r="L7" s="96">
        <v>0.66</v>
      </c>
    </row>
    <row r="8" spans="1:13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</row>
    <row r="9" spans="1:13" ht="15.75" thickBot="1">
      <c r="A9" s="92" t="s">
        <v>190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</row>
    <row r="10" spans="1:13" ht="14.25" thickBot="1">
      <c r="A10" s="93" t="s">
        <v>185</v>
      </c>
      <c r="B10" s="94">
        <v>2022</v>
      </c>
      <c r="C10" s="94">
        <v>2023</v>
      </c>
      <c r="D10" s="94">
        <v>2024</v>
      </c>
      <c r="E10" s="94">
        <v>2025</v>
      </c>
      <c r="F10" s="94">
        <v>2026</v>
      </c>
      <c r="G10" s="94">
        <v>2027</v>
      </c>
      <c r="H10" s="94">
        <v>2028</v>
      </c>
      <c r="I10" s="94">
        <v>2029</v>
      </c>
      <c r="J10" s="94">
        <v>2030</v>
      </c>
      <c r="K10" s="94">
        <v>2031</v>
      </c>
      <c r="L10" s="94">
        <v>2032</v>
      </c>
    </row>
    <row r="11" spans="1:13" ht="14.25" thickBot="1">
      <c r="A11" s="95" t="s">
        <v>186</v>
      </c>
      <c r="B11" s="96">
        <v>1110</v>
      </c>
      <c r="C11" s="96">
        <v>1430</v>
      </c>
      <c r="D11" s="96">
        <v>1558</v>
      </c>
      <c r="E11" s="96">
        <v>1675</v>
      </c>
      <c r="F11" s="96">
        <v>1719</v>
      </c>
      <c r="G11" s="96">
        <v>1750</v>
      </c>
      <c r="H11" s="96">
        <v>1771</v>
      </c>
      <c r="I11" s="96">
        <v>1776</v>
      </c>
      <c r="J11" s="96">
        <v>1779</v>
      </c>
      <c r="K11" s="96">
        <v>1786</v>
      </c>
      <c r="L11" s="96">
        <v>1781</v>
      </c>
    </row>
    <row r="12" spans="1:13" ht="14.25" thickBot="1">
      <c r="A12" s="95" t="s">
        <v>187</v>
      </c>
      <c r="B12" s="96">
        <v>662</v>
      </c>
      <c r="C12" s="96">
        <v>521</v>
      </c>
      <c r="D12" s="96">
        <v>665</v>
      </c>
      <c r="E12" s="96">
        <v>763</v>
      </c>
      <c r="F12" s="96">
        <v>821</v>
      </c>
      <c r="G12" s="96">
        <v>842</v>
      </c>
      <c r="H12" s="96">
        <v>857</v>
      </c>
      <c r="I12" s="96">
        <v>867</v>
      </c>
      <c r="J12" s="96">
        <v>870</v>
      </c>
      <c r="K12" s="96">
        <v>871</v>
      </c>
      <c r="L12" s="96">
        <v>875</v>
      </c>
    </row>
    <row r="13" spans="1:13" ht="14.25" thickBot="1">
      <c r="A13" s="95" t="s">
        <v>188</v>
      </c>
      <c r="B13" s="96">
        <v>71</v>
      </c>
      <c r="C13" s="96">
        <v>177</v>
      </c>
      <c r="D13" s="96">
        <v>107</v>
      </c>
      <c r="E13" s="96">
        <v>162</v>
      </c>
      <c r="F13" s="96">
        <v>186</v>
      </c>
      <c r="G13" s="96">
        <v>200</v>
      </c>
      <c r="H13" s="96">
        <v>205</v>
      </c>
      <c r="I13" s="96">
        <v>208</v>
      </c>
      <c r="J13" s="96">
        <v>211</v>
      </c>
      <c r="K13" s="96">
        <v>211</v>
      </c>
      <c r="L13" s="96">
        <v>212</v>
      </c>
    </row>
    <row r="14" spans="1:13" ht="14.25" thickBot="1">
      <c r="A14" s="95" t="s">
        <v>189</v>
      </c>
      <c r="B14" s="96">
        <v>61</v>
      </c>
      <c r="C14" s="96">
        <v>24</v>
      </c>
      <c r="D14" s="96">
        <v>63</v>
      </c>
      <c r="E14" s="96">
        <v>59</v>
      </c>
      <c r="F14" s="96">
        <v>77</v>
      </c>
      <c r="G14" s="96">
        <v>91</v>
      </c>
      <c r="H14" s="96">
        <v>101</v>
      </c>
      <c r="I14" s="96">
        <v>106</v>
      </c>
      <c r="J14" s="96">
        <v>109</v>
      </c>
      <c r="K14" s="96">
        <v>111</v>
      </c>
      <c r="L14" s="96">
        <v>112</v>
      </c>
    </row>
    <row r="15" spans="1:13" ht="15">
      <c r="A15" s="98" t="s">
        <v>191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8"/>
  <sheetViews>
    <sheetView zoomScaleNormal="100" workbookViewId="0">
      <selection activeCell="F66" sqref="F66"/>
    </sheetView>
  </sheetViews>
  <sheetFormatPr defaultColWidth="9" defaultRowHeight="13.5"/>
  <cols>
    <col min="1" max="1" width="12" style="1" customWidth="1"/>
    <col min="2" max="16384" width="9" style="1"/>
  </cols>
  <sheetData>
    <row r="1" spans="1:27">
      <c r="A1" s="188" t="s">
        <v>192</v>
      </c>
      <c r="F1" s="123"/>
    </row>
    <row r="2" spans="1:27">
      <c r="A2" s="34" t="s">
        <v>193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27">
      <c r="A3" s="6" t="s">
        <v>194</v>
      </c>
      <c r="B3" s="27">
        <v>1997</v>
      </c>
      <c r="C3" s="27">
        <v>1998</v>
      </c>
      <c r="D3" s="27">
        <v>1999</v>
      </c>
      <c r="E3" s="27">
        <v>2000</v>
      </c>
      <c r="F3" s="27">
        <v>2001</v>
      </c>
      <c r="G3" s="27">
        <v>2002</v>
      </c>
      <c r="H3" s="27">
        <v>2003</v>
      </c>
      <c r="I3" s="27">
        <v>2004</v>
      </c>
      <c r="J3" s="27">
        <v>2005</v>
      </c>
      <c r="K3" s="27">
        <v>2006</v>
      </c>
      <c r="L3" s="27">
        <v>2007</v>
      </c>
      <c r="M3" s="27">
        <v>2008</v>
      </c>
      <c r="N3" s="27">
        <v>2009</v>
      </c>
      <c r="O3" s="27">
        <v>2010</v>
      </c>
      <c r="P3" s="27">
        <v>2011</v>
      </c>
      <c r="Q3" s="27">
        <v>2012</v>
      </c>
      <c r="R3" s="27">
        <v>2013</v>
      </c>
      <c r="S3" s="27">
        <v>2014</v>
      </c>
      <c r="T3" s="27">
        <v>2015</v>
      </c>
      <c r="U3" s="27">
        <v>2016</v>
      </c>
      <c r="V3" s="27">
        <v>2017</v>
      </c>
      <c r="W3" s="27">
        <v>2018</v>
      </c>
      <c r="X3" s="27">
        <v>2019</v>
      </c>
      <c r="Y3" s="27">
        <v>2020</v>
      </c>
      <c r="Z3" s="27">
        <v>2021</v>
      </c>
      <c r="AA3" s="27">
        <v>2022</v>
      </c>
    </row>
    <row r="4" spans="1:27">
      <c r="A4" s="6" t="s">
        <v>195</v>
      </c>
      <c r="B4" s="6">
        <v>0.2</v>
      </c>
      <c r="C4" s="6">
        <v>2.2000000000000002</v>
      </c>
      <c r="D4" s="6">
        <v>1.6</v>
      </c>
      <c r="E4" s="6">
        <v>0.9</v>
      </c>
      <c r="F4" s="6">
        <v>0.3</v>
      </c>
      <c r="G4" s="6">
        <v>0.3</v>
      </c>
      <c r="H4" s="6">
        <v>0.05</v>
      </c>
      <c r="I4" s="38">
        <v>1</v>
      </c>
      <c r="J4" s="6">
        <v>2.7</v>
      </c>
      <c r="K4" s="6">
        <v>1.7</v>
      </c>
      <c r="L4" s="6">
        <v>0.9</v>
      </c>
      <c r="M4" s="6">
        <v>8.3000000000000007</v>
      </c>
      <c r="N4" s="6">
        <v>0.8</v>
      </c>
      <c r="O4" s="6">
        <v>0.4</v>
      </c>
      <c r="P4" s="6">
        <v>0.8</v>
      </c>
      <c r="Q4" s="6">
        <v>7.8</v>
      </c>
      <c r="R4" s="6">
        <v>1.6</v>
      </c>
      <c r="S4" s="6">
        <v>1.7</v>
      </c>
      <c r="T4" s="6">
        <v>1.3</v>
      </c>
      <c r="U4" s="6">
        <v>2.2999999999999998</v>
      </c>
      <c r="V4" s="6">
        <v>4.8</v>
      </c>
      <c r="W4" s="6">
        <v>4.5999999999999996</v>
      </c>
      <c r="X4" s="6">
        <v>39.799999999999997</v>
      </c>
      <c r="Y4" s="40">
        <v>144</v>
      </c>
      <c r="Z4" s="6">
        <v>32.6</v>
      </c>
      <c r="AA4" s="6">
        <v>16.100000000000001</v>
      </c>
    </row>
    <row r="6" spans="1:27">
      <c r="A6" s="34" t="s">
        <v>196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spans="1:27">
      <c r="A7" s="6" t="s">
        <v>194</v>
      </c>
      <c r="B7" s="27">
        <v>2000</v>
      </c>
      <c r="C7" s="27">
        <v>2001</v>
      </c>
      <c r="D7" s="27">
        <v>2002</v>
      </c>
      <c r="E7" s="27">
        <v>2003</v>
      </c>
      <c r="F7" s="27">
        <v>2004</v>
      </c>
      <c r="G7" s="27">
        <v>2005</v>
      </c>
      <c r="H7" s="27">
        <v>2006</v>
      </c>
      <c r="I7" s="27">
        <v>2007</v>
      </c>
      <c r="J7" s="27">
        <v>2008</v>
      </c>
      <c r="K7" s="27">
        <v>2009</v>
      </c>
      <c r="L7" s="27">
        <v>2010</v>
      </c>
      <c r="M7" s="27">
        <v>2011</v>
      </c>
      <c r="N7" s="27">
        <v>2012</v>
      </c>
      <c r="O7" s="27">
        <v>2013</v>
      </c>
      <c r="P7" s="27">
        <v>2014</v>
      </c>
      <c r="Q7" s="27">
        <v>2015</v>
      </c>
      <c r="R7" s="27">
        <v>2016</v>
      </c>
      <c r="S7" s="27">
        <v>2017</v>
      </c>
      <c r="T7" s="27">
        <v>2018</v>
      </c>
      <c r="U7" s="27">
        <v>2019</v>
      </c>
      <c r="V7" s="27">
        <v>2020</v>
      </c>
      <c r="W7" s="27">
        <v>2021</v>
      </c>
      <c r="X7" s="27">
        <v>2022</v>
      </c>
      <c r="Y7" s="27">
        <v>2023</v>
      </c>
    </row>
    <row r="8" spans="1:27">
      <c r="A8" s="6" t="s">
        <v>197</v>
      </c>
      <c r="B8" s="39">
        <v>26100</v>
      </c>
      <c r="C8" s="39">
        <v>14513</v>
      </c>
      <c r="D8" s="39">
        <v>4951</v>
      </c>
      <c r="E8" s="39">
        <v>2715</v>
      </c>
      <c r="F8" s="39">
        <v>3645</v>
      </c>
      <c r="G8" s="39">
        <v>1062</v>
      </c>
      <c r="H8" s="39">
        <v>9363</v>
      </c>
      <c r="I8" s="6">
        <v>213</v>
      </c>
      <c r="J8" s="39">
        <v>22479</v>
      </c>
      <c r="K8" s="6">
        <v>515</v>
      </c>
      <c r="L8" s="39">
        <v>12553</v>
      </c>
      <c r="M8" s="39">
        <v>57162</v>
      </c>
      <c r="N8" s="39">
        <v>29869</v>
      </c>
      <c r="O8" s="6">
        <v>257</v>
      </c>
      <c r="P8" s="39">
        <v>3351</v>
      </c>
      <c r="Q8" s="39">
        <v>3630</v>
      </c>
      <c r="R8" s="39">
        <v>4701</v>
      </c>
      <c r="S8" s="39">
        <v>2692</v>
      </c>
      <c r="T8" s="39">
        <v>21639</v>
      </c>
      <c r="U8" s="39">
        <v>2077</v>
      </c>
      <c r="V8" s="75" t="s">
        <v>198</v>
      </c>
      <c r="W8" s="39">
        <v>402</v>
      </c>
      <c r="X8" s="39">
        <v>3671</v>
      </c>
      <c r="Y8" s="39">
        <v>699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DA62-6D74-2545-A0B9-EF20BB52B425}">
  <dimension ref="A1:CE53"/>
  <sheetViews>
    <sheetView zoomScale="85" zoomScaleNormal="85" workbookViewId="0">
      <selection activeCell="F66" sqref="F66"/>
    </sheetView>
  </sheetViews>
  <sheetFormatPr defaultColWidth="9" defaultRowHeight="13.5"/>
  <cols>
    <col min="1" max="1" width="12" style="1" customWidth="1"/>
    <col min="2" max="16384" width="9" style="1"/>
  </cols>
  <sheetData>
    <row r="1" spans="1:83">
      <c r="A1" s="1" t="s">
        <v>199</v>
      </c>
      <c r="E1" s="123"/>
    </row>
    <row r="2" spans="1:83">
      <c r="A2" s="41"/>
      <c r="B2" s="248" t="s">
        <v>200</v>
      </c>
      <c r="C2" s="249"/>
      <c r="D2" s="249"/>
      <c r="E2" s="250"/>
      <c r="F2" s="248" t="s">
        <v>201</v>
      </c>
      <c r="G2" s="249"/>
      <c r="H2" s="249"/>
      <c r="I2" s="250"/>
      <c r="J2" s="41"/>
      <c r="K2" s="248" t="s">
        <v>202</v>
      </c>
      <c r="L2" s="251"/>
      <c r="M2" s="251"/>
      <c r="N2" s="252"/>
      <c r="O2" s="248" t="s">
        <v>203</v>
      </c>
      <c r="P2" s="249"/>
      <c r="Q2" s="249"/>
      <c r="R2" s="250"/>
      <c r="S2" s="41" t="s">
        <v>204</v>
      </c>
      <c r="T2" s="248" t="s">
        <v>205</v>
      </c>
      <c r="U2" s="249"/>
      <c r="V2" s="249"/>
      <c r="W2" s="250"/>
      <c r="X2" s="248" t="s">
        <v>206</v>
      </c>
      <c r="Y2" s="249"/>
      <c r="Z2" s="249"/>
      <c r="AA2" s="250"/>
    </row>
    <row r="3" spans="1:83">
      <c r="A3" s="41" t="s">
        <v>207</v>
      </c>
      <c r="B3" s="42">
        <v>0</v>
      </c>
      <c r="C3" s="42">
        <v>1</v>
      </c>
      <c r="D3" s="42">
        <v>2</v>
      </c>
      <c r="E3" s="43" t="s">
        <v>208</v>
      </c>
      <c r="F3" s="42">
        <v>0</v>
      </c>
      <c r="G3" s="42">
        <v>1</v>
      </c>
      <c r="H3" s="42">
        <v>2</v>
      </c>
      <c r="I3" s="43" t="s">
        <v>208</v>
      </c>
      <c r="J3" s="41" t="s">
        <v>207</v>
      </c>
      <c r="K3" s="42">
        <v>0</v>
      </c>
      <c r="L3" s="42">
        <v>1</v>
      </c>
      <c r="M3" s="42">
        <v>2</v>
      </c>
      <c r="N3" s="43" t="s">
        <v>208</v>
      </c>
      <c r="O3" s="44">
        <v>0</v>
      </c>
      <c r="P3" s="42">
        <v>1</v>
      </c>
      <c r="Q3" s="42">
        <v>2</v>
      </c>
      <c r="R3" s="43" t="s">
        <v>53</v>
      </c>
      <c r="S3" s="41" t="s">
        <v>207</v>
      </c>
      <c r="T3" s="44">
        <v>0</v>
      </c>
      <c r="U3" s="42">
        <v>1</v>
      </c>
      <c r="V3" s="42">
        <v>2</v>
      </c>
      <c r="W3" s="43" t="s">
        <v>208</v>
      </c>
      <c r="X3" s="44">
        <v>0</v>
      </c>
      <c r="Y3" s="42">
        <v>1</v>
      </c>
      <c r="Z3" s="42">
        <v>2</v>
      </c>
      <c r="AA3" s="43" t="s">
        <v>208</v>
      </c>
    </row>
    <row r="4" spans="1:83">
      <c r="A4" s="45">
        <v>1973</v>
      </c>
      <c r="B4" s="46">
        <v>240</v>
      </c>
      <c r="C4" s="46">
        <v>598</v>
      </c>
      <c r="D4" s="46">
        <v>97</v>
      </c>
      <c r="E4" s="46">
        <v>19</v>
      </c>
      <c r="F4" s="47">
        <v>64</v>
      </c>
      <c r="G4" s="48">
        <v>208</v>
      </c>
      <c r="H4" s="48">
        <v>46</v>
      </c>
      <c r="I4" s="49">
        <v>12</v>
      </c>
      <c r="J4" s="45">
        <v>1973</v>
      </c>
      <c r="K4" s="50">
        <v>0.15</v>
      </c>
      <c r="L4" s="50">
        <v>1.03</v>
      </c>
      <c r="M4" s="50">
        <v>1.23</v>
      </c>
      <c r="N4" s="51">
        <v>1.23</v>
      </c>
      <c r="O4" s="48">
        <v>266</v>
      </c>
      <c r="P4" s="48">
        <v>348</v>
      </c>
      <c r="Q4" s="48">
        <v>479</v>
      </c>
      <c r="R4" s="49">
        <v>645</v>
      </c>
      <c r="S4" s="45">
        <v>1973</v>
      </c>
      <c r="T4" s="46">
        <v>2078</v>
      </c>
      <c r="U4" s="46">
        <v>1089</v>
      </c>
      <c r="V4" s="46">
        <v>160</v>
      </c>
      <c r="W4" s="52">
        <v>31</v>
      </c>
      <c r="X4" s="46">
        <v>552</v>
      </c>
      <c r="Y4" s="46">
        <v>378</v>
      </c>
      <c r="Z4" s="46">
        <v>76</v>
      </c>
      <c r="AA4" s="52">
        <v>20</v>
      </c>
      <c r="AC4" s="53"/>
      <c r="AD4" s="53"/>
      <c r="AE4" s="53"/>
      <c r="AF4" s="53"/>
      <c r="AG4" s="53"/>
      <c r="AH4" s="53"/>
      <c r="AI4" s="53"/>
      <c r="AJ4" s="53"/>
      <c r="AK4" s="53"/>
      <c r="AL4" s="54"/>
      <c r="AM4" s="54"/>
      <c r="AN4" s="54"/>
      <c r="AO4" s="54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110"/>
      <c r="BP4" s="110"/>
      <c r="BQ4" s="110"/>
      <c r="BR4" s="110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</row>
    <row r="5" spans="1:83">
      <c r="A5" s="45">
        <v>1974</v>
      </c>
      <c r="B5" s="46">
        <v>267</v>
      </c>
      <c r="C5" s="46">
        <v>706</v>
      </c>
      <c r="D5" s="46">
        <v>179</v>
      </c>
      <c r="E5" s="46">
        <v>26</v>
      </c>
      <c r="F5" s="47">
        <v>71</v>
      </c>
      <c r="G5" s="48">
        <v>245</v>
      </c>
      <c r="H5" s="48">
        <v>86</v>
      </c>
      <c r="I5" s="49">
        <v>17</v>
      </c>
      <c r="J5" s="45">
        <v>1974</v>
      </c>
      <c r="K5" s="50">
        <v>0.2</v>
      </c>
      <c r="L5" s="50">
        <v>1.17</v>
      </c>
      <c r="M5" s="50">
        <v>1.6</v>
      </c>
      <c r="N5" s="51">
        <v>1.6</v>
      </c>
      <c r="O5" s="48">
        <v>266</v>
      </c>
      <c r="P5" s="48">
        <v>348</v>
      </c>
      <c r="Q5" s="48">
        <v>479</v>
      </c>
      <c r="R5" s="49">
        <v>645</v>
      </c>
      <c r="S5" s="45">
        <v>1974</v>
      </c>
      <c r="T5" s="46">
        <v>1749</v>
      </c>
      <c r="U5" s="46">
        <v>1199</v>
      </c>
      <c r="V5" s="46">
        <v>259</v>
      </c>
      <c r="W5" s="52">
        <v>37</v>
      </c>
      <c r="X5" s="46">
        <v>465</v>
      </c>
      <c r="Y5" s="46">
        <v>417</v>
      </c>
      <c r="Z5" s="46">
        <v>124</v>
      </c>
      <c r="AA5" s="52">
        <v>24</v>
      </c>
      <c r="AC5" s="53"/>
      <c r="AD5" s="53"/>
      <c r="AE5" s="53"/>
      <c r="AF5" s="53"/>
      <c r="AG5" s="53"/>
      <c r="AH5" s="53"/>
      <c r="AI5" s="53"/>
      <c r="AJ5" s="53"/>
      <c r="AK5" s="53"/>
      <c r="AL5" s="54"/>
      <c r="AM5" s="54"/>
      <c r="AN5" s="54"/>
      <c r="AO5" s="54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110"/>
      <c r="BP5" s="110"/>
      <c r="BQ5" s="110"/>
      <c r="BR5" s="110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</row>
    <row r="6" spans="1:83">
      <c r="A6" s="45">
        <v>1975</v>
      </c>
      <c r="B6" s="46">
        <v>211</v>
      </c>
      <c r="C6" s="46">
        <v>590</v>
      </c>
      <c r="D6" s="46">
        <v>161</v>
      </c>
      <c r="E6" s="46">
        <v>26</v>
      </c>
      <c r="F6" s="47">
        <v>56</v>
      </c>
      <c r="G6" s="48">
        <v>205</v>
      </c>
      <c r="H6" s="48">
        <v>77</v>
      </c>
      <c r="I6" s="49">
        <v>17</v>
      </c>
      <c r="J6" s="45">
        <v>1975</v>
      </c>
      <c r="K6" s="50">
        <v>0.16</v>
      </c>
      <c r="L6" s="50">
        <v>1.27</v>
      </c>
      <c r="M6" s="50">
        <v>1.37</v>
      </c>
      <c r="N6" s="51">
        <v>1.37</v>
      </c>
      <c r="O6" s="48">
        <v>266</v>
      </c>
      <c r="P6" s="48">
        <v>348</v>
      </c>
      <c r="Q6" s="48">
        <v>479</v>
      </c>
      <c r="R6" s="49">
        <v>645</v>
      </c>
      <c r="S6" s="45">
        <v>1975</v>
      </c>
      <c r="T6" s="46">
        <v>1759</v>
      </c>
      <c r="U6" s="46">
        <v>957</v>
      </c>
      <c r="V6" s="46">
        <v>250</v>
      </c>
      <c r="W6" s="52">
        <v>40</v>
      </c>
      <c r="X6" s="46">
        <v>467</v>
      </c>
      <c r="Y6" s="46">
        <v>333</v>
      </c>
      <c r="Z6" s="46">
        <v>120</v>
      </c>
      <c r="AA6" s="52">
        <v>26</v>
      </c>
      <c r="AC6" s="53"/>
      <c r="AD6" s="53"/>
      <c r="AE6" s="53"/>
      <c r="AF6" s="53"/>
      <c r="AG6" s="53"/>
      <c r="AH6" s="53"/>
      <c r="AI6" s="53"/>
      <c r="AJ6" s="53"/>
      <c r="AK6" s="53"/>
      <c r="AL6" s="54"/>
      <c r="AM6" s="54"/>
      <c r="AN6" s="54"/>
      <c r="AO6" s="54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110"/>
      <c r="BP6" s="110"/>
      <c r="BQ6" s="110"/>
      <c r="BR6" s="110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</row>
    <row r="7" spans="1:83">
      <c r="A7" s="45">
        <v>1976</v>
      </c>
      <c r="B7" s="46">
        <v>275</v>
      </c>
      <c r="C7" s="46">
        <v>626</v>
      </c>
      <c r="D7" s="46">
        <v>112</v>
      </c>
      <c r="E7" s="46">
        <v>31</v>
      </c>
      <c r="F7" s="47">
        <v>73</v>
      </c>
      <c r="G7" s="48">
        <v>217</v>
      </c>
      <c r="H7" s="48">
        <v>54</v>
      </c>
      <c r="I7" s="49">
        <v>20</v>
      </c>
      <c r="J7" s="45">
        <v>1976</v>
      </c>
      <c r="K7" s="50">
        <v>0.19</v>
      </c>
      <c r="L7" s="50">
        <v>1.28</v>
      </c>
      <c r="M7" s="50">
        <v>1.28</v>
      </c>
      <c r="N7" s="51">
        <v>1.28</v>
      </c>
      <c r="O7" s="48">
        <v>266</v>
      </c>
      <c r="P7" s="48">
        <v>348</v>
      </c>
      <c r="Q7" s="48">
        <v>479</v>
      </c>
      <c r="R7" s="49">
        <v>645</v>
      </c>
      <c r="S7" s="45">
        <v>1976</v>
      </c>
      <c r="T7" s="46">
        <v>1911</v>
      </c>
      <c r="U7" s="46">
        <v>1008</v>
      </c>
      <c r="V7" s="46">
        <v>181</v>
      </c>
      <c r="W7" s="52">
        <v>49</v>
      </c>
      <c r="X7" s="46">
        <v>507</v>
      </c>
      <c r="Y7" s="46">
        <v>350</v>
      </c>
      <c r="Z7" s="46">
        <v>87</v>
      </c>
      <c r="AA7" s="52">
        <v>32</v>
      </c>
      <c r="AC7" s="53"/>
      <c r="AD7" s="53"/>
      <c r="AE7" s="53"/>
      <c r="AF7" s="53"/>
      <c r="AG7" s="53"/>
      <c r="AH7" s="53"/>
      <c r="AI7" s="53"/>
      <c r="AJ7" s="53"/>
      <c r="AK7" s="53"/>
      <c r="AL7" s="54"/>
      <c r="AM7" s="54"/>
      <c r="AN7" s="54"/>
      <c r="AO7" s="54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110"/>
      <c r="BP7" s="110"/>
      <c r="BQ7" s="110"/>
      <c r="BR7" s="110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</row>
    <row r="8" spans="1:83">
      <c r="A8" s="45">
        <v>1977</v>
      </c>
      <c r="B8" s="46">
        <v>389</v>
      </c>
      <c r="C8" s="46">
        <v>624</v>
      </c>
      <c r="D8" s="46">
        <v>116</v>
      </c>
      <c r="E8" s="46">
        <v>27</v>
      </c>
      <c r="F8" s="47">
        <v>103</v>
      </c>
      <c r="G8" s="48">
        <v>217</v>
      </c>
      <c r="H8" s="48">
        <v>55</v>
      </c>
      <c r="I8" s="49">
        <v>17</v>
      </c>
      <c r="J8" s="45">
        <v>1977</v>
      </c>
      <c r="K8" s="50">
        <v>0.24</v>
      </c>
      <c r="L8" s="50">
        <v>1.17</v>
      </c>
      <c r="M8" s="50">
        <v>1.27</v>
      </c>
      <c r="N8" s="51">
        <v>1.27</v>
      </c>
      <c r="O8" s="48">
        <v>266</v>
      </c>
      <c r="P8" s="48">
        <v>348</v>
      </c>
      <c r="Q8" s="48">
        <v>479</v>
      </c>
      <c r="R8" s="49">
        <v>645</v>
      </c>
      <c r="S8" s="45">
        <v>1977</v>
      </c>
      <c r="T8" s="46">
        <v>2202</v>
      </c>
      <c r="U8" s="46">
        <v>1059</v>
      </c>
      <c r="V8" s="46">
        <v>188</v>
      </c>
      <c r="W8" s="52">
        <v>43</v>
      </c>
      <c r="X8" s="46">
        <v>585</v>
      </c>
      <c r="Y8" s="46">
        <v>368</v>
      </c>
      <c r="Z8" s="46">
        <v>90</v>
      </c>
      <c r="AA8" s="52">
        <v>28</v>
      </c>
      <c r="AC8" s="53"/>
      <c r="AD8" s="53"/>
      <c r="AE8" s="53"/>
      <c r="AF8" s="53"/>
      <c r="AG8" s="53"/>
      <c r="AH8" s="53"/>
      <c r="AI8" s="53"/>
      <c r="AJ8" s="53"/>
      <c r="AK8" s="53"/>
      <c r="AL8" s="54"/>
      <c r="AM8" s="54"/>
      <c r="AN8" s="54"/>
      <c r="AO8" s="54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110"/>
      <c r="BP8" s="110"/>
      <c r="BQ8" s="110"/>
      <c r="BR8" s="110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</row>
    <row r="9" spans="1:83">
      <c r="A9" s="45">
        <v>1978</v>
      </c>
      <c r="B9" s="46">
        <v>222</v>
      </c>
      <c r="C9" s="46">
        <v>720</v>
      </c>
      <c r="D9" s="46">
        <v>113</v>
      </c>
      <c r="E9" s="46">
        <v>22</v>
      </c>
      <c r="F9" s="47">
        <v>59</v>
      </c>
      <c r="G9" s="48">
        <v>250</v>
      </c>
      <c r="H9" s="48">
        <v>54</v>
      </c>
      <c r="I9" s="49">
        <v>14</v>
      </c>
      <c r="J9" s="45">
        <v>1978</v>
      </c>
      <c r="K9" s="50">
        <v>0.15</v>
      </c>
      <c r="L9" s="50">
        <v>1.28</v>
      </c>
      <c r="M9" s="50">
        <v>0.92</v>
      </c>
      <c r="N9" s="51">
        <v>0.92</v>
      </c>
      <c r="O9" s="48">
        <v>266</v>
      </c>
      <c r="P9" s="48">
        <v>348</v>
      </c>
      <c r="Q9" s="48">
        <v>479</v>
      </c>
      <c r="R9" s="49">
        <v>645</v>
      </c>
      <c r="S9" s="45">
        <v>1978</v>
      </c>
      <c r="T9" s="46">
        <v>1906</v>
      </c>
      <c r="U9" s="46">
        <v>1162</v>
      </c>
      <c r="V9" s="46">
        <v>221</v>
      </c>
      <c r="W9" s="52">
        <v>44</v>
      </c>
      <c r="X9" s="46">
        <v>506</v>
      </c>
      <c r="Y9" s="46">
        <v>404</v>
      </c>
      <c r="Z9" s="46">
        <v>106</v>
      </c>
      <c r="AA9" s="52">
        <v>28</v>
      </c>
      <c r="AC9" s="53"/>
      <c r="AD9" s="53"/>
      <c r="AE9" s="53"/>
      <c r="AF9" s="53"/>
      <c r="AG9" s="53"/>
      <c r="AH9" s="53"/>
      <c r="AI9" s="53"/>
      <c r="AJ9" s="53"/>
      <c r="AK9" s="53"/>
      <c r="AL9" s="54"/>
      <c r="AM9" s="54"/>
      <c r="AN9" s="54"/>
      <c r="AO9" s="54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110"/>
      <c r="BP9" s="110"/>
      <c r="BQ9" s="110"/>
      <c r="BR9" s="110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</row>
    <row r="10" spans="1:83">
      <c r="A10" s="45">
        <v>1979</v>
      </c>
      <c r="B10" s="46">
        <v>376</v>
      </c>
      <c r="C10" s="46">
        <v>552</v>
      </c>
      <c r="D10" s="46">
        <v>119</v>
      </c>
      <c r="E10" s="46">
        <v>39</v>
      </c>
      <c r="F10" s="47">
        <v>100</v>
      </c>
      <c r="G10" s="48">
        <v>192</v>
      </c>
      <c r="H10" s="48">
        <v>57</v>
      </c>
      <c r="I10" s="49">
        <v>25</v>
      </c>
      <c r="J10" s="45">
        <v>1979</v>
      </c>
      <c r="K10" s="50">
        <v>0.23</v>
      </c>
      <c r="L10" s="50">
        <v>0.9</v>
      </c>
      <c r="M10" s="50">
        <v>1.03</v>
      </c>
      <c r="N10" s="51">
        <v>1.03</v>
      </c>
      <c r="O10" s="48">
        <v>266</v>
      </c>
      <c r="P10" s="48">
        <v>348</v>
      </c>
      <c r="Q10" s="48">
        <v>479</v>
      </c>
      <c r="R10" s="49">
        <v>645</v>
      </c>
      <c r="S10" s="45">
        <v>1979</v>
      </c>
      <c r="T10" s="46">
        <v>2229</v>
      </c>
      <c r="U10" s="46">
        <v>1098</v>
      </c>
      <c r="V10" s="46">
        <v>217</v>
      </c>
      <c r="W10" s="52">
        <v>71</v>
      </c>
      <c r="X10" s="46">
        <v>592</v>
      </c>
      <c r="Y10" s="46">
        <v>382</v>
      </c>
      <c r="Z10" s="46">
        <v>104</v>
      </c>
      <c r="AA10" s="52">
        <v>46</v>
      </c>
      <c r="AC10" s="53"/>
      <c r="AD10" s="53"/>
      <c r="AE10" s="53"/>
      <c r="AF10" s="53"/>
      <c r="AG10" s="53"/>
      <c r="AH10" s="53"/>
      <c r="AI10" s="53"/>
      <c r="AJ10" s="53"/>
      <c r="AK10" s="53"/>
      <c r="AL10" s="54"/>
      <c r="AM10" s="54"/>
      <c r="AN10" s="54"/>
      <c r="AO10" s="54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110"/>
      <c r="BP10" s="110"/>
      <c r="BQ10" s="110"/>
      <c r="BR10" s="110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</row>
    <row r="11" spans="1:83">
      <c r="A11" s="45">
        <v>1980</v>
      </c>
      <c r="B11" s="46">
        <v>124</v>
      </c>
      <c r="C11" s="46">
        <v>660</v>
      </c>
      <c r="D11" s="46">
        <v>146</v>
      </c>
      <c r="E11" s="46">
        <v>34</v>
      </c>
      <c r="F11" s="47">
        <v>33</v>
      </c>
      <c r="G11" s="48">
        <v>229</v>
      </c>
      <c r="H11" s="48">
        <v>70</v>
      </c>
      <c r="I11" s="49">
        <v>22</v>
      </c>
      <c r="J11" s="45">
        <v>1980</v>
      </c>
      <c r="K11" s="50">
        <v>0.13</v>
      </c>
      <c r="L11" s="50">
        <v>1.05</v>
      </c>
      <c r="M11" s="50">
        <v>0.86</v>
      </c>
      <c r="N11" s="51">
        <v>0.86</v>
      </c>
      <c r="O11" s="48">
        <v>266</v>
      </c>
      <c r="P11" s="48">
        <v>348</v>
      </c>
      <c r="Q11" s="48">
        <v>479</v>
      </c>
      <c r="R11" s="49">
        <v>645</v>
      </c>
      <c r="S11" s="45">
        <v>1980</v>
      </c>
      <c r="T11" s="46">
        <v>1203</v>
      </c>
      <c r="U11" s="46">
        <v>1191</v>
      </c>
      <c r="V11" s="46">
        <v>299</v>
      </c>
      <c r="W11" s="52">
        <v>69</v>
      </c>
      <c r="X11" s="46">
        <v>319</v>
      </c>
      <c r="Y11" s="46">
        <v>414</v>
      </c>
      <c r="Z11" s="46">
        <v>143</v>
      </c>
      <c r="AA11" s="52">
        <v>45</v>
      </c>
      <c r="AC11" s="53"/>
      <c r="AD11" s="53"/>
      <c r="AE11" s="53"/>
      <c r="AF11" s="53"/>
      <c r="AG11" s="53"/>
      <c r="AH11" s="53"/>
      <c r="AI11" s="53"/>
      <c r="AJ11" s="53"/>
      <c r="AK11" s="53"/>
      <c r="AL11" s="54"/>
      <c r="AM11" s="54"/>
      <c r="AN11" s="54"/>
      <c r="AO11" s="54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110"/>
      <c r="BP11" s="110"/>
      <c r="BQ11" s="110"/>
      <c r="BR11" s="110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</row>
    <row r="12" spans="1:83">
      <c r="A12" s="45">
        <v>1981</v>
      </c>
      <c r="B12" s="46">
        <v>352</v>
      </c>
      <c r="C12" s="46">
        <v>350</v>
      </c>
      <c r="D12" s="46">
        <v>184</v>
      </c>
      <c r="E12" s="46">
        <v>69</v>
      </c>
      <c r="F12" s="47">
        <v>94</v>
      </c>
      <c r="G12" s="48">
        <v>122</v>
      </c>
      <c r="H12" s="48">
        <v>88</v>
      </c>
      <c r="I12" s="49">
        <v>45</v>
      </c>
      <c r="J12" s="45">
        <v>1981</v>
      </c>
      <c r="K12" s="50">
        <v>0.23</v>
      </c>
      <c r="L12" s="50">
        <v>0.88</v>
      </c>
      <c r="M12" s="50">
        <v>1.44</v>
      </c>
      <c r="N12" s="51">
        <v>1.44</v>
      </c>
      <c r="O12" s="48">
        <v>266</v>
      </c>
      <c r="P12" s="48">
        <v>348</v>
      </c>
      <c r="Q12" s="48">
        <v>479</v>
      </c>
      <c r="R12" s="49">
        <v>645</v>
      </c>
      <c r="S12" s="45">
        <v>1981</v>
      </c>
      <c r="T12" s="46">
        <v>2026</v>
      </c>
      <c r="U12" s="46">
        <v>706</v>
      </c>
      <c r="V12" s="46">
        <v>280</v>
      </c>
      <c r="W12" s="52">
        <v>105</v>
      </c>
      <c r="X12" s="46">
        <v>538</v>
      </c>
      <c r="Y12" s="46">
        <v>246</v>
      </c>
      <c r="Z12" s="46">
        <v>134</v>
      </c>
      <c r="AA12" s="52">
        <v>68</v>
      </c>
      <c r="AC12" s="53"/>
      <c r="AD12" s="53"/>
      <c r="AE12" s="53"/>
      <c r="AF12" s="53"/>
      <c r="AG12" s="53"/>
      <c r="AH12" s="53"/>
      <c r="AI12" s="53"/>
      <c r="AJ12" s="53"/>
      <c r="AK12" s="53"/>
      <c r="AL12" s="54"/>
      <c r="AM12" s="54"/>
      <c r="AN12" s="54"/>
      <c r="AO12" s="54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110"/>
      <c r="BP12" s="110"/>
      <c r="BQ12" s="110"/>
      <c r="BR12" s="110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</row>
    <row r="13" spans="1:83">
      <c r="A13" s="45">
        <v>1982</v>
      </c>
      <c r="B13" s="46">
        <v>424</v>
      </c>
      <c r="C13" s="46">
        <v>539</v>
      </c>
      <c r="D13" s="46">
        <v>110</v>
      </c>
      <c r="E13" s="46">
        <v>34</v>
      </c>
      <c r="F13" s="47">
        <v>113</v>
      </c>
      <c r="G13" s="48">
        <v>187</v>
      </c>
      <c r="H13" s="48">
        <v>53</v>
      </c>
      <c r="I13" s="49">
        <v>22</v>
      </c>
      <c r="J13" s="45">
        <v>1982</v>
      </c>
      <c r="K13" s="50">
        <v>0.25</v>
      </c>
      <c r="L13" s="50">
        <v>0.9</v>
      </c>
      <c r="M13" s="50">
        <v>1.06</v>
      </c>
      <c r="N13" s="51">
        <v>1.06</v>
      </c>
      <c r="O13" s="48">
        <v>266</v>
      </c>
      <c r="P13" s="48">
        <v>348</v>
      </c>
      <c r="Q13" s="48">
        <v>479</v>
      </c>
      <c r="R13" s="49">
        <v>645</v>
      </c>
      <c r="S13" s="45">
        <v>1982</v>
      </c>
      <c r="T13" s="46">
        <v>2295</v>
      </c>
      <c r="U13" s="46">
        <v>1074</v>
      </c>
      <c r="V13" s="46">
        <v>197</v>
      </c>
      <c r="W13" s="52">
        <v>61</v>
      </c>
      <c r="X13" s="46">
        <v>609</v>
      </c>
      <c r="Y13" s="46">
        <v>373</v>
      </c>
      <c r="Z13" s="46">
        <v>94</v>
      </c>
      <c r="AA13" s="52">
        <v>39</v>
      </c>
      <c r="AC13" s="53"/>
      <c r="AD13" s="53"/>
      <c r="AE13" s="53"/>
      <c r="AF13" s="53"/>
      <c r="AG13" s="53"/>
      <c r="AH13" s="53"/>
      <c r="AI13" s="53"/>
      <c r="AJ13" s="53"/>
      <c r="AK13" s="53"/>
      <c r="AL13" s="54"/>
      <c r="AM13" s="54"/>
      <c r="AN13" s="54"/>
      <c r="AO13" s="54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110"/>
      <c r="BP13" s="110"/>
      <c r="BQ13" s="110"/>
      <c r="BR13" s="110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</row>
    <row r="14" spans="1:83">
      <c r="A14" s="45">
        <v>1983</v>
      </c>
      <c r="B14" s="46">
        <v>249</v>
      </c>
      <c r="C14" s="46">
        <v>594</v>
      </c>
      <c r="D14" s="46">
        <v>130</v>
      </c>
      <c r="E14" s="46">
        <v>27</v>
      </c>
      <c r="F14" s="47">
        <v>66</v>
      </c>
      <c r="G14" s="48">
        <v>206</v>
      </c>
      <c r="H14" s="48">
        <v>63</v>
      </c>
      <c r="I14" s="49">
        <v>17</v>
      </c>
      <c r="J14" s="45">
        <v>1983</v>
      </c>
      <c r="K14" s="50">
        <v>0.19</v>
      </c>
      <c r="L14" s="50">
        <v>0.88</v>
      </c>
      <c r="M14" s="50">
        <v>0.75</v>
      </c>
      <c r="N14" s="51">
        <v>0.75</v>
      </c>
      <c r="O14" s="48">
        <v>266</v>
      </c>
      <c r="P14" s="48">
        <v>348</v>
      </c>
      <c r="Q14" s="48">
        <v>479</v>
      </c>
      <c r="R14" s="49">
        <v>645</v>
      </c>
      <c r="S14" s="45">
        <v>1983</v>
      </c>
      <c r="T14" s="46">
        <v>1714</v>
      </c>
      <c r="U14" s="46">
        <v>1197</v>
      </c>
      <c r="V14" s="46">
        <v>294</v>
      </c>
      <c r="W14" s="52">
        <v>60</v>
      </c>
      <c r="X14" s="46">
        <v>455</v>
      </c>
      <c r="Y14" s="46">
        <v>416</v>
      </c>
      <c r="Z14" s="46">
        <v>141</v>
      </c>
      <c r="AA14" s="52">
        <v>39</v>
      </c>
      <c r="AC14" s="53"/>
      <c r="AD14" s="53"/>
      <c r="AE14" s="53"/>
      <c r="AF14" s="53"/>
      <c r="AG14" s="53"/>
      <c r="AH14" s="53"/>
      <c r="AI14" s="53"/>
      <c r="AJ14" s="53"/>
      <c r="AK14" s="53"/>
      <c r="AL14" s="54"/>
      <c r="AM14" s="54"/>
      <c r="AN14" s="54"/>
      <c r="AO14" s="54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110"/>
      <c r="BP14" s="110"/>
      <c r="BQ14" s="110"/>
      <c r="BR14" s="110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</row>
    <row r="15" spans="1:83">
      <c r="A15" s="45">
        <v>1984</v>
      </c>
      <c r="B15" s="46">
        <v>313</v>
      </c>
      <c r="C15" s="46">
        <v>379</v>
      </c>
      <c r="D15" s="46">
        <v>109</v>
      </c>
      <c r="E15" s="46">
        <v>37</v>
      </c>
      <c r="F15" s="47">
        <v>83</v>
      </c>
      <c r="G15" s="48">
        <v>132</v>
      </c>
      <c r="H15" s="48">
        <v>52</v>
      </c>
      <c r="I15" s="49">
        <v>24</v>
      </c>
      <c r="J15" s="45">
        <v>1984</v>
      </c>
      <c r="K15" s="50">
        <v>0.35</v>
      </c>
      <c r="L15" s="50">
        <v>0.64</v>
      </c>
      <c r="M15" s="50">
        <v>0.5</v>
      </c>
      <c r="N15" s="51">
        <v>0.5</v>
      </c>
      <c r="O15" s="48">
        <v>266</v>
      </c>
      <c r="P15" s="48">
        <v>348</v>
      </c>
      <c r="Q15" s="48">
        <v>479</v>
      </c>
      <c r="R15" s="49">
        <v>645</v>
      </c>
      <c r="S15" s="45">
        <v>1984</v>
      </c>
      <c r="T15" s="46">
        <v>1283</v>
      </c>
      <c r="U15" s="46">
        <v>947</v>
      </c>
      <c r="V15" s="46">
        <v>333</v>
      </c>
      <c r="W15" s="52">
        <v>112</v>
      </c>
      <c r="X15" s="46">
        <v>341</v>
      </c>
      <c r="Y15" s="46">
        <v>329</v>
      </c>
      <c r="Z15" s="46">
        <v>160</v>
      </c>
      <c r="AA15" s="52">
        <v>73</v>
      </c>
      <c r="AC15" s="53"/>
      <c r="AD15" s="53"/>
      <c r="AE15" s="53"/>
      <c r="AF15" s="53"/>
      <c r="AG15" s="53"/>
      <c r="AH15" s="53"/>
      <c r="AI15" s="53"/>
      <c r="AJ15" s="53"/>
      <c r="AK15" s="53"/>
      <c r="AL15" s="54"/>
      <c r="AM15" s="54"/>
      <c r="AN15" s="54"/>
      <c r="AO15" s="54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110"/>
      <c r="BP15" s="110"/>
      <c r="BQ15" s="110"/>
      <c r="BR15" s="110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</row>
    <row r="16" spans="1:83">
      <c r="A16" s="45">
        <v>1985</v>
      </c>
      <c r="B16" s="46">
        <v>212</v>
      </c>
      <c r="C16" s="46">
        <v>230</v>
      </c>
      <c r="D16" s="46">
        <v>153</v>
      </c>
      <c r="E16" s="46">
        <v>83</v>
      </c>
      <c r="F16" s="47">
        <v>56</v>
      </c>
      <c r="G16" s="48">
        <v>80</v>
      </c>
      <c r="H16" s="48">
        <v>73</v>
      </c>
      <c r="I16" s="49">
        <v>54</v>
      </c>
      <c r="J16" s="45">
        <v>1985</v>
      </c>
      <c r="K16" s="50">
        <v>0.17</v>
      </c>
      <c r="L16" s="50">
        <v>0.6</v>
      </c>
      <c r="M16" s="50">
        <v>0.78</v>
      </c>
      <c r="N16" s="51">
        <v>0.78</v>
      </c>
      <c r="O16" s="48">
        <v>266</v>
      </c>
      <c r="P16" s="48">
        <v>348</v>
      </c>
      <c r="Q16" s="48">
        <v>479</v>
      </c>
      <c r="R16" s="49">
        <v>645</v>
      </c>
      <c r="S16" s="45">
        <v>1985</v>
      </c>
      <c r="T16" s="46">
        <v>1647</v>
      </c>
      <c r="U16" s="46">
        <v>609</v>
      </c>
      <c r="V16" s="46">
        <v>333</v>
      </c>
      <c r="W16" s="52">
        <v>182</v>
      </c>
      <c r="X16" s="46">
        <v>437</v>
      </c>
      <c r="Y16" s="46">
        <v>212</v>
      </c>
      <c r="Z16" s="46">
        <v>160</v>
      </c>
      <c r="AA16" s="52">
        <v>117</v>
      </c>
      <c r="AC16" s="53"/>
      <c r="AD16" s="53"/>
      <c r="AE16" s="53"/>
      <c r="AF16" s="53"/>
      <c r="AG16" s="53"/>
      <c r="AH16" s="53"/>
      <c r="AI16" s="53"/>
      <c r="AJ16" s="53"/>
      <c r="AK16" s="53"/>
      <c r="AL16" s="54"/>
      <c r="AM16" s="54"/>
      <c r="AN16" s="54"/>
      <c r="AO16" s="54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110"/>
      <c r="BP16" s="110"/>
      <c r="BQ16" s="110"/>
      <c r="BR16" s="110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</row>
    <row r="17" spans="1:83">
      <c r="A17" s="45">
        <v>1986</v>
      </c>
      <c r="B17" s="46">
        <v>177</v>
      </c>
      <c r="C17" s="46">
        <v>369</v>
      </c>
      <c r="D17" s="46">
        <v>123</v>
      </c>
      <c r="E17" s="46">
        <v>86</v>
      </c>
      <c r="F17" s="47">
        <v>47</v>
      </c>
      <c r="G17" s="48">
        <v>128</v>
      </c>
      <c r="H17" s="48">
        <v>59</v>
      </c>
      <c r="I17" s="49">
        <v>56</v>
      </c>
      <c r="J17" s="45">
        <v>1986</v>
      </c>
      <c r="K17" s="50">
        <v>0.19</v>
      </c>
      <c r="L17" s="50">
        <v>0.64</v>
      </c>
      <c r="M17" s="50">
        <v>1.03</v>
      </c>
      <c r="N17" s="51">
        <v>1.03</v>
      </c>
      <c r="O17" s="48">
        <v>266</v>
      </c>
      <c r="P17" s="48">
        <v>348</v>
      </c>
      <c r="Q17" s="48">
        <v>479</v>
      </c>
      <c r="R17" s="49">
        <v>645</v>
      </c>
      <c r="S17" s="45">
        <v>1986</v>
      </c>
      <c r="T17" s="46">
        <v>1252</v>
      </c>
      <c r="U17" s="46">
        <v>932</v>
      </c>
      <c r="V17" s="46">
        <v>224</v>
      </c>
      <c r="W17" s="52">
        <v>158</v>
      </c>
      <c r="X17" s="46">
        <v>333</v>
      </c>
      <c r="Y17" s="46">
        <v>324</v>
      </c>
      <c r="Z17" s="46">
        <v>107</v>
      </c>
      <c r="AA17" s="52">
        <v>102</v>
      </c>
      <c r="AC17" s="53"/>
      <c r="AD17" s="53"/>
      <c r="AE17" s="53"/>
      <c r="AF17" s="53"/>
      <c r="AG17" s="53"/>
      <c r="AH17" s="53"/>
      <c r="AI17" s="53"/>
      <c r="AJ17" s="53"/>
      <c r="AK17" s="53"/>
      <c r="AL17" s="54"/>
      <c r="AM17" s="54"/>
      <c r="AN17" s="54"/>
      <c r="AO17" s="54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110"/>
      <c r="BP17" s="110"/>
      <c r="BQ17" s="110"/>
      <c r="BR17" s="110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</row>
    <row r="18" spans="1:83">
      <c r="A18" s="45">
        <v>1987</v>
      </c>
      <c r="B18" s="46">
        <v>252</v>
      </c>
      <c r="C18" s="46">
        <v>296</v>
      </c>
      <c r="D18" s="46">
        <v>185</v>
      </c>
      <c r="E18" s="46">
        <v>51</v>
      </c>
      <c r="F18" s="47">
        <v>67</v>
      </c>
      <c r="G18" s="48">
        <v>103</v>
      </c>
      <c r="H18" s="48">
        <v>89</v>
      </c>
      <c r="I18" s="49">
        <v>33</v>
      </c>
      <c r="J18" s="45">
        <v>1987</v>
      </c>
      <c r="K18" s="50">
        <v>0.11</v>
      </c>
      <c r="L18" s="50">
        <v>0.7</v>
      </c>
      <c r="M18" s="50">
        <v>1.07</v>
      </c>
      <c r="N18" s="51">
        <v>1.07</v>
      </c>
      <c r="O18" s="48">
        <v>266</v>
      </c>
      <c r="P18" s="48">
        <v>348</v>
      </c>
      <c r="Q18" s="48">
        <v>479</v>
      </c>
      <c r="R18" s="49">
        <v>645</v>
      </c>
      <c r="S18" s="45">
        <v>1987</v>
      </c>
      <c r="T18" s="46">
        <v>2992</v>
      </c>
      <c r="U18" s="46">
        <v>697</v>
      </c>
      <c r="V18" s="46">
        <v>331</v>
      </c>
      <c r="W18" s="52">
        <v>92</v>
      </c>
      <c r="X18" s="46">
        <v>795</v>
      </c>
      <c r="Y18" s="46">
        <v>242</v>
      </c>
      <c r="Z18" s="46">
        <v>159</v>
      </c>
      <c r="AA18" s="52">
        <v>59</v>
      </c>
      <c r="AC18" s="53"/>
      <c r="AD18" s="53"/>
      <c r="AE18" s="53"/>
      <c r="AF18" s="53"/>
      <c r="AG18" s="53"/>
      <c r="AH18" s="53"/>
      <c r="AI18" s="53"/>
      <c r="AJ18" s="53"/>
      <c r="AK18" s="53"/>
      <c r="AL18" s="54"/>
      <c r="AM18" s="54"/>
      <c r="AN18" s="54"/>
      <c r="AO18" s="54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110"/>
      <c r="BP18" s="110"/>
      <c r="BQ18" s="110"/>
      <c r="BR18" s="110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</row>
    <row r="19" spans="1:83">
      <c r="A19" s="45">
        <v>1988</v>
      </c>
      <c r="B19" s="46">
        <v>399</v>
      </c>
      <c r="C19" s="46">
        <v>631</v>
      </c>
      <c r="D19" s="46">
        <v>84</v>
      </c>
      <c r="E19" s="46">
        <v>35</v>
      </c>
      <c r="F19" s="47">
        <v>106</v>
      </c>
      <c r="G19" s="48">
        <v>219</v>
      </c>
      <c r="H19" s="48">
        <v>40</v>
      </c>
      <c r="I19" s="49">
        <v>23</v>
      </c>
      <c r="J19" s="45">
        <v>1988</v>
      </c>
      <c r="K19" s="50">
        <v>0.36</v>
      </c>
      <c r="L19" s="50">
        <v>0.54</v>
      </c>
      <c r="M19" s="50">
        <v>0.56999999999999995</v>
      </c>
      <c r="N19" s="51">
        <v>0.56999999999999995</v>
      </c>
      <c r="O19" s="48">
        <v>266</v>
      </c>
      <c r="P19" s="48">
        <v>348</v>
      </c>
      <c r="Q19" s="48">
        <v>479</v>
      </c>
      <c r="R19" s="49">
        <v>645</v>
      </c>
      <c r="S19" s="45">
        <v>1988</v>
      </c>
      <c r="T19" s="46">
        <v>1576</v>
      </c>
      <c r="U19" s="46">
        <v>1802</v>
      </c>
      <c r="V19" s="46">
        <v>232</v>
      </c>
      <c r="W19" s="52">
        <v>97</v>
      </c>
      <c r="X19" s="46">
        <v>418</v>
      </c>
      <c r="Y19" s="46">
        <v>626</v>
      </c>
      <c r="Z19" s="46">
        <v>111</v>
      </c>
      <c r="AA19" s="52">
        <v>63</v>
      </c>
      <c r="AC19" s="53"/>
      <c r="AD19" s="53"/>
      <c r="AE19" s="53"/>
      <c r="AF19" s="53"/>
      <c r="AG19" s="53"/>
      <c r="AH19" s="53"/>
      <c r="AI19" s="53"/>
      <c r="AJ19" s="53"/>
      <c r="AK19" s="53"/>
      <c r="AL19" s="54"/>
      <c r="AM19" s="54"/>
      <c r="AN19" s="54"/>
      <c r="AO19" s="54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110"/>
      <c r="BP19" s="110"/>
      <c r="BQ19" s="110"/>
      <c r="BR19" s="110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</row>
    <row r="20" spans="1:83">
      <c r="A20" s="45">
        <v>1989</v>
      </c>
      <c r="B20" s="46">
        <v>162</v>
      </c>
      <c r="C20" s="46">
        <v>433</v>
      </c>
      <c r="D20" s="46">
        <v>409</v>
      </c>
      <c r="E20" s="46">
        <v>73</v>
      </c>
      <c r="F20" s="47">
        <v>43</v>
      </c>
      <c r="G20" s="48">
        <v>151</v>
      </c>
      <c r="H20" s="48">
        <v>196</v>
      </c>
      <c r="I20" s="49">
        <v>47</v>
      </c>
      <c r="J20" s="45">
        <v>1989</v>
      </c>
      <c r="K20" s="50">
        <v>0.3</v>
      </c>
      <c r="L20" s="50">
        <v>1.17</v>
      </c>
      <c r="M20" s="50">
        <v>1.1399999999999999</v>
      </c>
      <c r="N20" s="51">
        <v>1.1399999999999999</v>
      </c>
      <c r="O20" s="48">
        <v>266</v>
      </c>
      <c r="P20" s="48">
        <v>348</v>
      </c>
      <c r="Q20" s="48">
        <v>479</v>
      </c>
      <c r="R20" s="49">
        <v>645</v>
      </c>
      <c r="S20" s="45">
        <v>1989</v>
      </c>
      <c r="T20" s="46">
        <v>762</v>
      </c>
      <c r="U20" s="46">
        <v>736</v>
      </c>
      <c r="V20" s="46">
        <v>703</v>
      </c>
      <c r="W20" s="52">
        <v>125</v>
      </c>
      <c r="X20" s="46">
        <v>202</v>
      </c>
      <c r="Y20" s="46">
        <v>256</v>
      </c>
      <c r="Z20" s="46">
        <v>337</v>
      </c>
      <c r="AA20" s="52">
        <v>81</v>
      </c>
      <c r="AC20" s="53"/>
      <c r="AD20" s="53"/>
      <c r="AE20" s="53"/>
      <c r="AF20" s="53"/>
      <c r="AG20" s="53"/>
      <c r="AH20" s="53"/>
      <c r="AI20" s="53"/>
      <c r="AJ20" s="53"/>
      <c r="AK20" s="53"/>
      <c r="AL20" s="54"/>
      <c r="AM20" s="54"/>
      <c r="AN20" s="54"/>
      <c r="AO20" s="54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110"/>
      <c r="BP20" s="110"/>
      <c r="BQ20" s="110"/>
      <c r="BR20" s="110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</row>
    <row r="21" spans="1:83">
      <c r="A21" s="45">
        <v>1990</v>
      </c>
      <c r="B21" s="46">
        <v>332</v>
      </c>
      <c r="C21" s="46">
        <v>109</v>
      </c>
      <c r="D21" s="46">
        <v>79</v>
      </c>
      <c r="E21" s="46">
        <v>91</v>
      </c>
      <c r="F21" s="47">
        <v>88</v>
      </c>
      <c r="G21" s="48">
        <v>38</v>
      </c>
      <c r="H21" s="48">
        <v>38</v>
      </c>
      <c r="I21" s="49">
        <v>59</v>
      </c>
      <c r="J21" s="45">
        <v>1990</v>
      </c>
      <c r="K21" s="50">
        <v>0.41</v>
      </c>
      <c r="L21" s="50">
        <v>0.42</v>
      </c>
      <c r="M21" s="50">
        <v>0.92</v>
      </c>
      <c r="N21" s="51">
        <v>0.92</v>
      </c>
      <c r="O21" s="48">
        <v>266</v>
      </c>
      <c r="P21" s="48">
        <v>348</v>
      </c>
      <c r="Q21" s="48">
        <v>479</v>
      </c>
      <c r="R21" s="49">
        <v>645</v>
      </c>
      <c r="S21" s="45">
        <v>1990</v>
      </c>
      <c r="T21" s="46">
        <v>1187</v>
      </c>
      <c r="U21" s="46">
        <v>380</v>
      </c>
      <c r="V21" s="46">
        <v>154</v>
      </c>
      <c r="W21" s="52">
        <v>178</v>
      </c>
      <c r="X21" s="46">
        <v>315</v>
      </c>
      <c r="Y21" s="46">
        <v>132</v>
      </c>
      <c r="Z21" s="46">
        <v>74</v>
      </c>
      <c r="AA21" s="52">
        <v>115</v>
      </c>
      <c r="AC21" s="53"/>
      <c r="AD21" s="53"/>
      <c r="AE21" s="53"/>
      <c r="AF21" s="53"/>
      <c r="AG21" s="53"/>
      <c r="AH21" s="53"/>
      <c r="AI21" s="53"/>
      <c r="AJ21" s="53"/>
      <c r="AK21" s="53"/>
      <c r="AL21" s="54"/>
      <c r="AM21" s="54"/>
      <c r="AN21" s="54"/>
      <c r="AO21" s="54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110"/>
      <c r="BP21" s="110"/>
      <c r="BQ21" s="110"/>
      <c r="BR21" s="110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</row>
    <row r="22" spans="1:83">
      <c r="A22" s="45">
        <v>1991</v>
      </c>
      <c r="B22" s="46">
        <v>219</v>
      </c>
      <c r="C22" s="46">
        <v>282</v>
      </c>
      <c r="D22" s="46">
        <v>104</v>
      </c>
      <c r="E22" s="46">
        <v>55</v>
      </c>
      <c r="F22" s="47">
        <v>58</v>
      </c>
      <c r="G22" s="48">
        <v>98</v>
      </c>
      <c r="H22" s="48">
        <v>50</v>
      </c>
      <c r="I22" s="49">
        <v>35</v>
      </c>
      <c r="J22" s="45">
        <v>1991</v>
      </c>
      <c r="K22" s="50">
        <v>0.19</v>
      </c>
      <c r="L22" s="50">
        <v>0.99</v>
      </c>
      <c r="M22" s="50">
        <v>1.29</v>
      </c>
      <c r="N22" s="51">
        <v>1.29</v>
      </c>
      <c r="O22" s="48">
        <v>266</v>
      </c>
      <c r="P22" s="48">
        <v>348</v>
      </c>
      <c r="Q22" s="48">
        <v>479</v>
      </c>
      <c r="R22" s="49">
        <v>645</v>
      </c>
      <c r="S22" s="45">
        <v>1991</v>
      </c>
      <c r="T22" s="46">
        <v>1559</v>
      </c>
      <c r="U22" s="46">
        <v>529</v>
      </c>
      <c r="V22" s="46">
        <v>167</v>
      </c>
      <c r="W22" s="52">
        <v>88</v>
      </c>
      <c r="X22" s="46">
        <v>414</v>
      </c>
      <c r="Y22" s="46">
        <v>184</v>
      </c>
      <c r="Z22" s="46">
        <v>80</v>
      </c>
      <c r="AA22" s="52">
        <v>57</v>
      </c>
      <c r="AC22" s="53"/>
      <c r="AD22" s="53"/>
      <c r="AE22" s="53"/>
      <c r="AF22" s="53"/>
      <c r="AG22" s="53"/>
      <c r="AH22" s="53"/>
      <c r="AI22" s="53"/>
      <c r="AJ22" s="53"/>
      <c r="AK22" s="53"/>
      <c r="AL22" s="54"/>
      <c r="AM22" s="54"/>
      <c r="AN22" s="54"/>
      <c r="AO22" s="54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110"/>
      <c r="BP22" s="110"/>
      <c r="BQ22" s="110"/>
      <c r="BR22" s="110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</row>
    <row r="23" spans="1:83">
      <c r="A23" s="45">
        <v>1992</v>
      </c>
      <c r="B23" s="46">
        <v>385</v>
      </c>
      <c r="C23" s="46">
        <v>317</v>
      </c>
      <c r="D23" s="46">
        <v>64</v>
      </c>
      <c r="E23" s="46">
        <v>23</v>
      </c>
      <c r="F23" s="47">
        <v>102</v>
      </c>
      <c r="G23" s="48">
        <v>110</v>
      </c>
      <c r="H23" s="48">
        <v>31</v>
      </c>
      <c r="I23" s="49">
        <v>15</v>
      </c>
      <c r="J23" s="45">
        <v>1992</v>
      </c>
      <c r="K23" s="50">
        <v>0.27</v>
      </c>
      <c r="L23" s="50">
        <v>0.56999999999999995</v>
      </c>
      <c r="M23" s="50">
        <v>0.85</v>
      </c>
      <c r="N23" s="51">
        <v>0.85</v>
      </c>
      <c r="O23" s="48">
        <v>266</v>
      </c>
      <c r="P23" s="48">
        <v>348</v>
      </c>
      <c r="Q23" s="48">
        <v>479</v>
      </c>
      <c r="R23" s="49">
        <v>645</v>
      </c>
      <c r="S23" s="45">
        <v>1992</v>
      </c>
      <c r="T23" s="46">
        <v>1963</v>
      </c>
      <c r="U23" s="46">
        <v>868</v>
      </c>
      <c r="V23" s="46">
        <v>132</v>
      </c>
      <c r="W23" s="52">
        <v>47</v>
      </c>
      <c r="X23" s="46">
        <v>521</v>
      </c>
      <c r="Y23" s="46">
        <v>302</v>
      </c>
      <c r="Z23" s="46">
        <v>63</v>
      </c>
      <c r="AA23" s="52">
        <v>31</v>
      </c>
      <c r="AC23" s="53"/>
      <c r="AD23" s="53"/>
      <c r="AE23" s="53"/>
      <c r="AF23" s="53"/>
      <c r="AG23" s="53"/>
      <c r="AH23" s="53"/>
      <c r="AI23" s="53"/>
      <c r="AJ23" s="53"/>
      <c r="AK23" s="53"/>
      <c r="AL23" s="54"/>
      <c r="AM23" s="54"/>
      <c r="AN23" s="54"/>
      <c r="AO23" s="54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110"/>
      <c r="BP23" s="110"/>
      <c r="BQ23" s="110"/>
      <c r="BR23" s="110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</row>
    <row r="24" spans="1:83">
      <c r="A24" s="45">
        <v>1993</v>
      </c>
      <c r="B24" s="46">
        <v>595</v>
      </c>
      <c r="C24" s="46">
        <v>509</v>
      </c>
      <c r="D24" s="46">
        <v>117</v>
      </c>
      <c r="E24" s="46">
        <v>18</v>
      </c>
      <c r="F24" s="47">
        <v>158</v>
      </c>
      <c r="G24" s="48">
        <v>177</v>
      </c>
      <c r="H24" s="48">
        <v>56</v>
      </c>
      <c r="I24" s="49">
        <v>12</v>
      </c>
      <c r="J24" s="45">
        <v>1993</v>
      </c>
      <c r="K24" s="50">
        <v>0.41</v>
      </c>
      <c r="L24" s="50">
        <v>0.91</v>
      </c>
      <c r="M24" s="50">
        <v>0.55000000000000004</v>
      </c>
      <c r="N24" s="51">
        <v>0.55000000000000004</v>
      </c>
      <c r="O24" s="48">
        <v>266</v>
      </c>
      <c r="P24" s="48">
        <v>348</v>
      </c>
      <c r="Q24" s="48">
        <v>479</v>
      </c>
      <c r="R24" s="49">
        <v>645</v>
      </c>
      <c r="S24" s="45">
        <v>1993</v>
      </c>
      <c r="T24" s="46">
        <v>2100</v>
      </c>
      <c r="U24" s="46">
        <v>1006</v>
      </c>
      <c r="V24" s="46">
        <v>329</v>
      </c>
      <c r="W24" s="52">
        <v>52</v>
      </c>
      <c r="X24" s="46">
        <v>558</v>
      </c>
      <c r="Y24" s="46">
        <v>350</v>
      </c>
      <c r="Z24" s="46">
        <v>158</v>
      </c>
      <c r="AA24" s="52">
        <v>33</v>
      </c>
      <c r="AC24" s="53"/>
      <c r="AD24" s="53"/>
      <c r="AE24" s="53"/>
      <c r="AF24" s="53"/>
      <c r="AG24" s="53"/>
      <c r="AH24" s="53"/>
      <c r="AI24" s="53"/>
      <c r="AJ24" s="53"/>
      <c r="AK24" s="53"/>
      <c r="AL24" s="54"/>
      <c r="AM24" s="54"/>
      <c r="AN24" s="54"/>
      <c r="AO24" s="54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110"/>
      <c r="BP24" s="110"/>
      <c r="BQ24" s="110"/>
      <c r="BR24" s="110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</row>
    <row r="25" spans="1:83">
      <c r="A25" s="45">
        <v>1994</v>
      </c>
      <c r="B25" s="46">
        <v>786</v>
      </c>
      <c r="C25" s="46">
        <v>587</v>
      </c>
      <c r="D25" s="46">
        <v>158</v>
      </c>
      <c r="E25" s="46">
        <v>86</v>
      </c>
      <c r="F25" s="47">
        <v>209</v>
      </c>
      <c r="G25" s="48">
        <v>204</v>
      </c>
      <c r="H25" s="48">
        <v>76</v>
      </c>
      <c r="I25" s="49">
        <v>55</v>
      </c>
      <c r="J25" s="45">
        <v>1994</v>
      </c>
      <c r="K25" s="50">
        <v>0.56999999999999995</v>
      </c>
      <c r="L25" s="50">
        <v>1.32</v>
      </c>
      <c r="M25" s="50">
        <v>1.1399999999999999</v>
      </c>
      <c r="N25" s="51">
        <v>1.1399999999999999</v>
      </c>
      <c r="O25" s="48">
        <v>266</v>
      </c>
      <c r="P25" s="48">
        <v>348</v>
      </c>
      <c r="Q25" s="48">
        <v>479</v>
      </c>
      <c r="R25" s="49">
        <v>645</v>
      </c>
      <c r="S25" s="45">
        <v>1994</v>
      </c>
      <c r="T25" s="46">
        <v>2145</v>
      </c>
      <c r="U25" s="46">
        <v>930</v>
      </c>
      <c r="V25" s="46">
        <v>272</v>
      </c>
      <c r="W25" s="52">
        <v>147</v>
      </c>
      <c r="X25" s="46">
        <v>570</v>
      </c>
      <c r="Y25" s="46">
        <v>323</v>
      </c>
      <c r="Z25" s="46">
        <v>130</v>
      </c>
      <c r="AA25" s="52">
        <v>95</v>
      </c>
      <c r="AC25" s="53"/>
      <c r="AD25" s="53"/>
      <c r="AE25" s="53"/>
      <c r="AF25" s="53"/>
      <c r="AG25" s="53"/>
      <c r="AH25" s="53"/>
      <c r="AI25" s="53"/>
      <c r="AJ25" s="53"/>
      <c r="AK25" s="53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110"/>
      <c r="BP25" s="110"/>
      <c r="BQ25" s="110"/>
      <c r="BR25" s="110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</row>
    <row r="26" spans="1:83">
      <c r="A26" s="45">
        <v>1995</v>
      </c>
      <c r="B26" s="46">
        <v>611</v>
      </c>
      <c r="C26" s="46">
        <v>477</v>
      </c>
      <c r="D26" s="46">
        <v>87</v>
      </c>
      <c r="E26" s="46">
        <v>47</v>
      </c>
      <c r="F26" s="47">
        <v>162</v>
      </c>
      <c r="G26" s="48">
        <v>166</v>
      </c>
      <c r="H26" s="48">
        <v>42</v>
      </c>
      <c r="I26" s="49">
        <v>30</v>
      </c>
      <c r="J26" s="45">
        <v>1995</v>
      </c>
      <c r="K26" s="50">
        <v>0.25</v>
      </c>
      <c r="L26" s="50">
        <v>1.1599999999999999</v>
      </c>
      <c r="M26" s="50">
        <v>0.96</v>
      </c>
      <c r="N26" s="51">
        <v>0.96</v>
      </c>
      <c r="O26" s="48">
        <v>266</v>
      </c>
      <c r="P26" s="48">
        <v>348</v>
      </c>
      <c r="Q26" s="48">
        <v>479</v>
      </c>
      <c r="R26" s="49">
        <v>645</v>
      </c>
      <c r="S26" s="45">
        <v>1995</v>
      </c>
      <c r="T26" s="46">
        <v>3287</v>
      </c>
      <c r="U26" s="46">
        <v>811</v>
      </c>
      <c r="V26" s="46">
        <v>166</v>
      </c>
      <c r="W26" s="52">
        <v>90</v>
      </c>
      <c r="X26" s="46">
        <v>873</v>
      </c>
      <c r="Y26" s="46">
        <v>282</v>
      </c>
      <c r="Z26" s="46">
        <v>80</v>
      </c>
      <c r="AA26" s="52">
        <v>58</v>
      </c>
      <c r="AC26" s="53"/>
      <c r="AD26" s="53"/>
      <c r="AE26" s="53"/>
      <c r="AF26" s="53"/>
      <c r="AG26" s="53"/>
      <c r="AH26" s="53"/>
      <c r="AI26" s="53"/>
      <c r="AJ26" s="53"/>
      <c r="AK26" s="53"/>
      <c r="AL26" s="54"/>
      <c r="AM26" s="54"/>
      <c r="AN26" s="54"/>
      <c r="AO26" s="54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110"/>
      <c r="BP26" s="110"/>
      <c r="BQ26" s="110"/>
      <c r="BR26" s="110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</row>
    <row r="27" spans="1:83">
      <c r="A27" s="45">
        <v>1996</v>
      </c>
      <c r="B27" s="46">
        <v>1246</v>
      </c>
      <c r="C27" s="46">
        <v>1154</v>
      </c>
      <c r="D27" s="46">
        <v>122</v>
      </c>
      <c r="E27" s="46">
        <v>47</v>
      </c>
      <c r="F27" s="47">
        <v>331</v>
      </c>
      <c r="G27" s="48">
        <v>401</v>
      </c>
      <c r="H27" s="48">
        <v>59</v>
      </c>
      <c r="I27" s="49">
        <v>30</v>
      </c>
      <c r="J27" s="45">
        <v>1996</v>
      </c>
      <c r="K27" s="50">
        <v>0.91</v>
      </c>
      <c r="L27" s="50">
        <v>1.51</v>
      </c>
      <c r="M27" s="50">
        <v>1.75</v>
      </c>
      <c r="N27" s="51">
        <v>1.75</v>
      </c>
      <c r="O27" s="48">
        <v>266</v>
      </c>
      <c r="P27" s="48">
        <v>348</v>
      </c>
      <c r="Q27" s="48">
        <v>479</v>
      </c>
      <c r="R27" s="49">
        <v>645</v>
      </c>
      <c r="S27" s="45">
        <v>1996</v>
      </c>
      <c r="T27" s="46">
        <v>2456</v>
      </c>
      <c r="U27" s="46">
        <v>1711</v>
      </c>
      <c r="V27" s="46">
        <v>170</v>
      </c>
      <c r="W27" s="52">
        <v>65</v>
      </c>
      <c r="X27" s="46">
        <v>652</v>
      </c>
      <c r="Y27" s="46">
        <v>595</v>
      </c>
      <c r="Z27" s="46">
        <v>81</v>
      </c>
      <c r="AA27" s="52">
        <v>42</v>
      </c>
      <c r="AC27" s="53"/>
      <c r="AD27" s="53"/>
      <c r="AE27" s="53"/>
      <c r="AF27" s="53"/>
      <c r="AG27" s="53"/>
      <c r="AH27" s="53"/>
      <c r="AI27" s="53"/>
      <c r="AJ27" s="53"/>
      <c r="AK27" s="53"/>
      <c r="AL27" s="54"/>
      <c r="AM27" s="54"/>
      <c r="AN27" s="54"/>
      <c r="AO27" s="54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110"/>
      <c r="BP27" s="110"/>
      <c r="BQ27" s="110"/>
      <c r="BR27" s="110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</row>
    <row r="28" spans="1:83">
      <c r="A28" s="45">
        <v>1997</v>
      </c>
      <c r="B28" s="46">
        <v>626</v>
      </c>
      <c r="C28" s="46">
        <v>305</v>
      </c>
      <c r="D28" s="46">
        <v>187</v>
      </c>
      <c r="E28" s="46">
        <v>20</v>
      </c>
      <c r="F28" s="47">
        <v>169</v>
      </c>
      <c r="G28" s="48">
        <v>103</v>
      </c>
      <c r="H28" s="48">
        <v>84</v>
      </c>
      <c r="I28" s="49">
        <v>12</v>
      </c>
      <c r="J28" s="45">
        <v>1997</v>
      </c>
      <c r="K28" s="50">
        <v>0.55000000000000004</v>
      </c>
      <c r="L28" s="50">
        <v>0.79</v>
      </c>
      <c r="M28" s="50">
        <v>1.9</v>
      </c>
      <c r="N28" s="51">
        <v>1.9</v>
      </c>
      <c r="O28" s="48">
        <v>270</v>
      </c>
      <c r="P28" s="48">
        <v>338</v>
      </c>
      <c r="Q28" s="48">
        <v>447</v>
      </c>
      <c r="R28" s="49">
        <v>615</v>
      </c>
      <c r="S28" s="45">
        <v>1997</v>
      </c>
      <c r="T28" s="46">
        <v>1775</v>
      </c>
      <c r="U28" s="46">
        <v>663</v>
      </c>
      <c r="V28" s="46">
        <v>252</v>
      </c>
      <c r="W28" s="52">
        <v>27</v>
      </c>
      <c r="X28" s="46">
        <v>479</v>
      </c>
      <c r="Y28" s="46">
        <v>224</v>
      </c>
      <c r="Z28" s="46">
        <v>113</v>
      </c>
      <c r="AA28" s="52">
        <v>17</v>
      </c>
      <c r="AC28" s="53"/>
      <c r="AD28" s="53"/>
      <c r="AE28" s="53"/>
      <c r="AF28" s="53"/>
      <c r="AG28" s="53"/>
      <c r="AH28" s="53"/>
      <c r="AI28" s="53"/>
      <c r="AJ28" s="53"/>
      <c r="AK28" s="53"/>
      <c r="AL28" s="54"/>
      <c r="AM28" s="54"/>
      <c r="AN28" s="54"/>
      <c r="AO28" s="54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110"/>
      <c r="BP28" s="110"/>
      <c r="BQ28" s="110"/>
      <c r="BR28" s="110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</row>
    <row r="29" spans="1:83">
      <c r="A29" s="45">
        <v>1998</v>
      </c>
      <c r="B29" s="46">
        <v>527</v>
      </c>
      <c r="C29" s="46">
        <v>379</v>
      </c>
      <c r="D29" s="46">
        <v>96</v>
      </c>
      <c r="E29" s="46">
        <v>13</v>
      </c>
      <c r="F29" s="47">
        <v>140</v>
      </c>
      <c r="G29" s="48">
        <v>133</v>
      </c>
      <c r="H29" s="48">
        <v>46</v>
      </c>
      <c r="I29" s="49">
        <v>8</v>
      </c>
      <c r="J29" s="45">
        <v>1998</v>
      </c>
      <c r="K29" s="50">
        <v>0.63</v>
      </c>
      <c r="L29" s="50">
        <v>1.04</v>
      </c>
      <c r="M29" s="50">
        <v>0.82</v>
      </c>
      <c r="N29" s="51">
        <v>0.82</v>
      </c>
      <c r="O29" s="48">
        <v>266</v>
      </c>
      <c r="P29" s="48">
        <v>351</v>
      </c>
      <c r="Q29" s="48">
        <v>477</v>
      </c>
      <c r="R29" s="49">
        <v>631</v>
      </c>
      <c r="S29" s="45">
        <v>1998</v>
      </c>
      <c r="T29" s="46">
        <v>1349</v>
      </c>
      <c r="U29" s="46">
        <v>689</v>
      </c>
      <c r="V29" s="46">
        <v>202</v>
      </c>
      <c r="W29" s="52">
        <v>28</v>
      </c>
      <c r="X29" s="46">
        <v>359</v>
      </c>
      <c r="Y29" s="46">
        <v>242</v>
      </c>
      <c r="Z29" s="46">
        <v>96</v>
      </c>
      <c r="AA29" s="52">
        <v>18</v>
      </c>
      <c r="AC29" s="53"/>
      <c r="AD29" s="53"/>
      <c r="AE29" s="53"/>
      <c r="AF29" s="53"/>
      <c r="AG29" s="53"/>
      <c r="AH29" s="53"/>
      <c r="AI29" s="53"/>
      <c r="AJ29" s="53"/>
      <c r="AK29" s="53"/>
      <c r="AL29" s="54"/>
      <c r="AM29" s="54"/>
      <c r="AN29" s="54"/>
      <c r="AO29" s="54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110"/>
      <c r="BP29" s="110"/>
      <c r="BQ29" s="110"/>
      <c r="BR29" s="110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</row>
    <row r="30" spans="1:83">
      <c r="A30" s="45">
        <v>1999</v>
      </c>
      <c r="B30" s="46">
        <v>452</v>
      </c>
      <c r="C30" s="46">
        <v>276</v>
      </c>
      <c r="D30" s="46">
        <v>71</v>
      </c>
      <c r="E30" s="46">
        <v>30</v>
      </c>
      <c r="F30" s="47">
        <v>114</v>
      </c>
      <c r="G30" s="48">
        <v>97</v>
      </c>
      <c r="H30" s="48">
        <v>35</v>
      </c>
      <c r="I30" s="49">
        <v>19</v>
      </c>
      <c r="J30" s="45">
        <v>1999</v>
      </c>
      <c r="K30" s="50">
        <v>0.54</v>
      </c>
      <c r="L30" s="50">
        <v>1.1000000000000001</v>
      </c>
      <c r="M30" s="50">
        <v>0.73</v>
      </c>
      <c r="N30" s="51">
        <v>0.73</v>
      </c>
      <c r="O30" s="48">
        <v>252</v>
      </c>
      <c r="P30" s="48">
        <v>352</v>
      </c>
      <c r="Q30" s="48">
        <v>488</v>
      </c>
      <c r="R30" s="49">
        <v>624</v>
      </c>
      <c r="S30" s="45">
        <v>1999</v>
      </c>
      <c r="T30" s="46">
        <v>1286</v>
      </c>
      <c r="U30" s="46">
        <v>484</v>
      </c>
      <c r="V30" s="46">
        <v>164</v>
      </c>
      <c r="W30" s="52">
        <v>68</v>
      </c>
      <c r="X30" s="46">
        <v>324</v>
      </c>
      <c r="Y30" s="46">
        <v>170</v>
      </c>
      <c r="Z30" s="46">
        <v>80</v>
      </c>
      <c r="AA30" s="52">
        <v>42</v>
      </c>
      <c r="AC30" s="53"/>
      <c r="AD30" s="53"/>
      <c r="AE30" s="53"/>
      <c r="AF30" s="53"/>
      <c r="AG30" s="53"/>
      <c r="AH30" s="53"/>
      <c r="AI30" s="53"/>
      <c r="AJ30" s="53"/>
      <c r="AK30" s="53"/>
      <c r="AL30" s="54"/>
      <c r="AM30" s="54"/>
      <c r="AN30" s="54"/>
      <c r="AO30" s="54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110"/>
      <c r="BP30" s="110"/>
      <c r="BQ30" s="110"/>
      <c r="BR30" s="110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</row>
    <row r="31" spans="1:83">
      <c r="A31" s="45">
        <v>2000</v>
      </c>
      <c r="B31" s="46">
        <v>241</v>
      </c>
      <c r="C31" s="46">
        <v>333</v>
      </c>
      <c r="D31" s="46">
        <v>68</v>
      </c>
      <c r="E31" s="46">
        <v>48</v>
      </c>
      <c r="F31" s="47">
        <v>42</v>
      </c>
      <c r="G31" s="48">
        <v>111</v>
      </c>
      <c r="H31" s="48">
        <v>33</v>
      </c>
      <c r="I31" s="49">
        <v>29</v>
      </c>
      <c r="J31" s="45">
        <v>2000</v>
      </c>
      <c r="K31" s="50">
        <v>0.32</v>
      </c>
      <c r="L31" s="50">
        <v>1.47</v>
      </c>
      <c r="M31" s="50">
        <v>1.33</v>
      </c>
      <c r="N31" s="51">
        <v>1.33</v>
      </c>
      <c r="O31" s="48">
        <v>173</v>
      </c>
      <c r="P31" s="48">
        <v>334</v>
      </c>
      <c r="Q31" s="48">
        <v>481</v>
      </c>
      <c r="R31" s="49">
        <v>613</v>
      </c>
      <c r="S31" s="45">
        <v>2000</v>
      </c>
      <c r="T31" s="46">
        <v>1046</v>
      </c>
      <c r="U31" s="46">
        <v>501</v>
      </c>
      <c r="V31" s="46">
        <v>107</v>
      </c>
      <c r="W31" s="52">
        <v>75</v>
      </c>
      <c r="X31" s="46">
        <v>181</v>
      </c>
      <c r="Y31" s="46">
        <v>168</v>
      </c>
      <c r="Z31" s="46">
        <v>52</v>
      </c>
      <c r="AA31" s="52">
        <v>46</v>
      </c>
      <c r="AC31" s="53"/>
      <c r="AD31" s="53"/>
      <c r="AE31" s="53"/>
      <c r="AF31" s="53"/>
      <c r="AG31" s="53"/>
      <c r="AH31" s="53"/>
      <c r="AI31" s="53"/>
      <c r="AJ31" s="53"/>
      <c r="AK31" s="53"/>
      <c r="AL31" s="54"/>
      <c r="AM31" s="54"/>
      <c r="AN31" s="54"/>
      <c r="AO31" s="54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110"/>
      <c r="BP31" s="110"/>
      <c r="BQ31" s="110"/>
      <c r="BR31" s="110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</row>
    <row r="32" spans="1:83">
      <c r="A32" s="45">
        <v>2001</v>
      </c>
      <c r="B32" s="46">
        <v>476</v>
      </c>
      <c r="C32" s="46">
        <v>336</v>
      </c>
      <c r="D32" s="46">
        <v>37</v>
      </c>
      <c r="E32" s="46">
        <v>15</v>
      </c>
      <c r="F32" s="47">
        <v>132</v>
      </c>
      <c r="G32" s="48">
        <v>116</v>
      </c>
      <c r="H32" s="48">
        <v>17</v>
      </c>
      <c r="I32" s="49">
        <v>11</v>
      </c>
      <c r="J32" s="45">
        <v>2001</v>
      </c>
      <c r="K32" s="50">
        <v>0.66</v>
      </c>
      <c r="L32" s="50">
        <v>1.46</v>
      </c>
      <c r="M32" s="50">
        <v>0.83</v>
      </c>
      <c r="N32" s="51">
        <v>0.83</v>
      </c>
      <c r="O32" s="48">
        <v>278</v>
      </c>
      <c r="P32" s="48">
        <v>345</v>
      </c>
      <c r="Q32" s="48">
        <v>474</v>
      </c>
      <c r="R32" s="49">
        <v>699</v>
      </c>
      <c r="S32" s="45">
        <v>2001</v>
      </c>
      <c r="T32" s="46">
        <v>1166</v>
      </c>
      <c r="U32" s="46">
        <v>507</v>
      </c>
      <c r="V32" s="46">
        <v>77</v>
      </c>
      <c r="W32" s="52">
        <v>32</v>
      </c>
      <c r="X32" s="46">
        <v>324</v>
      </c>
      <c r="Y32" s="46">
        <v>175</v>
      </c>
      <c r="Z32" s="46">
        <v>37</v>
      </c>
      <c r="AA32" s="52">
        <v>23</v>
      </c>
      <c r="AC32" s="53"/>
      <c r="AD32" s="53"/>
      <c r="AE32" s="53"/>
      <c r="AF32" s="53"/>
      <c r="AG32" s="53"/>
      <c r="AH32" s="53"/>
      <c r="AI32" s="53"/>
      <c r="AJ32" s="53"/>
      <c r="AK32" s="53"/>
      <c r="AL32" s="54"/>
      <c r="AM32" s="54"/>
      <c r="AN32" s="54"/>
      <c r="AO32" s="54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110"/>
      <c r="BP32" s="110"/>
      <c r="BQ32" s="110"/>
      <c r="BR32" s="110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</row>
    <row r="33" spans="1:83">
      <c r="A33" s="45">
        <v>2002</v>
      </c>
      <c r="B33" s="46">
        <v>348</v>
      </c>
      <c r="C33" s="46">
        <v>284</v>
      </c>
      <c r="D33" s="46">
        <v>40</v>
      </c>
      <c r="E33" s="46">
        <v>16</v>
      </c>
      <c r="F33" s="47">
        <v>96</v>
      </c>
      <c r="G33" s="48">
        <v>99</v>
      </c>
      <c r="H33" s="48">
        <v>19</v>
      </c>
      <c r="I33" s="49">
        <v>11</v>
      </c>
      <c r="J33" s="45">
        <v>2002</v>
      </c>
      <c r="K33" s="50">
        <v>0.56000000000000005</v>
      </c>
      <c r="L33" s="50">
        <v>1.68</v>
      </c>
      <c r="M33" s="50">
        <v>0.92</v>
      </c>
      <c r="N33" s="51">
        <v>0.92</v>
      </c>
      <c r="O33" s="48">
        <v>276</v>
      </c>
      <c r="P33" s="48">
        <v>348</v>
      </c>
      <c r="Q33" s="48">
        <v>481</v>
      </c>
      <c r="R33" s="49">
        <v>653</v>
      </c>
      <c r="S33" s="45">
        <v>2002</v>
      </c>
      <c r="T33" s="46">
        <v>972</v>
      </c>
      <c r="U33" s="46">
        <v>402</v>
      </c>
      <c r="V33" s="46">
        <v>79</v>
      </c>
      <c r="W33" s="52">
        <v>32</v>
      </c>
      <c r="X33" s="46">
        <v>268</v>
      </c>
      <c r="Y33" s="46">
        <v>140</v>
      </c>
      <c r="Z33" s="46">
        <v>38</v>
      </c>
      <c r="AA33" s="52">
        <v>21</v>
      </c>
      <c r="AC33" s="53"/>
      <c r="AD33" s="53"/>
      <c r="AE33" s="53"/>
      <c r="AF33" s="53"/>
      <c r="AG33" s="53"/>
      <c r="AH33" s="53"/>
      <c r="AI33" s="53"/>
      <c r="AJ33" s="53"/>
      <c r="AK33" s="53"/>
      <c r="AL33" s="54"/>
      <c r="AM33" s="54"/>
      <c r="AN33" s="54"/>
      <c r="AO33" s="54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110"/>
      <c r="BP33" s="110"/>
      <c r="BQ33" s="110"/>
      <c r="BR33" s="110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</row>
    <row r="34" spans="1:83">
      <c r="A34" s="45">
        <v>2003</v>
      </c>
      <c r="B34" s="46">
        <v>356</v>
      </c>
      <c r="C34" s="46">
        <v>230</v>
      </c>
      <c r="D34" s="46">
        <v>23</v>
      </c>
      <c r="E34" s="46">
        <v>14</v>
      </c>
      <c r="F34" s="47">
        <v>104</v>
      </c>
      <c r="G34" s="48">
        <v>79</v>
      </c>
      <c r="H34" s="48">
        <v>11</v>
      </c>
      <c r="I34" s="49">
        <v>9</v>
      </c>
      <c r="J34" s="45">
        <v>2003</v>
      </c>
      <c r="K34" s="50">
        <v>0.56000000000000005</v>
      </c>
      <c r="L34" s="50">
        <v>1.26</v>
      </c>
      <c r="M34" s="50">
        <v>0.8</v>
      </c>
      <c r="N34" s="51">
        <v>0.8</v>
      </c>
      <c r="O34" s="48">
        <v>291</v>
      </c>
      <c r="P34" s="48">
        <v>343</v>
      </c>
      <c r="Q34" s="48">
        <v>456</v>
      </c>
      <c r="R34" s="49">
        <v>655</v>
      </c>
      <c r="S34" s="45">
        <v>2003</v>
      </c>
      <c r="T34" s="46">
        <v>991</v>
      </c>
      <c r="U34" s="46">
        <v>374</v>
      </c>
      <c r="V34" s="46">
        <v>50</v>
      </c>
      <c r="W34" s="52">
        <v>30</v>
      </c>
      <c r="X34" s="46">
        <v>288</v>
      </c>
      <c r="Y34" s="46">
        <v>128</v>
      </c>
      <c r="Z34" s="46">
        <v>23</v>
      </c>
      <c r="AA34" s="52">
        <v>20</v>
      </c>
      <c r="AC34" s="53"/>
      <c r="AD34" s="53"/>
      <c r="AE34" s="53"/>
      <c r="AF34" s="53"/>
      <c r="AG34" s="53"/>
      <c r="AH34" s="53"/>
      <c r="AI34" s="53"/>
      <c r="AJ34" s="53"/>
      <c r="AK34" s="53"/>
      <c r="AL34" s="54"/>
      <c r="AM34" s="54"/>
      <c r="AN34" s="54"/>
      <c r="AO34" s="54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110"/>
      <c r="BP34" s="110"/>
      <c r="BQ34" s="110"/>
      <c r="BR34" s="110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</row>
    <row r="35" spans="1:83">
      <c r="A35" s="45">
        <v>2004</v>
      </c>
      <c r="B35" s="46">
        <v>584</v>
      </c>
      <c r="C35" s="46">
        <v>164</v>
      </c>
      <c r="D35" s="46">
        <v>45</v>
      </c>
      <c r="E35" s="46">
        <v>15</v>
      </c>
      <c r="F35" s="47">
        <v>172</v>
      </c>
      <c r="G35" s="48">
        <v>59</v>
      </c>
      <c r="H35" s="48">
        <v>20</v>
      </c>
      <c r="I35" s="49">
        <v>10</v>
      </c>
      <c r="J35" s="45">
        <v>2004</v>
      </c>
      <c r="K35" s="50">
        <v>0.62</v>
      </c>
      <c r="L35" s="50">
        <v>0.71</v>
      </c>
      <c r="M35" s="50">
        <v>1.33</v>
      </c>
      <c r="N35" s="51">
        <v>1.33</v>
      </c>
      <c r="O35" s="48">
        <v>295</v>
      </c>
      <c r="P35" s="48">
        <v>360</v>
      </c>
      <c r="Q35" s="48">
        <v>455</v>
      </c>
      <c r="R35" s="49">
        <v>654</v>
      </c>
      <c r="S35" s="45">
        <v>2004</v>
      </c>
      <c r="T35" s="46">
        <v>1497</v>
      </c>
      <c r="U35" s="46">
        <v>380</v>
      </c>
      <c r="V35" s="46">
        <v>71</v>
      </c>
      <c r="W35" s="52">
        <v>24</v>
      </c>
      <c r="X35" s="46">
        <v>442</v>
      </c>
      <c r="Y35" s="46">
        <v>137</v>
      </c>
      <c r="Z35" s="46">
        <v>32</v>
      </c>
      <c r="AA35" s="52">
        <v>16</v>
      </c>
      <c r="AC35" s="53"/>
      <c r="AD35" s="53"/>
      <c r="AE35" s="53"/>
      <c r="AF35" s="53"/>
      <c r="AG35" s="53"/>
      <c r="AH35" s="53"/>
      <c r="AI35" s="53"/>
      <c r="AJ35" s="53"/>
      <c r="AK35" s="53"/>
      <c r="AL35" s="54"/>
      <c r="AM35" s="54"/>
      <c r="AN35" s="54"/>
      <c r="AO35" s="54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110"/>
      <c r="BP35" s="110"/>
      <c r="BQ35" s="110"/>
      <c r="BR35" s="110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</row>
    <row r="36" spans="1:83">
      <c r="A36" s="45">
        <v>2005</v>
      </c>
      <c r="B36" s="46">
        <v>262</v>
      </c>
      <c r="C36" s="46">
        <v>280</v>
      </c>
      <c r="D36" s="46">
        <v>58</v>
      </c>
      <c r="E36" s="46">
        <v>8</v>
      </c>
      <c r="F36" s="47">
        <v>75</v>
      </c>
      <c r="G36" s="48">
        <v>103</v>
      </c>
      <c r="H36" s="48">
        <v>29</v>
      </c>
      <c r="I36" s="49">
        <v>5</v>
      </c>
      <c r="J36" s="45">
        <v>2005</v>
      </c>
      <c r="K36" s="50">
        <v>0.47</v>
      </c>
      <c r="L36" s="50">
        <v>0.95</v>
      </c>
      <c r="M36" s="50">
        <v>0.79</v>
      </c>
      <c r="N36" s="51">
        <v>0.79</v>
      </c>
      <c r="O36" s="48">
        <v>286</v>
      </c>
      <c r="P36" s="48">
        <v>368</v>
      </c>
      <c r="Q36" s="48">
        <v>505</v>
      </c>
      <c r="R36" s="49">
        <v>638</v>
      </c>
      <c r="S36" s="45">
        <v>2005</v>
      </c>
      <c r="T36" s="46">
        <v>830</v>
      </c>
      <c r="U36" s="46">
        <v>538</v>
      </c>
      <c r="V36" s="46">
        <v>125</v>
      </c>
      <c r="W36" s="52">
        <v>17</v>
      </c>
      <c r="X36" s="46">
        <v>237</v>
      </c>
      <c r="Y36" s="46">
        <v>198</v>
      </c>
      <c r="Z36" s="46">
        <v>63</v>
      </c>
      <c r="AA36" s="52">
        <v>11</v>
      </c>
      <c r="AC36" s="53"/>
      <c r="AD36" s="53"/>
      <c r="AE36" s="53"/>
      <c r="AF36" s="53"/>
      <c r="AG36" s="53"/>
      <c r="AH36" s="53"/>
      <c r="AI36" s="53"/>
      <c r="AJ36" s="53"/>
      <c r="AK36" s="53"/>
      <c r="AL36" s="54"/>
      <c r="AM36" s="54"/>
      <c r="AN36" s="54"/>
      <c r="AO36" s="54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110"/>
      <c r="BP36" s="110"/>
      <c r="BQ36" s="110"/>
      <c r="BR36" s="110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</row>
    <row r="37" spans="1:83">
      <c r="A37" s="45">
        <v>2006</v>
      </c>
      <c r="B37" s="46">
        <v>255</v>
      </c>
      <c r="C37" s="46">
        <v>188</v>
      </c>
      <c r="D37" s="46">
        <v>82</v>
      </c>
      <c r="E37" s="46">
        <v>25</v>
      </c>
      <c r="F37" s="47">
        <v>63</v>
      </c>
      <c r="G37" s="48">
        <v>66</v>
      </c>
      <c r="H37" s="48">
        <v>44</v>
      </c>
      <c r="I37" s="49">
        <v>17</v>
      </c>
      <c r="J37" s="45">
        <v>2006</v>
      </c>
      <c r="K37" s="50">
        <v>0.42</v>
      </c>
      <c r="L37" s="50">
        <v>1.01</v>
      </c>
      <c r="M37" s="50">
        <v>1.1599999999999999</v>
      </c>
      <c r="N37" s="51">
        <v>1.1599999999999999</v>
      </c>
      <c r="O37" s="48">
        <v>247</v>
      </c>
      <c r="P37" s="48">
        <v>349</v>
      </c>
      <c r="Q37" s="48">
        <v>530</v>
      </c>
      <c r="R37" s="49">
        <v>672</v>
      </c>
      <c r="S37" s="45">
        <v>2006</v>
      </c>
      <c r="T37" s="46">
        <v>887</v>
      </c>
      <c r="U37" s="46">
        <v>347</v>
      </c>
      <c r="V37" s="46">
        <v>140</v>
      </c>
      <c r="W37" s="52">
        <v>43</v>
      </c>
      <c r="X37" s="46">
        <v>219</v>
      </c>
      <c r="Y37" s="46">
        <v>121</v>
      </c>
      <c r="Z37" s="46">
        <v>74</v>
      </c>
      <c r="AA37" s="52">
        <v>29</v>
      </c>
      <c r="AC37" s="53"/>
      <c r="AD37" s="53"/>
      <c r="AE37" s="53"/>
      <c r="AF37" s="53"/>
      <c r="AG37" s="53"/>
      <c r="AH37" s="53"/>
      <c r="AI37" s="53"/>
      <c r="AJ37" s="53"/>
      <c r="AK37" s="53"/>
      <c r="AL37" s="54"/>
      <c r="AM37" s="54"/>
      <c r="AN37" s="54"/>
      <c r="AO37" s="54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110"/>
      <c r="BP37" s="110"/>
      <c r="BQ37" s="110"/>
      <c r="BR37" s="110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</row>
    <row r="38" spans="1:83">
      <c r="A38" s="45">
        <v>2007</v>
      </c>
      <c r="B38" s="46">
        <v>454</v>
      </c>
      <c r="C38" s="46">
        <v>231</v>
      </c>
      <c r="D38" s="46">
        <v>53</v>
      </c>
      <c r="E38" s="46">
        <v>24</v>
      </c>
      <c r="F38" s="47">
        <v>131</v>
      </c>
      <c r="G38" s="48">
        <v>78</v>
      </c>
      <c r="H38" s="48">
        <v>25</v>
      </c>
      <c r="I38" s="49">
        <v>16</v>
      </c>
      <c r="J38" s="45">
        <v>2007</v>
      </c>
      <c r="K38" s="50">
        <v>0.65</v>
      </c>
      <c r="L38" s="50">
        <v>1.18</v>
      </c>
      <c r="M38" s="50">
        <v>1.33</v>
      </c>
      <c r="N38" s="51">
        <v>1.33</v>
      </c>
      <c r="O38" s="48">
        <v>288</v>
      </c>
      <c r="P38" s="48">
        <v>336</v>
      </c>
      <c r="Q38" s="48">
        <v>474</v>
      </c>
      <c r="R38" s="49">
        <v>646</v>
      </c>
      <c r="S38" s="45">
        <v>2007</v>
      </c>
      <c r="T38" s="46">
        <v>1132</v>
      </c>
      <c r="U38" s="46">
        <v>390</v>
      </c>
      <c r="V38" s="46">
        <v>84</v>
      </c>
      <c r="W38" s="52">
        <v>39</v>
      </c>
      <c r="X38" s="46">
        <v>326</v>
      </c>
      <c r="Y38" s="46">
        <v>131</v>
      </c>
      <c r="Z38" s="46">
        <v>40</v>
      </c>
      <c r="AA38" s="52">
        <v>25</v>
      </c>
      <c r="AC38" s="53"/>
      <c r="AD38" s="53"/>
      <c r="AE38" s="53"/>
      <c r="AF38" s="53"/>
      <c r="AG38" s="53"/>
      <c r="AH38" s="53"/>
      <c r="AI38" s="53"/>
      <c r="AJ38" s="53"/>
      <c r="AK38" s="53"/>
      <c r="AL38" s="54"/>
      <c r="AM38" s="54"/>
      <c r="AN38" s="54"/>
      <c r="AO38" s="54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110"/>
      <c r="BP38" s="110"/>
      <c r="BQ38" s="110"/>
      <c r="BR38" s="110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</row>
    <row r="39" spans="1:83">
      <c r="A39" s="45">
        <v>2008</v>
      </c>
      <c r="B39" s="46">
        <v>787</v>
      </c>
      <c r="C39" s="46">
        <v>152</v>
      </c>
      <c r="D39" s="46">
        <v>49</v>
      </c>
      <c r="E39" s="46">
        <v>13</v>
      </c>
      <c r="F39" s="47">
        <v>223</v>
      </c>
      <c r="G39" s="48">
        <v>53</v>
      </c>
      <c r="H39" s="48">
        <v>24</v>
      </c>
      <c r="I39" s="49">
        <v>9</v>
      </c>
      <c r="J39" s="45">
        <v>2008</v>
      </c>
      <c r="K39" s="50">
        <v>0.74</v>
      </c>
      <c r="L39" s="50">
        <v>0.61</v>
      </c>
      <c r="M39" s="50">
        <v>1.24</v>
      </c>
      <c r="N39" s="51">
        <v>1.24</v>
      </c>
      <c r="O39" s="48">
        <v>283</v>
      </c>
      <c r="P39" s="48">
        <v>350</v>
      </c>
      <c r="Q39" s="48">
        <v>488</v>
      </c>
      <c r="R39" s="49">
        <v>654</v>
      </c>
      <c r="S39" s="45">
        <v>2008</v>
      </c>
      <c r="T39" s="46">
        <v>1779</v>
      </c>
      <c r="U39" s="46">
        <v>397</v>
      </c>
      <c r="V39" s="46">
        <v>80</v>
      </c>
      <c r="W39" s="52">
        <v>22</v>
      </c>
      <c r="X39" s="46">
        <v>503</v>
      </c>
      <c r="Y39" s="46">
        <v>139</v>
      </c>
      <c r="Z39" s="46">
        <v>39</v>
      </c>
      <c r="AA39" s="52">
        <v>14</v>
      </c>
      <c r="AC39" s="53"/>
      <c r="AD39" s="53"/>
      <c r="AE39" s="53"/>
      <c r="AF39" s="53"/>
      <c r="AG39" s="53"/>
      <c r="AH39" s="53"/>
      <c r="AI39" s="53"/>
      <c r="AJ39" s="53"/>
      <c r="AK39" s="53"/>
      <c r="AL39" s="54"/>
      <c r="AM39" s="54"/>
      <c r="AN39" s="54"/>
      <c r="AO39" s="54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110"/>
      <c r="BP39" s="110"/>
      <c r="BQ39" s="110"/>
      <c r="BR39" s="110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</row>
    <row r="40" spans="1:83">
      <c r="A40" s="45">
        <v>2009</v>
      </c>
      <c r="B40" s="46">
        <v>356</v>
      </c>
      <c r="C40" s="46">
        <v>419</v>
      </c>
      <c r="D40" s="46">
        <v>92</v>
      </c>
      <c r="E40" s="46">
        <v>13</v>
      </c>
      <c r="F40" s="47">
        <v>102</v>
      </c>
      <c r="G40" s="48">
        <v>145</v>
      </c>
      <c r="H40" s="48">
        <v>44</v>
      </c>
      <c r="I40" s="49">
        <v>7</v>
      </c>
      <c r="J40" s="45">
        <v>2009</v>
      </c>
      <c r="K40" s="50">
        <v>0.59</v>
      </c>
      <c r="L40" s="50">
        <v>1.87</v>
      </c>
      <c r="M40" s="50">
        <v>1.34</v>
      </c>
      <c r="N40" s="51">
        <v>1.34</v>
      </c>
      <c r="O40" s="48">
        <v>287</v>
      </c>
      <c r="P40" s="48">
        <v>346</v>
      </c>
      <c r="Q40" s="48">
        <v>475</v>
      </c>
      <c r="R40" s="49">
        <v>572</v>
      </c>
      <c r="S40" s="45">
        <v>2009</v>
      </c>
      <c r="T40" s="46">
        <v>955</v>
      </c>
      <c r="U40" s="46">
        <v>568</v>
      </c>
      <c r="V40" s="46">
        <v>145</v>
      </c>
      <c r="W40" s="52">
        <v>20</v>
      </c>
      <c r="X40" s="46">
        <v>274</v>
      </c>
      <c r="Y40" s="46">
        <v>197</v>
      </c>
      <c r="Z40" s="46">
        <v>69</v>
      </c>
      <c r="AA40" s="52">
        <v>11</v>
      </c>
      <c r="AC40" s="53"/>
      <c r="AD40" s="53"/>
      <c r="AE40" s="53"/>
      <c r="AF40" s="53"/>
      <c r="AG40" s="53"/>
      <c r="AH40" s="53"/>
      <c r="AI40" s="53"/>
      <c r="AJ40" s="53"/>
      <c r="AK40" s="53"/>
      <c r="AL40" s="54"/>
      <c r="AM40" s="54"/>
      <c r="AN40" s="54"/>
      <c r="AO40" s="54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110"/>
      <c r="BP40" s="110"/>
      <c r="BQ40" s="110"/>
      <c r="BR40" s="110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</row>
    <row r="41" spans="1:83">
      <c r="A41" s="45">
        <v>2010</v>
      </c>
      <c r="B41" s="46">
        <v>432</v>
      </c>
      <c r="C41" s="46">
        <v>193</v>
      </c>
      <c r="D41" s="46">
        <v>35</v>
      </c>
      <c r="E41" s="46">
        <v>17</v>
      </c>
      <c r="F41" s="47">
        <v>121</v>
      </c>
      <c r="G41" s="48">
        <v>64</v>
      </c>
      <c r="H41" s="48">
        <v>16</v>
      </c>
      <c r="I41" s="49">
        <v>10</v>
      </c>
      <c r="J41" s="45">
        <v>2010</v>
      </c>
      <c r="K41" s="50">
        <v>0.54</v>
      </c>
      <c r="L41" s="50">
        <v>1.01</v>
      </c>
      <c r="M41" s="50">
        <v>1.18</v>
      </c>
      <c r="N41" s="51">
        <v>1.18</v>
      </c>
      <c r="O41" s="48">
        <v>281</v>
      </c>
      <c r="P41" s="48">
        <v>334</v>
      </c>
      <c r="Q41" s="48">
        <v>456</v>
      </c>
      <c r="R41" s="49">
        <v>604</v>
      </c>
      <c r="S41" s="45">
        <v>2010</v>
      </c>
      <c r="T41" s="46">
        <v>1237</v>
      </c>
      <c r="U41" s="46">
        <v>356</v>
      </c>
      <c r="V41" s="46">
        <v>59</v>
      </c>
      <c r="W41" s="52">
        <v>29</v>
      </c>
      <c r="X41" s="46">
        <v>348</v>
      </c>
      <c r="Y41" s="46">
        <v>119</v>
      </c>
      <c r="Z41" s="46">
        <v>27</v>
      </c>
      <c r="AA41" s="52">
        <v>18</v>
      </c>
      <c r="AC41" s="53"/>
      <c r="AD41" s="53"/>
      <c r="AE41" s="53"/>
      <c r="AF41" s="53"/>
      <c r="AG41" s="53"/>
      <c r="AH41" s="53"/>
      <c r="AI41" s="53"/>
      <c r="AJ41" s="53"/>
      <c r="AK41" s="53"/>
      <c r="AL41" s="54"/>
      <c r="AM41" s="54"/>
      <c r="AN41" s="54"/>
      <c r="AO41" s="54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110"/>
      <c r="BP41" s="110"/>
      <c r="BQ41" s="110"/>
      <c r="BR41" s="110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</row>
    <row r="42" spans="1:83">
      <c r="A42" s="45">
        <v>2011</v>
      </c>
      <c r="B42" s="46">
        <v>480</v>
      </c>
      <c r="C42" s="46">
        <v>334</v>
      </c>
      <c r="D42" s="46">
        <v>48</v>
      </c>
      <c r="E42" s="46">
        <v>10</v>
      </c>
      <c r="F42" s="47">
        <v>109</v>
      </c>
      <c r="G42" s="48">
        <v>112</v>
      </c>
      <c r="H42" s="48">
        <v>22</v>
      </c>
      <c r="I42" s="49">
        <v>7</v>
      </c>
      <c r="J42" s="45">
        <v>2011</v>
      </c>
      <c r="K42" s="50">
        <v>0.56000000000000005</v>
      </c>
      <c r="L42" s="50">
        <v>1.59</v>
      </c>
      <c r="M42" s="50">
        <v>1.03</v>
      </c>
      <c r="N42" s="51">
        <v>1.03</v>
      </c>
      <c r="O42" s="48">
        <v>228</v>
      </c>
      <c r="P42" s="48">
        <v>334</v>
      </c>
      <c r="Q42" s="48">
        <v>452</v>
      </c>
      <c r="R42" s="49">
        <v>692</v>
      </c>
      <c r="S42" s="45">
        <v>2011</v>
      </c>
      <c r="T42" s="46">
        <v>1326</v>
      </c>
      <c r="U42" s="46">
        <v>484</v>
      </c>
      <c r="V42" s="46">
        <v>87</v>
      </c>
      <c r="W42" s="52">
        <v>18</v>
      </c>
      <c r="X42" s="46">
        <v>302</v>
      </c>
      <c r="Y42" s="46">
        <v>162</v>
      </c>
      <c r="Z42" s="46">
        <v>39</v>
      </c>
      <c r="AA42" s="52">
        <v>13</v>
      </c>
      <c r="AC42" s="53"/>
      <c r="AD42" s="53"/>
      <c r="AE42" s="53"/>
      <c r="AF42" s="53"/>
      <c r="AG42" s="53"/>
      <c r="AH42" s="53"/>
      <c r="AI42" s="53"/>
      <c r="AJ42" s="53"/>
      <c r="AK42" s="53"/>
      <c r="AL42" s="54"/>
      <c r="AM42" s="54"/>
      <c r="AN42" s="54"/>
      <c r="AO42" s="54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110"/>
      <c r="BP42" s="110"/>
      <c r="BQ42" s="110"/>
      <c r="BR42" s="110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</row>
    <row r="43" spans="1:83">
      <c r="A43" s="45">
        <v>2012</v>
      </c>
      <c r="B43" s="46">
        <v>346</v>
      </c>
      <c r="C43" s="46">
        <v>355</v>
      </c>
      <c r="D43" s="46">
        <v>37</v>
      </c>
      <c r="E43" s="46">
        <v>14</v>
      </c>
      <c r="F43" s="47">
        <v>88</v>
      </c>
      <c r="G43" s="48">
        <v>118</v>
      </c>
      <c r="H43" s="48">
        <v>17</v>
      </c>
      <c r="I43" s="49">
        <v>9</v>
      </c>
      <c r="J43" s="45">
        <v>2012</v>
      </c>
      <c r="K43" s="50">
        <v>0.49</v>
      </c>
      <c r="L43" s="50">
        <v>1.64</v>
      </c>
      <c r="M43" s="50">
        <v>1.05</v>
      </c>
      <c r="N43" s="51">
        <v>1.05</v>
      </c>
      <c r="O43" s="48">
        <v>256</v>
      </c>
      <c r="P43" s="48">
        <v>334</v>
      </c>
      <c r="Q43" s="48">
        <v>470</v>
      </c>
      <c r="R43" s="49">
        <v>647</v>
      </c>
      <c r="S43" s="45">
        <v>2012</v>
      </c>
      <c r="T43" s="46">
        <v>1059</v>
      </c>
      <c r="U43" s="46">
        <v>506</v>
      </c>
      <c r="V43" s="46">
        <v>66</v>
      </c>
      <c r="W43" s="52">
        <v>25</v>
      </c>
      <c r="X43" s="46">
        <v>271</v>
      </c>
      <c r="Y43" s="46">
        <v>169</v>
      </c>
      <c r="Z43" s="46">
        <v>31</v>
      </c>
      <c r="AA43" s="52">
        <v>16</v>
      </c>
      <c r="AC43" s="53"/>
      <c r="AD43" s="53"/>
      <c r="AE43" s="53"/>
      <c r="AF43" s="53"/>
      <c r="AG43" s="53"/>
      <c r="AH43" s="53"/>
      <c r="AI43" s="53"/>
      <c r="AJ43" s="53"/>
      <c r="AK43" s="53"/>
      <c r="AL43" s="54"/>
      <c r="AM43" s="54"/>
      <c r="AN43" s="54"/>
      <c r="AO43" s="54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110"/>
      <c r="BP43" s="110"/>
      <c r="BQ43" s="110"/>
      <c r="BR43" s="110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</row>
    <row r="44" spans="1:83">
      <c r="A44" s="45">
        <v>2013</v>
      </c>
      <c r="B44" s="46">
        <v>190</v>
      </c>
      <c r="C44" s="46">
        <v>297</v>
      </c>
      <c r="D44" s="46">
        <v>37</v>
      </c>
      <c r="E44" s="46">
        <v>12</v>
      </c>
      <c r="F44" s="47">
        <v>44</v>
      </c>
      <c r="G44" s="48">
        <v>98</v>
      </c>
      <c r="H44" s="48">
        <v>17</v>
      </c>
      <c r="I44" s="49">
        <v>8</v>
      </c>
      <c r="J44" s="45">
        <v>2013</v>
      </c>
      <c r="K44" s="50">
        <v>0.33</v>
      </c>
      <c r="L44" s="50">
        <v>1.57</v>
      </c>
      <c r="M44" s="50">
        <v>1.07</v>
      </c>
      <c r="N44" s="51">
        <v>1.07</v>
      </c>
      <c r="O44" s="48">
        <v>229</v>
      </c>
      <c r="P44" s="48">
        <v>330</v>
      </c>
      <c r="Q44" s="48">
        <v>468</v>
      </c>
      <c r="R44" s="49">
        <v>657</v>
      </c>
      <c r="S44" s="45">
        <v>2013</v>
      </c>
      <c r="T44" s="46">
        <v>811</v>
      </c>
      <c r="U44" s="46">
        <v>433</v>
      </c>
      <c r="V44" s="46">
        <v>65</v>
      </c>
      <c r="W44" s="52">
        <v>21</v>
      </c>
      <c r="X44" s="46">
        <v>186</v>
      </c>
      <c r="Y44" s="46">
        <v>143</v>
      </c>
      <c r="Z44" s="46">
        <v>31</v>
      </c>
      <c r="AA44" s="52">
        <v>14</v>
      </c>
      <c r="AC44" s="53"/>
      <c r="AD44" s="53"/>
      <c r="AE44" s="53"/>
      <c r="AF44" s="53"/>
      <c r="AG44" s="53"/>
      <c r="AH44" s="53"/>
      <c r="AI44" s="53"/>
      <c r="AJ44" s="53"/>
      <c r="AK44" s="53"/>
      <c r="AL44" s="54"/>
      <c r="AM44" s="54"/>
      <c r="AN44" s="54"/>
      <c r="AO44" s="54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110"/>
      <c r="BP44" s="110"/>
      <c r="BQ44" s="110"/>
      <c r="BR44" s="110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</row>
    <row r="45" spans="1:83">
      <c r="A45" s="45">
        <v>2014</v>
      </c>
      <c r="B45" s="46">
        <v>457</v>
      </c>
      <c r="C45" s="46">
        <v>216</v>
      </c>
      <c r="D45" s="46">
        <v>38</v>
      </c>
      <c r="E45" s="46">
        <v>13</v>
      </c>
      <c r="F45" s="47">
        <v>121</v>
      </c>
      <c r="G45" s="48">
        <v>67</v>
      </c>
      <c r="H45" s="48">
        <v>17</v>
      </c>
      <c r="I45" s="49">
        <v>9</v>
      </c>
      <c r="J45" s="45">
        <v>2014</v>
      </c>
      <c r="K45" s="50">
        <v>0.45</v>
      </c>
      <c r="L45" s="50">
        <v>1.05</v>
      </c>
      <c r="M45" s="50">
        <v>1.32</v>
      </c>
      <c r="N45" s="51">
        <v>1.32</v>
      </c>
      <c r="O45" s="48">
        <v>265</v>
      </c>
      <c r="P45" s="48">
        <v>311</v>
      </c>
      <c r="Q45" s="48">
        <v>449</v>
      </c>
      <c r="R45" s="49">
        <v>697</v>
      </c>
      <c r="S45" s="45">
        <v>2014</v>
      </c>
      <c r="T45" s="46">
        <v>1499</v>
      </c>
      <c r="U45" s="46">
        <v>391</v>
      </c>
      <c r="V45" s="46">
        <v>60</v>
      </c>
      <c r="W45" s="52">
        <v>20</v>
      </c>
      <c r="X45" s="46">
        <v>398</v>
      </c>
      <c r="Y45" s="46">
        <v>122</v>
      </c>
      <c r="Z45" s="46">
        <v>27</v>
      </c>
      <c r="AA45" s="52">
        <v>14</v>
      </c>
      <c r="AC45" s="53"/>
      <c r="AD45" s="53"/>
      <c r="AE45" s="53"/>
      <c r="AF45" s="53"/>
      <c r="AG45" s="53"/>
      <c r="AH45" s="53"/>
      <c r="AI45" s="53"/>
      <c r="AJ45" s="53"/>
      <c r="AK45" s="53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110"/>
      <c r="BP45" s="110"/>
      <c r="BQ45" s="110"/>
      <c r="BR45" s="110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</row>
    <row r="46" spans="1:83">
      <c r="A46" s="45">
        <v>2015</v>
      </c>
      <c r="B46" s="46">
        <v>258</v>
      </c>
      <c r="C46" s="46">
        <v>460</v>
      </c>
      <c r="D46" s="46">
        <v>39</v>
      </c>
      <c r="E46" s="46">
        <v>6</v>
      </c>
      <c r="F46" s="47">
        <v>69</v>
      </c>
      <c r="G46" s="48">
        <v>154</v>
      </c>
      <c r="H46" s="48">
        <v>19</v>
      </c>
      <c r="I46" s="49">
        <v>4</v>
      </c>
      <c r="J46" s="45">
        <v>2015</v>
      </c>
      <c r="K46" s="50">
        <v>0.31</v>
      </c>
      <c r="L46" s="50">
        <v>1.75</v>
      </c>
      <c r="M46" s="50">
        <v>0.7</v>
      </c>
      <c r="N46" s="51">
        <v>0.7</v>
      </c>
      <c r="O46" s="48">
        <v>268</v>
      </c>
      <c r="P46" s="48">
        <v>336</v>
      </c>
      <c r="Q46" s="48">
        <v>494</v>
      </c>
      <c r="R46" s="49">
        <v>652</v>
      </c>
      <c r="S46" s="45">
        <v>2015</v>
      </c>
      <c r="T46" s="46">
        <v>1169</v>
      </c>
      <c r="U46" s="46">
        <v>639</v>
      </c>
      <c r="V46" s="46">
        <v>92</v>
      </c>
      <c r="W46" s="52">
        <v>14</v>
      </c>
      <c r="X46" s="46">
        <v>313</v>
      </c>
      <c r="Y46" s="46">
        <v>215</v>
      </c>
      <c r="Z46" s="46">
        <v>45</v>
      </c>
      <c r="AA46" s="52">
        <v>9</v>
      </c>
      <c r="AC46" s="53"/>
      <c r="AD46" s="53"/>
      <c r="AE46" s="53"/>
      <c r="AF46" s="53"/>
      <c r="AG46" s="53"/>
      <c r="AH46" s="53"/>
      <c r="AI46" s="53"/>
      <c r="AJ46" s="53"/>
      <c r="AK46" s="53"/>
      <c r="AL46" s="54"/>
      <c r="AM46" s="54"/>
      <c r="AN46" s="54"/>
      <c r="AO46" s="54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110"/>
      <c r="BP46" s="110"/>
      <c r="BQ46" s="110"/>
      <c r="BR46" s="110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</row>
    <row r="47" spans="1:83">
      <c r="A47" s="45">
        <v>2016</v>
      </c>
      <c r="B47" s="46">
        <v>257</v>
      </c>
      <c r="C47" s="46">
        <v>424</v>
      </c>
      <c r="D47" s="46">
        <v>35</v>
      </c>
      <c r="E47" s="46">
        <v>16</v>
      </c>
      <c r="F47" s="47">
        <v>62</v>
      </c>
      <c r="G47" s="48">
        <v>141</v>
      </c>
      <c r="H47" s="48">
        <v>16</v>
      </c>
      <c r="I47" s="49">
        <v>10</v>
      </c>
      <c r="J47" s="45">
        <v>2016</v>
      </c>
      <c r="K47" s="50">
        <v>0.32</v>
      </c>
      <c r="L47" s="50">
        <v>1.86</v>
      </c>
      <c r="M47" s="50">
        <v>0.8</v>
      </c>
      <c r="N47" s="51">
        <v>0.8</v>
      </c>
      <c r="O47" s="48">
        <v>240</v>
      </c>
      <c r="P47" s="48">
        <v>331</v>
      </c>
      <c r="Q47" s="48">
        <v>467</v>
      </c>
      <c r="R47" s="49">
        <v>579</v>
      </c>
      <c r="S47" s="45">
        <v>2016</v>
      </c>
      <c r="T47" s="46">
        <v>1118</v>
      </c>
      <c r="U47" s="46">
        <v>576</v>
      </c>
      <c r="V47" s="46">
        <v>74</v>
      </c>
      <c r="W47" s="52">
        <v>35</v>
      </c>
      <c r="X47" s="46">
        <v>268</v>
      </c>
      <c r="Y47" s="46">
        <v>191</v>
      </c>
      <c r="Z47" s="46">
        <v>35</v>
      </c>
      <c r="AA47" s="52">
        <v>20</v>
      </c>
      <c r="AC47" s="53"/>
      <c r="AD47" s="53"/>
      <c r="AE47" s="53"/>
      <c r="AF47" s="53"/>
      <c r="AG47" s="53"/>
      <c r="AH47" s="53"/>
      <c r="AI47" s="53"/>
      <c r="AJ47" s="53"/>
      <c r="AK47" s="53"/>
      <c r="AL47" s="54"/>
      <c r="AM47" s="54"/>
      <c r="AN47" s="54"/>
      <c r="AO47" s="54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110"/>
      <c r="BP47" s="110"/>
      <c r="BQ47" s="110"/>
      <c r="BR47" s="110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</row>
    <row r="48" spans="1:83">
      <c r="A48" s="45">
        <v>2017</v>
      </c>
      <c r="B48" s="46">
        <v>430</v>
      </c>
      <c r="C48" s="46">
        <v>307</v>
      </c>
      <c r="D48" s="46">
        <v>27</v>
      </c>
      <c r="E48" s="46">
        <v>15</v>
      </c>
      <c r="F48" s="47">
        <v>96</v>
      </c>
      <c r="G48" s="48">
        <v>99</v>
      </c>
      <c r="H48" s="48">
        <v>13</v>
      </c>
      <c r="I48" s="49">
        <v>9</v>
      </c>
      <c r="J48" s="45">
        <v>2017</v>
      </c>
      <c r="K48" s="50">
        <v>0.31</v>
      </c>
      <c r="L48" s="50">
        <v>1.0900000000000001</v>
      </c>
      <c r="M48" s="50">
        <v>0.74</v>
      </c>
      <c r="N48" s="51">
        <v>0.74</v>
      </c>
      <c r="O48" s="48">
        <v>222</v>
      </c>
      <c r="P48" s="48">
        <v>323</v>
      </c>
      <c r="Q48" s="48">
        <v>473</v>
      </c>
      <c r="R48" s="49">
        <v>624</v>
      </c>
      <c r="S48" s="45">
        <v>2017</v>
      </c>
      <c r="T48" s="46">
        <v>1918</v>
      </c>
      <c r="U48" s="46">
        <v>543</v>
      </c>
      <c r="V48" s="46">
        <v>60</v>
      </c>
      <c r="W48" s="52">
        <v>33</v>
      </c>
      <c r="X48" s="46">
        <v>426</v>
      </c>
      <c r="Y48" s="46">
        <v>176</v>
      </c>
      <c r="Z48" s="46">
        <v>29</v>
      </c>
      <c r="AA48" s="52">
        <v>21</v>
      </c>
      <c r="AC48" s="53"/>
      <c r="AD48" s="53"/>
      <c r="AE48" s="53"/>
      <c r="AF48" s="53"/>
      <c r="AG48" s="53"/>
      <c r="AH48" s="53"/>
      <c r="AI48" s="53"/>
      <c r="AJ48" s="53"/>
      <c r="AK48" s="53"/>
      <c r="AL48" s="54"/>
      <c r="AM48" s="54"/>
      <c r="AN48" s="54"/>
      <c r="AO48" s="54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110"/>
      <c r="BP48" s="110"/>
      <c r="BQ48" s="110"/>
      <c r="BR48" s="110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</row>
    <row r="49" spans="1:83">
      <c r="A49" s="45">
        <v>2018</v>
      </c>
      <c r="B49" s="46">
        <v>275</v>
      </c>
      <c r="C49" s="46">
        <v>628</v>
      </c>
      <c r="D49" s="46">
        <v>44</v>
      </c>
      <c r="E49" s="46">
        <v>11</v>
      </c>
      <c r="F49" s="47">
        <v>61</v>
      </c>
      <c r="G49" s="48">
        <v>203</v>
      </c>
      <c r="H49" s="48">
        <v>21</v>
      </c>
      <c r="I49" s="49">
        <v>7</v>
      </c>
      <c r="J49" s="45">
        <v>2018</v>
      </c>
      <c r="K49" s="50">
        <v>0.32</v>
      </c>
      <c r="L49" s="50">
        <v>1.49</v>
      </c>
      <c r="M49" s="50">
        <v>0.55000000000000004</v>
      </c>
      <c r="N49" s="51">
        <v>0.55000000000000004</v>
      </c>
      <c r="O49" s="47">
        <v>222</v>
      </c>
      <c r="P49" s="48">
        <v>323</v>
      </c>
      <c r="Q49" s="48">
        <v>486</v>
      </c>
      <c r="R49" s="49">
        <v>673</v>
      </c>
      <c r="S49" s="45">
        <v>2018</v>
      </c>
      <c r="T49" s="55">
        <v>1217</v>
      </c>
      <c r="U49" s="46">
        <v>940</v>
      </c>
      <c r="V49" s="46">
        <v>123</v>
      </c>
      <c r="W49" s="52">
        <v>30</v>
      </c>
      <c r="X49" s="55">
        <v>270</v>
      </c>
      <c r="Y49" s="46">
        <v>304</v>
      </c>
      <c r="Z49" s="46">
        <v>60</v>
      </c>
      <c r="AA49" s="52">
        <v>20</v>
      </c>
      <c r="AC49" s="53"/>
      <c r="AD49" s="53"/>
      <c r="AE49" s="53"/>
      <c r="AF49" s="53"/>
      <c r="AG49" s="53"/>
      <c r="AH49" s="53"/>
      <c r="AI49" s="53"/>
      <c r="AJ49" s="53"/>
      <c r="AK49" s="53"/>
      <c r="AL49" s="54"/>
      <c r="AM49" s="54"/>
      <c r="AN49" s="54"/>
      <c r="AO49" s="54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110"/>
      <c r="BP49" s="110"/>
      <c r="BQ49" s="110"/>
      <c r="BR49" s="110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</row>
    <row r="50" spans="1:83">
      <c r="A50" s="45">
        <v>2019</v>
      </c>
      <c r="B50" s="46">
        <v>179</v>
      </c>
      <c r="C50" s="46">
        <v>395</v>
      </c>
      <c r="D50" s="46">
        <v>55</v>
      </c>
      <c r="E50" s="46">
        <v>23</v>
      </c>
      <c r="F50" s="47">
        <v>32</v>
      </c>
      <c r="G50" s="48">
        <v>130</v>
      </c>
      <c r="H50" s="48">
        <v>26</v>
      </c>
      <c r="I50" s="49">
        <v>14</v>
      </c>
      <c r="J50" s="45">
        <v>2019</v>
      </c>
      <c r="K50" s="50">
        <v>0.28999999999999998</v>
      </c>
      <c r="L50" s="50">
        <v>1.47</v>
      </c>
      <c r="M50" s="50">
        <v>0.62</v>
      </c>
      <c r="N50" s="51">
        <v>0.62</v>
      </c>
      <c r="O50" s="47">
        <v>181</v>
      </c>
      <c r="P50" s="48">
        <v>329</v>
      </c>
      <c r="Q50" s="48">
        <v>470</v>
      </c>
      <c r="R50" s="49">
        <v>593</v>
      </c>
      <c r="S50" s="45">
        <v>2019</v>
      </c>
      <c r="T50" s="55">
        <v>850</v>
      </c>
      <c r="U50" s="46">
        <v>594</v>
      </c>
      <c r="V50" s="46">
        <v>142</v>
      </c>
      <c r="W50" s="52">
        <v>59</v>
      </c>
      <c r="X50" s="55">
        <v>154</v>
      </c>
      <c r="Y50" s="46">
        <v>195</v>
      </c>
      <c r="Z50" s="46">
        <v>67</v>
      </c>
      <c r="AA50" s="52">
        <v>35</v>
      </c>
      <c r="AC50" s="53"/>
      <c r="AD50" s="53"/>
      <c r="AE50" s="53"/>
      <c r="AF50" s="53"/>
      <c r="AG50" s="53"/>
      <c r="AH50" s="53"/>
      <c r="AI50" s="53"/>
      <c r="AJ50" s="53"/>
      <c r="AK50" s="53"/>
      <c r="AL50" s="54"/>
      <c r="AM50" s="54"/>
      <c r="AN50" s="54"/>
      <c r="AO50" s="54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110"/>
      <c r="BP50" s="110"/>
      <c r="BQ50" s="110"/>
      <c r="BR50" s="110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</row>
    <row r="51" spans="1:83">
      <c r="A51" s="45">
        <v>2020</v>
      </c>
      <c r="B51" s="46">
        <v>167</v>
      </c>
      <c r="C51" s="46">
        <v>254</v>
      </c>
      <c r="D51" s="46">
        <v>33</v>
      </c>
      <c r="E51" s="46">
        <v>26</v>
      </c>
      <c r="F51" s="47">
        <v>38</v>
      </c>
      <c r="G51" s="48">
        <v>85</v>
      </c>
      <c r="H51" s="48">
        <v>16</v>
      </c>
      <c r="I51" s="49">
        <v>18</v>
      </c>
      <c r="J51" s="45">
        <v>2020</v>
      </c>
      <c r="K51" s="50">
        <v>0.27</v>
      </c>
      <c r="L51" s="50">
        <v>1.19</v>
      </c>
      <c r="M51" s="50">
        <v>0.56000000000000005</v>
      </c>
      <c r="N51" s="51">
        <v>0.56000000000000005</v>
      </c>
      <c r="O51" s="47">
        <v>226</v>
      </c>
      <c r="P51" s="48">
        <v>335</v>
      </c>
      <c r="Q51" s="48">
        <v>496</v>
      </c>
      <c r="R51" s="49">
        <v>694</v>
      </c>
      <c r="S51" s="45">
        <v>2020</v>
      </c>
      <c r="T51" s="55">
        <v>859</v>
      </c>
      <c r="U51" s="46">
        <v>426</v>
      </c>
      <c r="V51" s="46">
        <v>92</v>
      </c>
      <c r="W51" s="52">
        <v>73</v>
      </c>
      <c r="X51" s="55">
        <v>194</v>
      </c>
      <c r="Y51" s="46">
        <v>143</v>
      </c>
      <c r="Z51" s="46">
        <v>46</v>
      </c>
      <c r="AA51" s="52">
        <v>50</v>
      </c>
      <c r="AC51" s="53"/>
      <c r="AD51" s="53"/>
      <c r="AE51" s="53"/>
      <c r="AF51" s="53"/>
      <c r="AG51" s="53"/>
      <c r="AH51" s="53"/>
      <c r="AI51" s="53"/>
      <c r="AJ51" s="53"/>
      <c r="AK51" s="53"/>
      <c r="AL51" s="54"/>
      <c r="AM51" s="54"/>
      <c r="AN51" s="54"/>
      <c r="AO51" s="54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110"/>
      <c r="BP51" s="110"/>
      <c r="BQ51" s="110"/>
      <c r="BR51" s="110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</row>
    <row r="52" spans="1:83">
      <c r="A52" s="45">
        <v>2021</v>
      </c>
      <c r="B52" s="46">
        <v>389</v>
      </c>
      <c r="C52" s="46">
        <v>290</v>
      </c>
      <c r="D52" s="46">
        <v>29</v>
      </c>
      <c r="E52" s="46">
        <v>21</v>
      </c>
      <c r="F52" s="47">
        <v>90</v>
      </c>
      <c r="G52" s="48">
        <v>96</v>
      </c>
      <c r="H52" s="48">
        <v>13</v>
      </c>
      <c r="I52" s="49">
        <v>13</v>
      </c>
      <c r="J52" s="45">
        <v>2021</v>
      </c>
      <c r="K52" s="50">
        <v>0.39</v>
      </c>
      <c r="L52" s="50">
        <v>1.43</v>
      </c>
      <c r="M52" s="50">
        <v>0.5</v>
      </c>
      <c r="N52" s="51">
        <v>0.5</v>
      </c>
      <c r="O52" s="47">
        <v>232</v>
      </c>
      <c r="P52" s="48">
        <v>331</v>
      </c>
      <c r="Q52" s="48">
        <v>468</v>
      </c>
      <c r="R52" s="49">
        <v>641</v>
      </c>
      <c r="S52" s="45">
        <v>2021</v>
      </c>
      <c r="T52" s="55">
        <v>1453</v>
      </c>
      <c r="U52" s="46">
        <v>441</v>
      </c>
      <c r="V52" s="46">
        <v>87</v>
      </c>
      <c r="W52" s="52">
        <v>63</v>
      </c>
      <c r="X52" s="55">
        <v>337</v>
      </c>
      <c r="Y52" s="46">
        <v>146</v>
      </c>
      <c r="Z52" s="46">
        <v>41</v>
      </c>
      <c r="AA52" s="52">
        <v>40</v>
      </c>
      <c r="AC52" s="53"/>
      <c r="AD52" s="53"/>
      <c r="AE52" s="53"/>
      <c r="AF52" s="53"/>
      <c r="AG52" s="53"/>
      <c r="AH52" s="53"/>
      <c r="AI52" s="53"/>
      <c r="AJ52" s="53"/>
      <c r="AK52" s="53"/>
      <c r="AL52" s="54"/>
      <c r="AM52" s="54"/>
      <c r="AN52" s="54"/>
      <c r="AO52" s="54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110"/>
      <c r="BP52" s="110"/>
      <c r="BQ52" s="110"/>
      <c r="BR52" s="110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</row>
    <row r="53" spans="1:83">
      <c r="A53" s="56">
        <v>2022</v>
      </c>
      <c r="B53" s="57">
        <v>278</v>
      </c>
      <c r="C53" s="58">
        <v>338</v>
      </c>
      <c r="D53" s="58">
        <v>44</v>
      </c>
      <c r="E53" s="59">
        <v>38</v>
      </c>
      <c r="F53" s="60">
        <v>55</v>
      </c>
      <c r="G53" s="61">
        <v>111</v>
      </c>
      <c r="H53" s="61">
        <v>22</v>
      </c>
      <c r="I53" s="62">
        <v>24</v>
      </c>
      <c r="J53" s="56">
        <v>2022</v>
      </c>
      <c r="K53" s="63">
        <v>0.36</v>
      </c>
      <c r="L53" s="64">
        <v>0.92</v>
      </c>
      <c r="M53" s="64">
        <v>1.3</v>
      </c>
      <c r="N53" s="65">
        <v>1.3</v>
      </c>
      <c r="O53" s="60">
        <v>199</v>
      </c>
      <c r="P53" s="61">
        <v>327</v>
      </c>
      <c r="Q53" s="61">
        <v>508</v>
      </c>
      <c r="R53" s="62">
        <v>625</v>
      </c>
      <c r="S53" s="56">
        <v>2022</v>
      </c>
      <c r="T53" s="57">
        <v>1110</v>
      </c>
      <c r="U53" s="58">
        <v>662</v>
      </c>
      <c r="V53" s="58">
        <v>71</v>
      </c>
      <c r="W53" s="59">
        <v>61</v>
      </c>
      <c r="X53" s="57">
        <v>221</v>
      </c>
      <c r="Y53" s="58">
        <v>217</v>
      </c>
      <c r="Z53" s="58">
        <v>36</v>
      </c>
      <c r="AA53" s="59">
        <v>38</v>
      </c>
      <c r="AC53" s="53"/>
      <c r="AD53" s="53"/>
      <c r="AE53" s="53"/>
      <c r="AF53" s="53"/>
      <c r="AG53" s="53"/>
      <c r="AH53" s="53"/>
      <c r="AI53" s="53"/>
      <c r="AJ53" s="53"/>
      <c r="AK53" s="53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110"/>
      <c r="BP53" s="110"/>
      <c r="BQ53" s="110"/>
      <c r="BR53" s="110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</row>
  </sheetData>
  <mergeCells count="6">
    <mergeCell ref="X2:AA2"/>
    <mergeCell ref="B2:E2"/>
    <mergeCell ref="F2:I2"/>
    <mergeCell ref="K2:N2"/>
    <mergeCell ref="O2:R2"/>
    <mergeCell ref="T2:W2"/>
  </mergeCells>
  <phoneticPr fontId="1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9CBA-563E-4F80-95F1-9F8E74A27C87}">
  <dimension ref="A1:D11"/>
  <sheetViews>
    <sheetView workbookViewId="0">
      <selection activeCell="F66" sqref="F66"/>
    </sheetView>
  </sheetViews>
  <sheetFormatPr defaultRowHeight="13.5"/>
  <cols>
    <col min="1" max="1" width="17.125" customWidth="1"/>
    <col min="2" max="2" width="20" customWidth="1"/>
    <col min="3" max="3" width="21.375" customWidth="1"/>
    <col min="4" max="4" width="14.75" customWidth="1"/>
  </cols>
  <sheetData>
    <row r="1" spans="1:4">
      <c r="A1" s="92" t="s">
        <v>209</v>
      </c>
    </row>
    <row r="2" spans="1:4" ht="14.25" thickBot="1"/>
    <row r="3" spans="1:4">
      <c r="A3" s="164" t="s">
        <v>210</v>
      </c>
      <c r="B3" s="167" t="s">
        <v>211</v>
      </c>
      <c r="C3" s="170" t="s">
        <v>142</v>
      </c>
      <c r="D3" s="167" t="s">
        <v>140</v>
      </c>
    </row>
    <row r="4" spans="1:4">
      <c r="A4" s="165" t="s">
        <v>143</v>
      </c>
      <c r="B4" s="168" t="s">
        <v>144</v>
      </c>
      <c r="C4" s="168" t="s">
        <v>145</v>
      </c>
      <c r="D4" s="168" t="s">
        <v>146</v>
      </c>
    </row>
    <row r="5" spans="1:4" ht="14.25" thickBot="1">
      <c r="A5" s="166" t="s">
        <v>37</v>
      </c>
      <c r="B5" s="169" t="s">
        <v>37</v>
      </c>
      <c r="C5" s="169" t="s">
        <v>147</v>
      </c>
      <c r="D5" s="171"/>
    </row>
    <row r="6" spans="1:4" ht="21" customHeight="1" thickBot="1">
      <c r="A6" s="163">
        <v>268</v>
      </c>
      <c r="B6" s="148">
        <v>231</v>
      </c>
      <c r="C6" s="148">
        <v>0.86</v>
      </c>
      <c r="D6" s="148">
        <v>36</v>
      </c>
    </row>
    <row r="7" spans="1:4">
      <c r="A7" s="223" t="s">
        <v>148</v>
      </c>
      <c r="B7" s="224"/>
      <c r="C7" s="224"/>
      <c r="D7" s="225"/>
    </row>
    <row r="8" spans="1:4" ht="42" customHeight="1">
      <c r="A8" s="226" t="s">
        <v>149</v>
      </c>
      <c r="B8" s="227"/>
      <c r="C8" s="227"/>
      <c r="D8" s="228"/>
    </row>
    <row r="9" spans="1:4" ht="13.5" customHeight="1">
      <c r="A9" s="226" t="s">
        <v>212</v>
      </c>
      <c r="B9" s="227"/>
      <c r="C9" s="227"/>
      <c r="D9" s="228"/>
    </row>
    <row r="10" spans="1:4" ht="13.5" customHeight="1">
      <c r="A10" s="226" t="s">
        <v>151</v>
      </c>
      <c r="B10" s="227"/>
      <c r="C10" s="227"/>
      <c r="D10" s="228"/>
    </row>
    <row r="11" spans="1:4" ht="14.25" thickBot="1">
      <c r="A11" s="229" t="s">
        <v>213</v>
      </c>
      <c r="B11" s="230"/>
      <c r="C11" s="230"/>
      <c r="D11" s="231"/>
    </row>
  </sheetData>
  <mergeCells count="5">
    <mergeCell ref="A7:D7"/>
    <mergeCell ref="A8:D8"/>
    <mergeCell ref="A9:D9"/>
    <mergeCell ref="A10:D10"/>
    <mergeCell ref="A11:D11"/>
  </mergeCells>
  <phoneticPr fontId="1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5C2B-3F84-40F0-966B-F85D3BA12425}">
  <dimension ref="A1:J31"/>
  <sheetViews>
    <sheetView workbookViewId="0">
      <selection activeCell="F66" sqref="F66"/>
    </sheetView>
  </sheetViews>
  <sheetFormatPr defaultRowHeight="13.5"/>
  <sheetData>
    <row r="1" spans="1:10" ht="13.5" customHeight="1">
      <c r="A1" s="253" t="s">
        <v>214</v>
      </c>
      <c r="B1" s="253"/>
      <c r="C1" s="253"/>
      <c r="D1" s="253"/>
      <c r="E1" s="253"/>
      <c r="F1" s="253"/>
      <c r="G1" s="253"/>
      <c r="H1" s="253"/>
      <c r="J1" s="123"/>
    </row>
    <row r="2" spans="1:10">
      <c r="A2" s="253"/>
      <c r="B2" s="253"/>
      <c r="C2" s="253"/>
      <c r="D2" s="253"/>
      <c r="E2" s="253"/>
      <c r="F2" s="253"/>
      <c r="G2" s="253"/>
      <c r="H2" s="253"/>
    </row>
    <row r="3" spans="1:10">
      <c r="A3" s="253"/>
      <c r="B3" s="253"/>
      <c r="C3" s="253"/>
      <c r="D3" s="253"/>
      <c r="E3" s="253"/>
      <c r="F3" s="253"/>
      <c r="G3" s="253"/>
      <c r="H3" s="253"/>
    </row>
    <row r="4" spans="1:10" ht="14.25" thickBot="1">
      <c r="A4" t="s">
        <v>215</v>
      </c>
    </row>
    <row r="5" spans="1:10" ht="14.25" thickBot="1">
      <c r="A5" s="111" t="s">
        <v>216</v>
      </c>
      <c r="B5" s="112" t="s">
        <v>217</v>
      </c>
      <c r="C5" s="112" t="s">
        <v>218</v>
      </c>
      <c r="D5" s="112" t="s">
        <v>219</v>
      </c>
      <c r="E5" s="112" t="s">
        <v>220</v>
      </c>
      <c r="F5" s="112" t="s">
        <v>221</v>
      </c>
    </row>
    <row r="6" spans="1:10" ht="14.25" thickBot="1">
      <c r="A6" s="113">
        <v>2019</v>
      </c>
      <c r="B6" s="114">
        <v>1597</v>
      </c>
      <c r="C6" s="115"/>
      <c r="D6" s="115"/>
      <c r="E6" s="115"/>
      <c r="F6" s="115"/>
    </row>
    <row r="7" spans="1:10" ht="14.25" thickBot="1">
      <c r="A7" s="113">
        <v>2020</v>
      </c>
      <c r="B7" s="116">
        <v>1296</v>
      </c>
      <c r="C7" s="114">
        <v>1426</v>
      </c>
      <c r="D7" s="115"/>
      <c r="E7" s="115"/>
      <c r="F7" s="115"/>
    </row>
    <row r="8" spans="1:10" ht="14.25" thickBot="1">
      <c r="A8" s="113">
        <v>2021</v>
      </c>
      <c r="B8" s="115">
        <v>555</v>
      </c>
      <c r="C8" s="116">
        <v>874</v>
      </c>
      <c r="D8" s="114">
        <v>913</v>
      </c>
      <c r="E8" s="115"/>
      <c r="F8" s="115"/>
    </row>
    <row r="9" spans="1:10" ht="14.25" thickBot="1">
      <c r="A9" s="113">
        <v>2022</v>
      </c>
      <c r="B9" s="115">
        <v>871</v>
      </c>
      <c r="C9" s="115">
        <v>1305</v>
      </c>
      <c r="D9" s="116">
        <v>1323</v>
      </c>
      <c r="E9" s="114">
        <v>1432</v>
      </c>
      <c r="F9" s="114"/>
    </row>
    <row r="10" spans="1:10" ht="14.25" thickBot="1">
      <c r="A10" s="113">
        <v>2023</v>
      </c>
      <c r="B10" s="115">
        <v>859</v>
      </c>
      <c r="C10" s="115">
        <v>1453</v>
      </c>
      <c r="D10" s="115">
        <v>1110</v>
      </c>
      <c r="E10" s="116">
        <v>1430</v>
      </c>
      <c r="F10" s="114">
        <v>1558</v>
      </c>
    </row>
    <row r="11" spans="1:10" ht="14.25" thickBot="1">
      <c r="A11" t="s">
        <v>222</v>
      </c>
    </row>
    <row r="12" spans="1:10" ht="14.25" thickBot="1">
      <c r="A12" s="111" t="s">
        <v>216</v>
      </c>
      <c r="B12" s="112" t="s">
        <v>217</v>
      </c>
      <c r="C12" s="112" t="s">
        <v>218</v>
      </c>
      <c r="D12" s="112" t="s">
        <v>219</v>
      </c>
      <c r="E12" s="112" t="s">
        <v>220</v>
      </c>
      <c r="F12" s="112" t="s">
        <v>221</v>
      </c>
    </row>
    <row r="13" spans="1:10" ht="14.25" thickBot="1">
      <c r="A13" s="113">
        <v>2019</v>
      </c>
      <c r="B13" s="114">
        <v>224</v>
      </c>
      <c r="C13" s="115"/>
      <c r="D13" s="115"/>
      <c r="E13" s="115"/>
      <c r="F13" s="115"/>
    </row>
    <row r="14" spans="1:10" ht="14.25" thickBot="1">
      <c r="A14" s="113">
        <v>2020</v>
      </c>
      <c r="B14" s="116">
        <v>172</v>
      </c>
      <c r="C14" s="114">
        <v>193</v>
      </c>
      <c r="D14" s="115"/>
      <c r="E14" s="115"/>
      <c r="F14" s="115"/>
    </row>
    <row r="15" spans="1:10" ht="14.25" thickBot="1">
      <c r="A15" s="113">
        <v>2021</v>
      </c>
      <c r="B15" s="115">
        <v>173</v>
      </c>
      <c r="C15" s="116">
        <v>115</v>
      </c>
      <c r="D15" s="114">
        <v>121</v>
      </c>
      <c r="E15" s="115"/>
      <c r="F15" s="115"/>
    </row>
    <row r="16" spans="1:10" ht="14.25" thickBot="1">
      <c r="A16" s="113">
        <v>2022</v>
      </c>
      <c r="B16" s="115">
        <v>169</v>
      </c>
      <c r="C16" s="115">
        <v>159</v>
      </c>
      <c r="D16" s="116">
        <v>176</v>
      </c>
      <c r="E16" s="114">
        <v>193</v>
      </c>
      <c r="F16" s="114"/>
    </row>
    <row r="17" spans="1:6" ht="14.25" thickBot="1">
      <c r="A17" s="113">
        <v>2023</v>
      </c>
      <c r="B17" s="115">
        <v>175</v>
      </c>
      <c r="C17" s="115">
        <v>163</v>
      </c>
      <c r="D17" s="115">
        <v>199</v>
      </c>
      <c r="E17" s="116">
        <v>190</v>
      </c>
      <c r="F17" s="114">
        <v>214</v>
      </c>
    </row>
    <row r="18" spans="1:6" ht="14.25" thickBot="1">
      <c r="A18" t="s">
        <v>223</v>
      </c>
    </row>
    <row r="19" spans="1:6" ht="14.25" thickBot="1">
      <c r="A19" s="111" t="s">
        <v>216</v>
      </c>
      <c r="B19" s="112" t="s">
        <v>217</v>
      </c>
      <c r="C19" s="112" t="s">
        <v>218</v>
      </c>
      <c r="D19" s="112" t="s">
        <v>219</v>
      </c>
      <c r="E19" s="112" t="s">
        <v>220</v>
      </c>
      <c r="F19" s="112" t="s">
        <v>221</v>
      </c>
    </row>
    <row r="20" spans="1:6" ht="14.25" thickBot="1">
      <c r="A20" s="113">
        <v>2019</v>
      </c>
      <c r="B20" s="114">
        <v>717</v>
      </c>
      <c r="C20" s="115"/>
      <c r="D20" s="115"/>
      <c r="E20" s="115"/>
      <c r="F20" s="115"/>
    </row>
    <row r="21" spans="1:6" ht="14.25" thickBot="1">
      <c r="A21" s="113">
        <v>2020</v>
      </c>
      <c r="B21" s="116">
        <v>542</v>
      </c>
      <c r="C21" s="114">
        <v>623</v>
      </c>
      <c r="D21" s="115"/>
      <c r="E21" s="115"/>
      <c r="F21" s="115"/>
    </row>
    <row r="22" spans="1:6" ht="14.25" thickBot="1">
      <c r="A22" s="113">
        <v>2021</v>
      </c>
      <c r="B22" s="115">
        <v>356</v>
      </c>
      <c r="C22" s="116">
        <v>363</v>
      </c>
      <c r="D22" s="114">
        <v>398</v>
      </c>
      <c r="E22" s="115"/>
      <c r="F22" s="115"/>
    </row>
    <row r="23" spans="1:6" ht="14.25" thickBot="1">
      <c r="A23" s="113">
        <v>2022</v>
      </c>
      <c r="B23" s="115">
        <v>429</v>
      </c>
      <c r="C23" s="115">
        <v>528</v>
      </c>
      <c r="D23" s="116">
        <v>577</v>
      </c>
      <c r="E23" s="114">
        <v>630</v>
      </c>
      <c r="F23" s="114"/>
    </row>
    <row r="24" spans="1:6" ht="14.25" thickBot="1">
      <c r="A24" s="113">
        <v>2023</v>
      </c>
      <c r="B24" s="115">
        <v>433</v>
      </c>
      <c r="C24" s="115">
        <v>564</v>
      </c>
      <c r="D24" s="115">
        <v>511</v>
      </c>
      <c r="E24" s="116">
        <v>619</v>
      </c>
      <c r="F24" s="114">
        <v>689</v>
      </c>
    </row>
    <row r="25" spans="1:6" ht="14.25" thickBot="1">
      <c r="A25" t="s">
        <v>224</v>
      </c>
    </row>
    <row r="26" spans="1:6" ht="14.25" thickBot="1">
      <c r="A26" s="111" t="s">
        <v>216</v>
      </c>
      <c r="B26" s="112" t="s">
        <v>217</v>
      </c>
      <c r="C26" s="112" t="s">
        <v>218</v>
      </c>
      <c r="D26" s="112" t="s">
        <v>219</v>
      </c>
      <c r="E26" s="112" t="s">
        <v>220</v>
      </c>
      <c r="F26" s="112" t="s">
        <v>221</v>
      </c>
    </row>
    <row r="27" spans="1:6" ht="14.25" thickBot="1">
      <c r="A27" s="113">
        <v>2019</v>
      </c>
      <c r="B27" s="114">
        <v>0.95</v>
      </c>
      <c r="C27" s="115"/>
      <c r="D27" s="115"/>
      <c r="E27" s="115"/>
      <c r="F27" s="115"/>
    </row>
    <row r="28" spans="1:6" ht="14.25" thickBot="1">
      <c r="A28" s="113">
        <v>2020</v>
      </c>
      <c r="B28" s="116">
        <v>1.1100000000000001</v>
      </c>
      <c r="C28" s="114">
        <v>0.95</v>
      </c>
      <c r="D28" s="115"/>
      <c r="E28" s="115"/>
      <c r="F28" s="115"/>
    </row>
    <row r="29" spans="1:6" ht="14.25" thickBot="1">
      <c r="A29" s="113">
        <v>2021</v>
      </c>
      <c r="B29" s="115">
        <v>1.28</v>
      </c>
      <c r="C29" s="116">
        <v>1.18</v>
      </c>
      <c r="D29" s="114">
        <v>0.75</v>
      </c>
      <c r="E29" s="115"/>
      <c r="F29" s="115"/>
    </row>
    <row r="30" spans="1:6" ht="14.25" thickBot="1">
      <c r="A30" s="113">
        <v>2022</v>
      </c>
      <c r="B30" s="115">
        <v>1.02</v>
      </c>
      <c r="C30" s="115">
        <v>1.2</v>
      </c>
      <c r="D30" s="116">
        <v>1.1200000000000001</v>
      </c>
      <c r="E30" s="114">
        <v>0.95</v>
      </c>
      <c r="F30" s="114"/>
    </row>
    <row r="31" spans="1:6" ht="14.25" thickBot="1">
      <c r="A31" s="113">
        <v>2023</v>
      </c>
      <c r="B31" s="115">
        <v>0.99</v>
      </c>
      <c r="C31" s="115">
        <v>1.1599999999999999</v>
      </c>
      <c r="D31" s="115">
        <v>1.1000000000000001</v>
      </c>
      <c r="E31" s="116">
        <v>1.1000000000000001</v>
      </c>
      <c r="F31" s="114">
        <v>0.95</v>
      </c>
    </row>
  </sheetData>
  <mergeCells count="1">
    <mergeCell ref="A1:H3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</vt:i4>
      </vt:variant>
    </vt:vector>
  </HeadingPairs>
  <TitlesOfParts>
    <vt:vector size="16" baseType="lpstr">
      <vt:lpstr>表3-１</vt:lpstr>
      <vt:lpstr>表3-2</vt:lpstr>
      <vt:lpstr>表4-1</vt:lpstr>
      <vt:lpstr>表5-1~5-2</vt:lpstr>
      <vt:lpstr>補足表2-1~2-3</vt:lpstr>
      <vt:lpstr>補足表3-1</vt:lpstr>
      <vt:lpstr>補足表3-2</vt:lpstr>
      <vt:lpstr>補足表3-3</vt:lpstr>
      <vt:lpstr>補足表3-4</vt:lpstr>
      <vt:lpstr>補足表3-5</vt:lpstr>
      <vt:lpstr>補足表3-6</vt:lpstr>
      <vt:lpstr>補足資料4</vt:lpstr>
      <vt:lpstr>補足資料5</vt:lpstr>
      <vt:lpstr>補足表6-1</vt:lpstr>
      <vt:lpstr>補足表8-1</vt:lpstr>
      <vt:lpstr>'補足表3-2'!OLE_LINK10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2024-07-11T06:24:02Z</dcterms:created>
  <dcterms:modified xsi:type="dcterms:W3CDTF">2024-07-11T06:24:26Z</dcterms:modified>
  <cp:category/>
  <cp:contentStatus/>
</cp:coreProperties>
</file>